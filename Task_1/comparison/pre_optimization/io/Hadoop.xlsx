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lolitha/Downloads/"/>
    </mc:Choice>
  </mc:AlternateContent>
  <xr:revisionPtr revIDLastSave="0" documentId="13_ncr:1_{D28FF462-E0FF-0744-A09B-0CA31624BC89}" xr6:coauthVersionLast="47" xr6:coauthVersionMax="47" xr10:uidLastSave="{00000000-0000-0000-0000-000000000000}"/>
  <bookViews>
    <workbookView xWindow="0" yWindow="620" windowWidth="28800" windowHeight="16240" activeTab="7" xr2:uid="{00000000-000D-0000-FFFF-FFFF00000000}"/>
  </bookViews>
  <sheets>
    <sheet name="hadoop memoery" sheetId="1" r:id="rId1"/>
    <sheet name="Sheet2" sheetId="3" r:id="rId2"/>
    <sheet name="Sheet2 (2)" sheetId="4" r:id="rId3"/>
    <sheet name="Sheet2 (3)" sheetId="6" r:id="rId4"/>
    <sheet name="Sheet2 (4)" sheetId="7" r:id="rId5"/>
    <sheet name="Sheet2 (5)" sheetId="8" r:id="rId6"/>
    <sheet name="Sheet2 (6)" sheetId="9" r:id="rId7"/>
    <sheet name="Sheet9" sheetId="10" r:id="rId8"/>
  </sheets>
  <definedNames>
    <definedName name="Slicer_dataset">#N/A</definedName>
    <definedName name="Slicer_dataset1">#N/A</definedName>
    <definedName name="Slicer_dataset11">#N/A</definedName>
    <definedName name="Slicer_dataset111">#N/A</definedName>
  </definedNames>
  <calcPr calcId="191029"/>
  <pivotCaches>
    <pivotCache cacheId="9"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 i="1"/>
  <c r="K4" i="1"/>
  <c r="K5" i="1"/>
  <c r="K22" i="1"/>
  <c r="K23" i="1"/>
  <c r="K24" i="1"/>
  <c r="K25" i="1"/>
  <c r="K26" i="1"/>
  <c r="K27" i="1"/>
  <c r="K28" i="1"/>
  <c r="K29" i="1"/>
  <c r="K30" i="1"/>
  <c r="K2"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138" i="1"/>
  <c r="J139" i="1"/>
  <c r="J140" i="1"/>
  <c r="J141" i="1"/>
  <c r="J142" i="1"/>
  <c r="J143" i="1"/>
  <c r="J144" i="1"/>
  <c r="J145" i="1"/>
  <c r="J146" i="1"/>
  <c r="J147" i="1"/>
  <c r="J148" i="1"/>
  <c r="J149" i="1"/>
  <c r="J150" i="1"/>
  <c r="J151" i="1"/>
  <c r="J152" i="1"/>
  <c r="J153" i="1"/>
  <c r="J154" i="1"/>
  <c r="J155" i="1"/>
  <c r="J122" i="1"/>
  <c r="J123" i="1"/>
  <c r="J124" i="1"/>
  <c r="J125" i="1"/>
  <c r="J126" i="1"/>
  <c r="J127" i="1"/>
  <c r="J128" i="1"/>
  <c r="J129" i="1"/>
  <c r="J130" i="1"/>
  <c r="J131" i="1"/>
  <c r="J132" i="1"/>
  <c r="J133" i="1"/>
  <c r="J134" i="1"/>
  <c r="J135" i="1"/>
  <c r="J136" i="1"/>
  <c r="J137" i="1"/>
  <c r="J108" i="1"/>
  <c r="J109" i="1"/>
  <c r="J110" i="1"/>
  <c r="J111" i="1"/>
  <c r="J112" i="1"/>
  <c r="J113" i="1"/>
  <c r="J114" i="1"/>
  <c r="J115" i="1"/>
  <c r="J116" i="1"/>
  <c r="J117" i="1"/>
  <c r="J118" i="1"/>
  <c r="J119" i="1"/>
  <c r="J120" i="1"/>
  <c r="J121" i="1"/>
  <c r="J88" i="1"/>
  <c r="J89" i="1"/>
  <c r="J90" i="1"/>
  <c r="J91" i="1"/>
  <c r="J92" i="1"/>
  <c r="J93" i="1"/>
  <c r="J94" i="1"/>
  <c r="J95" i="1"/>
  <c r="J96" i="1"/>
  <c r="J97" i="1"/>
  <c r="J98" i="1"/>
  <c r="J99" i="1"/>
  <c r="J100" i="1"/>
  <c r="J101" i="1"/>
  <c r="J102" i="1"/>
  <c r="J103" i="1"/>
  <c r="J104" i="1"/>
  <c r="J105" i="1"/>
  <c r="J106" i="1"/>
  <c r="J107" i="1"/>
  <c r="J67" i="1"/>
  <c r="J68" i="1"/>
  <c r="J69" i="1"/>
  <c r="J70" i="1"/>
  <c r="J71" i="1"/>
  <c r="J72" i="1"/>
  <c r="J73" i="1"/>
  <c r="J74" i="1"/>
  <c r="J75" i="1"/>
  <c r="J76" i="1"/>
  <c r="J77" i="1"/>
  <c r="J78" i="1"/>
  <c r="J79" i="1"/>
  <c r="J80" i="1"/>
  <c r="J81" i="1"/>
  <c r="J82" i="1"/>
  <c r="J83" i="1"/>
  <c r="J84" i="1"/>
  <c r="J85" i="1"/>
  <c r="J86" i="1"/>
  <c r="J87" i="1"/>
  <c r="J46" i="1"/>
  <c r="J47" i="1"/>
  <c r="J48" i="1"/>
  <c r="J49" i="1"/>
  <c r="J50" i="1"/>
  <c r="J51" i="1"/>
  <c r="J52" i="1"/>
  <c r="J53" i="1"/>
  <c r="J54" i="1"/>
  <c r="J55" i="1"/>
  <c r="J56" i="1"/>
  <c r="J57" i="1"/>
  <c r="J58" i="1"/>
  <c r="J59" i="1"/>
  <c r="J60" i="1"/>
  <c r="J61" i="1"/>
  <c r="J62" i="1"/>
  <c r="J63" i="1"/>
  <c r="J64" i="1"/>
  <c r="J65" i="1"/>
  <c r="J66"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2" i="1"/>
  <c r="I4" i="1"/>
  <c r="I5"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78" i="1"/>
  <c r="I79" i="1"/>
  <c r="I80" i="1"/>
  <c r="I81" i="1"/>
  <c r="I82" i="1"/>
  <c r="I83" i="1"/>
  <c r="I84" i="1"/>
  <c r="I85" i="1"/>
  <c r="I86" i="1"/>
  <c r="I87" i="1"/>
  <c r="I88" i="1"/>
  <c r="I89" i="1"/>
  <c r="I90" i="1"/>
  <c r="I91" i="1"/>
  <c r="I92" i="1"/>
  <c r="I93" i="1"/>
  <c r="I94" i="1"/>
  <c r="I95" i="1"/>
  <c r="I96" i="1"/>
  <c r="I97" i="1"/>
  <c r="I98" i="1"/>
  <c r="I99" i="1"/>
  <c r="I100"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28" i="1"/>
  <c r="I29" i="1"/>
  <c r="I30" i="1"/>
  <c r="I31" i="1"/>
  <c r="I32" i="1"/>
  <c r="I33" i="1"/>
  <c r="I34" i="1"/>
  <c r="I35" i="1"/>
  <c r="I36" i="1"/>
  <c r="I37" i="1"/>
  <c r="I38" i="1"/>
  <c r="I39" i="1"/>
  <c r="I40" i="1"/>
  <c r="I41" i="1"/>
  <c r="I42" i="1"/>
  <c r="I43" i="1"/>
  <c r="I44" i="1"/>
  <c r="I45" i="1"/>
  <c r="I46" i="1"/>
  <c r="I47" i="1"/>
  <c r="I7" i="1"/>
  <c r="I8" i="1"/>
  <c r="I9" i="1"/>
  <c r="I10" i="1"/>
  <c r="I11" i="1"/>
  <c r="I12" i="1"/>
  <c r="I13" i="1"/>
  <c r="I14" i="1"/>
  <c r="I15" i="1"/>
  <c r="I16" i="1"/>
  <c r="I17" i="1"/>
  <c r="I18" i="1"/>
  <c r="I19" i="1"/>
  <c r="I20" i="1"/>
  <c r="I21" i="1"/>
  <c r="I22" i="1"/>
  <c r="I23" i="1"/>
  <c r="I24" i="1"/>
  <c r="I25" i="1"/>
  <c r="I26" i="1"/>
  <c r="I27" i="1"/>
  <c r="I6" i="1"/>
  <c r="I3" i="1"/>
  <c r="I2" i="1"/>
  <c r="F349" i="1"/>
  <c r="E349" i="1"/>
  <c r="G349" i="1" s="1"/>
  <c r="L349" i="1" s="1"/>
  <c r="F348" i="1"/>
  <c r="G348" i="1" s="1"/>
  <c r="L348" i="1" s="1"/>
  <c r="E348" i="1"/>
  <c r="F347" i="1"/>
  <c r="E347" i="1"/>
  <c r="G347" i="1" s="1"/>
  <c r="L347" i="1" s="1"/>
  <c r="F346" i="1"/>
  <c r="E346" i="1"/>
  <c r="G346" i="1" s="1"/>
  <c r="L346" i="1" s="1"/>
  <c r="G345" i="1"/>
  <c r="L345" i="1" s="1"/>
  <c r="F345" i="1"/>
  <c r="E345" i="1"/>
  <c r="F344" i="1"/>
  <c r="G344" i="1" s="1"/>
  <c r="L344" i="1" s="1"/>
  <c r="E344" i="1"/>
  <c r="F343" i="1"/>
  <c r="E343" i="1"/>
  <c r="G343" i="1" s="1"/>
  <c r="L343" i="1" s="1"/>
  <c r="F342" i="1"/>
  <c r="E342" i="1"/>
  <c r="G342" i="1" s="1"/>
  <c r="L342" i="1" s="1"/>
  <c r="F341" i="1"/>
  <c r="E341" i="1"/>
  <c r="G341" i="1" s="1"/>
  <c r="L341" i="1" s="1"/>
  <c r="G340" i="1"/>
  <c r="L340" i="1" s="1"/>
  <c r="F340" i="1"/>
  <c r="E340" i="1"/>
  <c r="F339" i="1"/>
  <c r="E339" i="1"/>
  <c r="G339" i="1" s="1"/>
  <c r="L339" i="1" s="1"/>
  <c r="F338" i="1"/>
  <c r="E338" i="1"/>
  <c r="G338" i="1" s="1"/>
  <c r="L338" i="1" s="1"/>
  <c r="G337" i="1"/>
  <c r="L337" i="1" s="1"/>
  <c r="F337" i="1"/>
  <c r="E337" i="1"/>
  <c r="F336" i="1"/>
  <c r="G336" i="1" s="1"/>
  <c r="L336" i="1" s="1"/>
  <c r="E336" i="1"/>
  <c r="F335" i="1"/>
  <c r="E335" i="1"/>
  <c r="G335" i="1" s="1"/>
  <c r="L335" i="1" s="1"/>
  <c r="F334" i="1"/>
  <c r="E334" i="1"/>
  <c r="G334" i="1" s="1"/>
  <c r="L334" i="1" s="1"/>
  <c r="F333" i="1"/>
  <c r="E333" i="1"/>
  <c r="G333" i="1" s="1"/>
  <c r="L333" i="1" s="1"/>
  <c r="G332" i="1"/>
  <c r="L332" i="1" s="1"/>
  <c r="F332" i="1"/>
  <c r="E332" i="1"/>
  <c r="F331" i="1"/>
  <c r="E331" i="1"/>
  <c r="G331" i="1" s="1"/>
  <c r="L331" i="1" s="1"/>
  <c r="F330" i="1"/>
  <c r="E330" i="1"/>
  <c r="G330" i="1" s="1"/>
  <c r="L330" i="1" s="1"/>
  <c r="G329" i="1"/>
  <c r="L329" i="1" s="1"/>
  <c r="F329" i="1"/>
  <c r="E329" i="1"/>
  <c r="F328" i="1"/>
  <c r="G328" i="1" s="1"/>
  <c r="L328" i="1" s="1"/>
  <c r="E328" i="1"/>
  <c r="F327" i="1"/>
  <c r="E327" i="1"/>
  <c r="G327" i="1" s="1"/>
  <c r="L327" i="1" s="1"/>
  <c r="F326" i="1"/>
  <c r="E326" i="1"/>
  <c r="G326" i="1" s="1"/>
  <c r="L326" i="1" s="1"/>
  <c r="F325" i="1"/>
  <c r="E325" i="1"/>
  <c r="G325" i="1" s="1"/>
  <c r="L325" i="1" s="1"/>
  <c r="G324" i="1"/>
  <c r="L324" i="1" s="1"/>
  <c r="F324" i="1"/>
  <c r="E324" i="1"/>
  <c r="F323" i="1"/>
  <c r="E323" i="1"/>
  <c r="G323" i="1" s="1"/>
  <c r="L323" i="1" s="1"/>
  <c r="F322" i="1"/>
  <c r="E322" i="1"/>
  <c r="G322" i="1" s="1"/>
  <c r="L322" i="1" s="1"/>
  <c r="G321" i="1"/>
  <c r="L321" i="1" s="1"/>
  <c r="F321" i="1"/>
  <c r="E321" i="1"/>
  <c r="F320" i="1"/>
  <c r="G320" i="1" s="1"/>
  <c r="L320" i="1" s="1"/>
  <c r="E320" i="1"/>
  <c r="F319" i="1"/>
  <c r="E319" i="1"/>
  <c r="G319" i="1" s="1"/>
  <c r="L319" i="1" s="1"/>
  <c r="F318" i="1"/>
  <c r="E318" i="1"/>
  <c r="G318" i="1" s="1"/>
  <c r="L318" i="1" s="1"/>
  <c r="F317" i="1"/>
  <c r="E317" i="1"/>
  <c r="G317" i="1" s="1"/>
  <c r="L317" i="1" s="1"/>
  <c r="G316" i="1"/>
  <c r="L316" i="1" s="1"/>
  <c r="F316" i="1"/>
  <c r="E316" i="1"/>
  <c r="F315" i="1"/>
  <c r="E315" i="1"/>
  <c r="G315" i="1" s="1"/>
  <c r="L315" i="1" s="1"/>
  <c r="F314" i="1"/>
  <c r="E314" i="1"/>
  <c r="G314" i="1" s="1"/>
  <c r="L314" i="1" s="1"/>
  <c r="G313" i="1"/>
  <c r="L313" i="1" s="1"/>
  <c r="F313" i="1"/>
  <c r="E313" i="1"/>
  <c r="F312" i="1"/>
  <c r="G312" i="1" s="1"/>
  <c r="L312" i="1" s="1"/>
  <c r="E312" i="1"/>
  <c r="F311" i="1"/>
  <c r="E311" i="1"/>
  <c r="G311" i="1" s="1"/>
  <c r="L311" i="1" s="1"/>
  <c r="F310" i="1"/>
  <c r="E310" i="1"/>
  <c r="G310" i="1" s="1"/>
  <c r="L310" i="1" s="1"/>
  <c r="F309" i="1"/>
  <c r="E309" i="1"/>
  <c r="G309" i="1" s="1"/>
  <c r="L309" i="1" s="1"/>
  <c r="G308" i="1"/>
  <c r="L308" i="1" s="1"/>
  <c r="F308" i="1"/>
  <c r="E308" i="1"/>
  <c r="F307" i="1"/>
  <c r="E307" i="1"/>
  <c r="G307" i="1" s="1"/>
  <c r="L307" i="1" s="1"/>
  <c r="F306" i="1"/>
  <c r="E306" i="1"/>
  <c r="G306" i="1" s="1"/>
  <c r="L306" i="1" s="1"/>
  <c r="G305" i="1"/>
  <c r="L305" i="1" s="1"/>
  <c r="F305" i="1"/>
  <c r="E305" i="1"/>
  <c r="F304" i="1"/>
  <c r="G304" i="1" s="1"/>
  <c r="L304" i="1" s="1"/>
  <c r="E304" i="1"/>
  <c r="F303" i="1"/>
  <c r="E303" i="1"/>
  <c r="G303" i="1" s="1"/>
  <c r="L303" i="1" s="1"/>
  <c r="F302" i="1"/>
  <c r="E302" i="1"/>
  <c r="G302" i="1" s="1"/>
  <c r="L302" i="1" s="1"/>
  <c r="F301" i="1"/>
  <c r="E301" i="1"/>
  <c r="G301" i="1" s="1"/>
  <c r="L301" i="1" s="1"/>
  <c r="G300" i="1"/>
  <c r="L300" i="1" s="1"/>
  <c r="F300" i="1"/>
  <c r="E300" i="1"/>
  <c r="F299" i="1"/>
  <c r="E299" i="1"/>
  <c r="G299" i="1" s="1"/>
  <c r="L299" i="1" s="1"/>
  <c r="F298" i="1"/>
  <c r="E298" i="1"/>
  <c r="G298" i="1" s="1"/>
  <c r="L298" i="1" s="1"/>
  <c r="G297" i="1"/>
  <c r="L297" i="1" s="1"/>
  <c r="F297" i="1"/>
  <c r="E297" i="1"/>
  <c r="F296" i="1"/>
  <c r="G296" i="1" s="1"/>
  <c r="L296" i="1" s="1"/>
  <c r="E296" i="1"/>
  <c r="F295" i="1"/>
  <c r="E295" i="1"/>
  <c r="G295" i="1" s="1"/>
  <c r="L295" i="1" s="1"/>
  <c r="F294" i="1"/>
  <c r="E294" i="1"/>
  <c r="G294" i="1" s="1"/>
  <c r="L294" i="1" s="1"/>
  <c r="F293" i="1"/>
  <c r="E293" i="1"/>
  <c r="G293" i="1" s="1"/>
  <c r="L293" i="1" s="1"/>
  <c r="G292" i="1"/>
  <c r="L292" i="1" s="1"/>
  <c r="F292" i="1"/>
  <c r="E292" i="1"/>
  <c r="F291" i="1"/>
  <c r="E291" i="1"/>
  <c r="G291" i="1" s="1"/>
  <c r="L291" i="1" s="1"/>
  <c r="F290" i="1"/>
  <c r="E290" i="1"/>
  <c r="G290" i="1" s="1"/>
  <c r="L290" i="1" s="1"/>
  <c r="G289" i="1"/>
  <c r="L289" i="1" s="1"/>
  <c r="F289" i="1"/>
  <c r="E289" i="1"/>
  <c r="F288" i="1"/>
  <c r="G288" i="1" s="1"/>
  <c r="L288" i="1" s="1"/>
  <c r="E288" i="1"/>
  <c r="F287" i="1"/>
  <c r="E287" i="1"/>
  <c r="G287" i="1" s="1"/>
  <c r="L287" i="1" s="1"/>
  <c r="F286" i="1"/>
  <c r="E286" i="1"/>
  <c r="G286" i="1" s="1"/>
  <c r="L286" i="1" s="1"/>
  <c r="F285" i="1"/>
  <c r="E285" i="1"/>
  <c r="G285" i="1" s="1"/>
  <c r="L285" i="1" s="1"/>
  <c r="G284" i="1"/>
  <c r="L284" i="1" s="1"/>
  <c r="F284" i="1"/>
  <c r="E284" i="1"/>
  <c r="F283" i="1"/>
  <c r="E283" i="1"/>
  <c r="G283" i="1" s="1"/>
  <c r="L283" i="1" s="1"/>
  <c r="F282" i="1"/>
  <c r="E282" i="1"/>
  <c r="G282" i="1" s="1"/>
  <c r="L282" i="1" s="1"/>
  <c r="G281" i="1"/>
  <c r="L281" i="1" s="1"/>
  <c r="F281" i="1"/>
  <c r="E281" i="1"/>
  <c r="F280" i="1"/>
  <c r="G280" i="1" s="1"/>
  <c r="L280" i="1" s="1"/>
  <c r="E280" i="1"/>
  <c r="F279" i="1"/>
  <c r="E279" i="1"/>
  <c r="G279" i="1" s="1"/>
  <c r="L279" i="1" s="1"/>
  <c r="F278" i="1"/>
  <c r="E278" i="1"/>
  <c r="G278" i="1" s="1"/>
  <c r="L278" i="1" s="1"/>
  <c r="F277" i="1"/>
  <c r="E277" i="1"/>
  <c r="G277" i="1" s="1"/>
  <c r="L277" i="1" s="1"/>
  <c r="G276" i="1"/>
  <c r="L276" i="1" s="1"/>
  <c r="F276" i="1"/>
  <c r="E276" i="1"/>
  <c r="F275" i="1"/>
  <c r="E275" i="1"/>
  <c r="G275" i="1" s="1"/>
  <c r="L275" i="1" s="1"/>
  <c r="F274" i="1"/>
  <c r="E274" i="1"/>
  <c r="G274" i="1" s="1"/>
  <c r="L274" i="1" s="1"/>
  <c r="G273" i="1"/>
  <c r="L273" i="1" s="1"/>
  <c r="F273" i="1"/>
  <c r="E273" i="1"/>
  <c r="F272" i="1"/>
  <c r="G272" i="1" s="1"/>
  <c r="L272" i="1" s="1"/>
  <c r="E272" i="1"/>
  <c r="F271" i="1"/>
  <c r="E271" i="1"/>
  <c r="G271" i="1" s="1"/>
  <c r="L271" i="1" s="1"/>
  <c r="F270" i="1"/>
  <c r="E270" i="1"/>
  <c r="G270" i="1" s="1"/>
  <c r="L270" i="1" s="1"/>
  <c r="F269" i="1"/>
  <c r="E269" i="1"/>
  <c r="G269" i="1" s="1"/>
  <c r="L269" i="1" s="1"/>
  <c r="G268" i="1"/>
  <c r="L268" i="1" s="1"/>
  <c r="F268" i="1"/>
  <c r="E268" i="1"/>
  <c r="F267" i="1"/>
  <c r="E267" i="1"/>
  <c r="G267" i="1" s="1"/>
  <c r="L267" i="1" s="1"/>
  <c r="F266" i="1"/>
  <c r="E266" i="1"/>
  <c r="G266" i="1" s="1"/>
  <c r="L266" i="1" s="1"/>
  <c r="G265" i="1"/>
  <c r="L265" i="1" s="1"/>
  <c r="F265" i="1"/>
  <c r="E265" i="1"/>
  <c r="G264" i="1"/>
  <c r="L264" i="1" s="1"/>
  <c r="F264" i="1"/>
  <c r="E264" i="1"/>
  <c r="G263" i="1"/>
  <c r="L263" i="1" s="1"/>
  <c r="F263" i="1"/>
  <c r="E263" i="1"/>
  <c r="H262" i="1"/>
  <c r="H263" i="1" s="1"/>
  <c r="H264" i="1" s="1"/>
  <c r="H265" i="1" s="1"/>
  <c r="H266" i="1" s="1"/>
  <c r="H267" i="1" s="1"/>
  <c r="H268" i="1" s="1"/>
  <c r="H269" i="1" s="1"/>
  <c r="H270" i="1" s="1"/>
  <c r="H271" i="1" s="1"/>
  <c r="H272" i="1" s="1"/>
  <c r="H273" i="1" s="1"/>
  <c r="H274" i="1" s="1"/>
  <c r="H275" i="1" s="1"/>
  <c r="H276" i="1" s="1"/>
  <c r="H277" i="1" s="1"/>
  <c r="H278" i="1" s="1"/>
  <c r="H279" i="1" s="1"/>
  <c r="H280" i="1" s="1"/>
  <c r="H281" i="1" s="1"/>
  <c r="H282" i="1" s="1"/>
  <c r="H283" i="1" s="1"/>
  <c r="H284" i="1" s="1"/>
  <c r="H285" i="1" s="1"/>
  <c r="H286" i="1" s="1"/>
  <c r="H287" i="1" s="1"/>
  <c r="H288" i="1" s="1"/>
  <c r="H289" i="1" s="1"/>
  <c r="H290" i="1" s="1"/>
  <c r="H291" i="1" s="1"/>
  <c r="H292" i="1" s="1"/>
  <c r="H293" i="1" s="1"/>
  <c r="H294" i="1" s="1"/>
  <c r="H295" i="1" s="1"/>
  <c r="H296" i="1" s="1"/>
  <c r="H297" i="1" s="1"/>
  <c r="H298" i="1" s="1"/>
  <c r="H299" i="1" s="1"/>
  <c r="H300" i="1" s="1"/>
  <c r="H301" i="1" s="1"/>
  <c r="H302" i="1" s="1"/>
  <c r="H303" i="1" s="1"/>
  <c r="H304" i="1" s="1"/>
  <c r="H305" i="1" s="1"/>
  <c r="H306" i="1" s="1"/>
  <c r="H307" i="1" s="1"/>
  <c r="H308" i="1" s="1"/>
  <c r="H309" i="1" s="1"/>
  <c r="H310" i="1" s="1"/>
  <c r="H311" i="1" s="1"/>
  <c r="H312" i="1" s="1"/>
  <c r="H313" i="1" s="1"/>
  <c r="H314" i="1" s="1"/>
  <c r="H315" i="1" s="1"/>
  <c r="H316" i="1" s="1"/>
  <c r="H317" i="1" s="1"/>
  <c r="H318" i="1" s="1"/>
  <c r="H319" i="1" s="1"/>
  <c r="H320" i="1" s="1"/>
  <c r="H321" i="1" s="1"/>
  <c r="H322" i="1" s="1"/>
  <c r="H323" i="1" s="1"/>
  <c r="H324" i="1" s="1"/>
  <c r="H325" i="1" s="1"/>
  <c r="H326" i="1" s="1"/>
  <c r="H327" i="1" s="1"/>
  <c r="H328" i="1" s="1"/>
  <c r="H329" i="1" s="1"/>
  <c r="H330" i="1" s="1"/>
  <c r="H331" i="1" s="1"/>
  <c r="H332" i="1" s="1"/>
  <c r="H333" i="1" s="1"/>
  <c r="H334" i="1" s="1"/>
  <c r="H335" i="1" s="1"/>
  <c r="H336" i="1" s="1"/>
  <c r="H337" i="1" s="1"/>
  <c r="H338" i="1" s="1"/>
  <c r="H339" i="1" s="1"/>
  <c r="H340" i="1" s="1"/>
  <c r="H341" i="1" s="1"/>
  <c r="H342" i="1" s="1"/>
  <c r="H343" i="1" s="1"/>
  <c r="H344" i="1" s="1"/>
  <c r="H345" i="1" s="1"/>
  <c r="H346" i="1" s="1"/>
  <c r="H347" i="1" s="1"/>
  <c r="H348" i="1" s="1"/>
  <c r="H349" i="1" s="1"/>
  <c r="G262" i="1"/>
  <c r="L262" i="1" s="1"/>
  <c r="F262" i="1"/>
  <c r="E262" i="1"/>
  <c r="G261" i="1"/>
  <c r="L261" i="1" s="1"/>
  <c r="F261" i="1"/>
  <c r="E261" i="1"/>
  <c r="L260" i="1"/>
  <c r="G260" i="1"/>
  <c r="F260" i="1"/>
  <c r="E260" i="1"/>
  <c r="L259" i="1"/>
  <c r="G259" i="1"/>
  <c r="F259" i="1"/>
  <c r="E259" i="1"/>
  <c r="L258" i="1"/>
  <c r="G258" i="1"/>
  <c r="F258" i="1"/>
  <c r="E258" i="1"/>
  <c r="L257" i="1"/>
  <c r="G257" i="1"/>
  <c r="F257" i="1"/>
  <c r="E257" i="1"/>
  <c r="G256" i="1"/>
  <c r="L256" i="1" s="1"/>
  <c r="F256" i="1"/>
  <c r="E256" i="1"/>
  <c r="G255" i="1"/>
  <c r="L255" i="1" s="1"/>
  <c r="F255" i="1"/>
  <c r="E255" i="1"/>
  <c r="G254" i="1"/>
  <c r="L254" i="1" s="1"/>
  <c r="F254" i="1"/>
  <c r="E254" i="1"/>
  <c r="G253" i="1"/>
  <c r="L253" i="1" s="1"/>
  <c r="F253" i="1"/>
  <c r="E253" i="1"/>
  <c r="G252" i="1"/>
  <c r="L252" i="1" s="1"/>
  <c r="F252" i="1"/>
  <c r="E252" i="1"/>
  <c r="G251" i="1"/>
  <c r="L251" i="1" s="1"/>
  <c r="F251" i="1"/>
  <c r="E251" i="1"/>
  <c r="L250" i="1"/>
  <c r="G250" i="1"/>
  <c r="F250" i="1"/>
  <c r="E250" i="1"/>
  <c r="L249" i="1"/>
  <c r="G249" i="1"/>
  <c r="F249" i="1"/>
  <c r="E249" i="1"/>
  <c r="L248" i="1"/>
  <c r="G248" i="1"/>
  <c r="F248" i="1"/>
  <c r="E248" i="1"/>
  <c r="L247" i="1"/>
  <c r="G247" i="1"/>
  <c r="F247" i="1"/>
  <c r="E247" i="1"/>
  <c r="G246" i="1"/>
  <c r="L246" i="1" s="1"/>
  <c r="F246" i="1"/>
  <c r="E246" i="1"/>
  <c r="G245" i="1"/>
  <c r="L245" i="1" s="1"/>
  <c r="F245" i="1"/>
  <c r="E245" i="1"/>
  <c r="G244" i="1"/>
  <c r="L244" i="1" s="1"/>
  <c r="F244" i="1"/>
  <c r="E244" i="1"/>
  <c r="L243" i="1"/>
  <c r="G243" i="1"/>
  <c r="F243" i="1"/>
  <c r="E243" i="1"/>
  <c r="L242" i="1"/>
  <c r="G242" i="1"/>
  <c r="F242" i="1"/>
  <c r="E242" i="1"/>
  <c r="L241" i="1"/>
  <c r="G241" i="1"/>
  <c r="F241" i="1"/>
  <c r="E241" i="1"/>
  <c r="L240" i="1"/>
  <c r="G240" i="1"/>
  <c r="F240" i="1"/>
  <c r="E240" i="1"/>
  <c r="G239" i="1"/>
  <c r="L239" i="1" s="1"/>
  <c r="F239" i="1"/>
  <c r="E239" i="1"/>
  <c r="G238" i="1"/>
  <c r="L238" i="1" s="1"/>
  <c r="F238" i="1"/>
  <c r="E238" i="1"/>
  <c r="G237" i="1"/>
  <c r="L237" i="1" s="1"/>
  <c r="F237" i="1"/>
  <c r="E237" i="1"/>
  <c r="L236" i="1"/>
  <c r="G236" i="1"/>
  <c r="F236" i="1"/>
  <c r="E236" i="1"/>
  <c r="L235" i="1"/>
  <c r="G235" i="1"/>
  <c r="F235" i="1"/>
  <c r="E235" i="1"/>
  <c r="L234" i="1"/>
  <c r="G234" i="1"/>
  <c r="F234" i="1"/>
  <c r="E234" i="1"/>
  <c r="L233" i="1"/>
  <c r="G233" i="1"/>
  <c r="F233" i="1"/>
  <c r="E233" i="1"/>
  <c r="G232" i="1"/>
  <c r="L232" i="1" s="1"/>
  <c r="F232" i="1"/>
  <c r="E232" i="1"/>
  <c r="G231" i="1"/>
  <c r="L231" i="1" s="1"/>
  <c r="F231" i="1"/>
  <c r="E231" i="1"/>
  <c r="G230" i="1"/>
  <c r="L230" i="1" s="1"/>
  <c r="F230" i="1"/>
  <c r="E230" i="1"/>
  <c r="G229" i="1"/>
  <c r="L229" i="1" s="1"/>
  <c r="F229" i="1"/>
  <c r="E229" i="1"/>
  <c r="L228" i="1"/>
  <c r="G228" i="1"/>
  <c r="F228" i="1"/>
  <c r="E228" i="1"/>
  <c r="L227" i="1"/>
  <c r="G227" i="1"/>
  <c r="F227" i="1"/>
  <c r="E227" i="1"/>
  <c r="L226" i="1"/>
  <c r="G226" i="1"/>
  <c r="F226" i="1"/>
  <c r="E226" i="1"/>
  <c r="L225" i="1"/>
  <c r="G225" i="1"/>
  <c r="F225" i="1"/>
  <c r="E225" i="1"/>
  <c r="G224" i="1"/>
  <c r="L224" i="1" s="1"/>
  <c r="F224" i="1"/>
  <c r="E224" i="1"/>
  <c r="G223" i="1"/>
  <c r="L223" i="1" s="1"/>
  <c r="F223" i="1"/>
  <c r="E223" i="1"/>
  <c r="G222" i="1"/>
  <c r="L222" i="1" s="1"/>
  <c r="F222" i="1"/>
  <c r="E222" i="1"/>
  <c r="F221" i="1"/>
  <c r="E221" i="1"/>
  <c r="G221" i="1" s="1"/>
  <c r="L221" i="1" s="1"/>
  <c r="G220" i="1"/>
  <c r="L220" i="1" s="1"/>
  <c r="F220" i="1"/>
  <c r="E220" i="1"/>
  <c r="G219" i="1"/>
  <c r="L219" i="1" s="1"/>
  <c r="F219" i="1"/>
  <c r="E219" i="1"/>
  <c r="F218" i="1"/>
  <c r="E218" i="1"/>
  <c r="G218" i="1" s="1"/>
  <c r="L218" i="1" s="1"/>
  <c r="L217" i="1"/>
  <c r="F217" i="1"/>
  <c r="E217" i="1"/>
  <c r="G217" i="1" s="1"/>
  <c r="L216" i="1"/>
  <c r="G216" i="1"/>
  <c r="F216" i="1"/>
  <c r="E216" i="1"/>
  <c r="L215" i="1"/>
  <c r="G215" i="1"/>
  <c r="F215" i="1"/>
  <c r="E215" i="1"/>
  <c r="G214" i="1"/>
  <c r="L214" i="1" s="1"/>
  <c r="F214" i="1"/>
  <c r="E214" i="1"/>
  <c r="F213" i="1"/>
  <c r="E213" i="1"/>
  <c r="G213" i="1" s="1"/>
  <c r="L213" i="1" s="1"/>
  <c r="F212" i="1"/>
  <c r="E212" i="1"/>
  <c r="G212" i="1" s="1"/>
  <c r="L212" i="1" s="1"/>
  <c r="L211" i="1"/>
  <c r="G211" i="1"/>
  <c r="F211" i="1"/>
  <c r="E211" i="1"/>
  <c r="L210" i="1"/>
  <c r="F210" i="1"/>
  <c r="E210" i="1"/>
  <c r="G210" i="1" s="1"/>
  <c r="L209" i="1"/>
  <c r="F209" i="1"/>
  <c r="E209" i="1"/>
  <c r="G209" i="1" s="1"/>
  <c r="G208" i="1"/>
  <c r="L208" i="1" s="1"/>
  <c r="F208" i="1"/>
  <c r="E208" i="1"/>
  <c r="G207" i="1"/>
  <c r="L207" i="1" s="1"/>
  <c r="F207" i="1"/>
  <c r="E207" i="1"/>
  <c r="G206" i="1"/>
  <c r="L206" i="1" s="1"/>
  <c r="F206" i="1"/>
  <c r="E206" i="1"/>
  <c r="F205" i="1"/>
  <c r="E205" i="1"/>
  <c r="G205" i="1" s="1"/>
  <c r="L205" i="1" s="1"/>
  <c r="G204" i="1"/>
  <c r="L204" i="1" s="1"/>
  <c r="F204" i="1"/>
  <c r="E204" i="1"/>
  <c r="G203" i="1"/>
  <c r="L203" i="1" s="1"/>
  <c r="F203" i="1"/>
  <c r="E203" i="1"/>
  <c r="F202" i="1"/>
  <c r="E202" i="1"/>
  <c r="G202" i="1" s="1"/>
  <c r="L202" i="1" s="1"/>
  <c r="L201" i="1"/>
  <c r="F201" i="1"/>
  <c r="E201" i="1"/>
  <c r="G201" i="1" s="1"/>
  <c r="L200" i="1"/>
  <c r="G200" i="1"/>
  <c r="F200" i="1"/>
  <c r="E200" i="1"/>
  <c r="L199" i="1"/>
  <c r="G199" i="1"/>
  <c r="F199" i="1"/>
  <c r="E199" i="1"/>
  <c r="G198" i="1"/>
  <c r="L198" i="1" s="1"/>
  <c r="F198" i="1"/>
  <c r="E198" i="1"/>
  <c r="F197" i="1"/>
  <c r="E197" i="1"/>
  <c r="G197" i="1" s="1"/>
  <c r="L197" i="1" s="1"/>
  <c r="F196" i="1"/>
  <c r="E196" i="1"/>
  <c r="G196" i="1" s="1"/>
  <c r="L196" i="1" s="1"/>
  <c r="L195" i="1"/>
  <c r="G195" i="1"/>
  <c r="F195" i="1"/>
  <c r="E195" i="1"/>
  <c r="L194" i="1"/>
  <c r="F194" i="1"/>
  <c r="E194" i="1"/>
  <c r="G194" i="1" s="1"/>
  <c r="L193" i="1"/>
  <c r="F193" i="1"/>
  <c r="E193" i="1"/>
  <c r="G193" i="1" s="1"/>
  <c r="G192" i="1"/>
  <c r="L192" i="1" s="1"/>
  <c r="F192" i="1"/>
  <c r="E192" i="1"/>
  <c r="G191" i="1"/>
  <c r="L191" i="1" s="1"/>
  <c r="F191" i="1"/>
  <c r="E191" i="1"/>
  <c r="G190" i="1"/>
  <c r="L190" i="1" s="1"/>
  <c r="F190" i="1"/>
  <c r="E190" i="1"/>
  <c r="F189" i="1"/>
  <c r="E189" i="1"/>
  <c r="G189" i="1" s="1"/>
  <c r="L189" i="1" s="1"/>
  <c r="G188" i="1"/>
  <c r="L188" i="1" s="1"/>
  <c r="F188" i="1"/>
  <c r="E188" i="1"/>
  <c r="G187" i="1"/>
  <c r="L187" i="1" s="1"/>
  <c r="F187" i="1"/>
  <c r="E187" i="1"/>
  <c r="F186" i="1"/>
  <c r="E186" i="1"/>
  <c r="G186" i="1" s="1"/>
  <c r="L186" i="1" s="1"/>
  <c r="L185" i="1"/>
  <c r="F185" i="1"/>
  <c r="E185" i="1"/>
  <c r="G185" i="1" s="1"/>
  <c r="L184" i="1"/>
  <c r="G184" i="1"/>
  <c r="F184" i="1"/>
  <c r="E184" i="1"/>
  <c r="L183" i="1"/>
  <c r="G183" i="1"/>
  <c r="F183" i="1"/>
  <c r="E183" i="1"/>
  <c r="G182" i="1"/>
  <c r="L182" i="1" s="1"/>
  <c r="F182" i="1"/>
  <c r="E182" i="1"/>
  <c r="F181" i="1"/>
  <c r="E181" i="1"/>
  <c r="G181" i="1" s="1"/>
  <c r="L181" i="1" s="1"/>
  <c r="F180" i="1"/>
  <c r="E180" i="1"/>
  <c r="G180" i="1" s="1"/>
  <c r="L180" i="1" s="1"/>
  <c r="L179" i="1"/>
  <c r="G179" i="1"/>
  <c r="F179" i="1"/>
  <c r="E179" i="1"/>
  <c r="L178" i="1"/>
  <c r="F178" i="1"/>
  <c r="E178" i="1"/>
  <c r="G178" i="1" s="1"/>
  <c r="L177" i="1"/>
  <c r="F177" i="1"/>
  <c r="E177" i="1"/>
  <c r="G177" i="1" s="1"/>
  <c r="G176" i="1"/>
  <c r="L176" i="1" s="1"/>
  <c r="F176" i="1"/>
  <c r="E176" i="1"/>
  <c r="G175" i="1"/>
  <c r="L175" i="1" s="1"/>
  <c r="F175" i="1"/>
  <c r="E175" i="1"/>
  <c r="G174" i="1"/>
  <c r="L174" i="1" s="1"/>
  <c r="F174" i="1"/>
  <c r="E174" i="1"/>
  <c r="F173" i="1"/>
  <c r="E173" i="1"/>
  <c r="G173" i="1" s="1"/>
  <c r="L173" i="1" s="1"/>
  <c r="G172" i="1"/>
  <c r="L172" i="1" s="1"/>
  <c r="F172" i="1"/>
  <c r="E172" i="1"/>
  <c r="G171" i="1"/>
  <c r="L171" i="1" s="1"/>
  <c r="F171" i="1"/>
  <c r="E171" i="1"/>
  <c r="G170" i="1"/>
  <c r="L170" i="1" s="1"/>
  <c r="F170" i="1"/>
  <c r="E170" i="1"/>
  <c r="G169" i="1"/>
  <c r="L169" i="1" s="1"/>
  <c r="F169" i="1"/>
  <c r="E169" i="1"/>
  <c r="F168" i="1"/>
  <c r="E168" i="1"/>
  <c r="G168" i="1" s="1"/>
  <c r="L168" i="1" s="1"/>
  <c r="F167" i="1"/>
  <c r="E167" i="1"/>
  <c r="G167" i="1" s="1"/>
  <c r="L167" i="1" s="1"/>
  <c r="F166" i="1"/>
  <c r="E166" i="1"/>
  <c r="G166" i="1" s="1"/>
  <c r="L166" i="1" s="1"/>
  <c r="L165" i="1"/>
  <c r="G165" i="1"/>
  <c r="F165" i="1"/>
  <c r="E165" i="1"/>
  <c r="F164" i="1"/>
  <c r="E164" i="1"/>
  <c r="G164" i="1" s="1"/>
  <c r="L164" i="1" s="1"/>
  <c r="F163" i="1"/>
  <c r="E163" i="1"/>
  <c r="G163" i="1" s="1"/>
  <c r="L163" i="1" s="1"/>
  <c r="G162" i="1"/>
  <c r="L162" i="1" s="1"/>
  <c r="F162" i="1"/>
  <c r="E162" i="1"/>
  <c r="G161" i="1"/>
  <c r="L161" i="1" s="1"/>
  <c r="F161" i="1"/>
  <c r="E161" i="1"/>
  <c r="F160" i="1"/>
  <c r="E160" i="1"/>
  <c r="G160" i="1" s="1"/>
  <c r="L160" i="1" s="1"/>
  <c r="F159" i="1"/>
  <c r="E159" i="1"/>
  <c r="G159" i="1" s="1"/>
  <c r="L159" i="1" s="1"/>
  <c r="F158" i="1"/>
  <c r="E158" i="1"/>
  <c r="G158" i="1" s="1"/>
  <c r="L158" i="1" s="1"/>
  <c r="L157" i="1"/>
  <c r="G157" i="1"/>
  <c r="F157" i="1"/>
  <c r="E157" i="1"/>
  <c r="F156" i="1"/>
  <c r="E156" i="1"/>
  <c r="G156" i="1" s="1"/>
  <c r="L156" i="1" s="1"/>
  <c r="F155" i="1"/>
  <c r="E155" i="1"/>
  <c r="G155" i="1" s="1"/>
  <c r="L155" i="1" s="1"/>
  <c r="G154" i="1"/>
  <c r="L154" i="1" s="1"/>
  <c r="F154" i="1"/>
  <c r="E154" i="1"/>
  <c r="G153" i="1"/>
  <c r="L153" i="1" s="1"/>
  <c r="F153" i="1"/>
  <c r="E153" i="1"/>
  <c r="F152" i="1"/>
  <c r="E152" i="1"/>
  <c r="G152" i="1" s="1"/>
  <c r="L152" i="1" s="1"/>
  <c r="F151" i="1"/>
  <c r="E151" i="1"/>
  <c r="G151" i="1" s="1"/>
  <c r="L151" i="1" s="1"/>
  <c r="F150" i="1"/>
  <c r="E150" i="1"/>
  <c r="G150" i="1" s="1"/>
  <c r="L150" i="1" s="1"/>
  <c r="L149" i="1"/>
  <c r="G149" i="1"/>
  <c r="F149" i="1"/>
  <c r="E149" i="1"/>
  <c r="F148" i="1"/>
  <c r="E148" i="1"/>
  <c r="G148" i="1" s="1"/>
  <c r="L148" i="1" s="1"/>
  <c r="F147" i="1"/>
  <c r="E147" i="1"/>
  <c r="G147" i="1" s="1"/>
  <c r="L147" i="1" s="1"/>
  <c r="G146" i="1"/>
  <c r="L146" i="1" s="1"/>
  <c r="F146" i="1"/>
  <c r="E146" i="1"/>
  <c r="G145" i="1"/>
  <c r="L145" i="1" s="1"/>
  <c r="F145" i="1"/>
  <c r="E145" i="1"/>
  <c r="F144" i="1"/>
  <c r="E144" i="1"/>
  <c r="G144" i="1" s="1"/>
  <c r="L144" i="1" s="1"/>
  <c r="F143" i="1"/>
  <c r="E143" i="1"/>
  <c r="G143" i="1" s="1"/>
  <c r="L143" i="1" s="1"/>
  <c r="F142" i="1"/>
  <c r="E142" i="1"/>
  <c r="G142" i="1" s="1"/>
  <c r="L142" i="1" s="1"/>
  <c r="L141" i="1"/>
  <c r="G141" i="1"/>
  <c r="F141" i="1"/>
  <c r="E141" i="1"/>
  <c r="F140" i="1"/>
  <c r="E140" i="1"/>
  <c r="G140" i="1" s="1"/>
  <c r="L140" i="1" s="1"/>
  <c r="F139" i="1"/>
  <c r="E139" i="1"/>
  <c r="G139" i="1" s="1"/>
  <c r="L139" i="1" s="1"/>
  <c r="G138" i="1"/>
  <c r="L138" i="1" s="1"/>
  <c r="F138" i="1"/>
  <c r="E138" i="1"/>
  <c r="G137" i="1"/>
  <c r="L137" i="1" s="1"/>
  <c r="F137" i="1"/>
  <c r="E137" i="1"/>
  <c r="F136" i="1"/>
  <c r="E136" i="1"/>
  <c r="G136" i="1" s="1"/>
  <c r="L136" i="1" s="1"/>
  <c r="F135" i="1"/>
  <c r="E135" i="1"/>
  <c r="G135" i="1" s="1"/>
  <c r="L135" i="1" s="1"/>
  <c r="F134" i="1"/>
  <c r="E134" i="1"/>
  <c r="G134" i="1" s="1"/>
  <c r="L134" i="1" s="1"/>
  <c r="L133" i="1"/>
  <c r="G133" i="1"/>
  <c r="F133" i="1"/>
  <c r="E133" i="1"/>
  <c r="F132" i="1"/>
  <c r="E132" i="1"/>
  <c r="G132" i="1" s="1"/>
  <c r="L132" i="1" s="1"/>
  <c r="F131" i="1"/>
  <c r="E131" i="1"/>
  <c r="G131" i="1" s="1"/>
  <c r="L131" i="1" s="1"/>
  <c r="G130" i="1"/>
  <c r="L130" i="1" s="1"/>
  <c r="F130" i="1"/>
  <c r="E130" i="1"/>
  <c r="G129" i="1"/>
  <c r="L129" i="1" s="1"/>
  <c r="F129" i="1"/>
  <c r="E129" i="1"/>
  <c r="F128" i="1"/>
  <c r="E128" i="1"/>
  <c r="G128" i="1" s="1"/>
  <c r="L128" i="1" s="1"/>
  <c r="F127" i="1"/>
  <c r="E127" i="1"/>
  <c r="G127" i="1" s="1"/>
  <c r="L127" i="1" s="1"/>
  <c r="F126" i="1"/>
  <c r="E126" i="1"/>
  <c r="G126" i="1" s="1"/>
  <c r="L126" i="1" s="1"/>
  <c r="F125" i="1"/>
  <c r="G125" i="1" s="1"/>
  <c r="L125" i="1" s="1"/>
  <c r="E125" i="1"/>
  <c r="F124" i="1"/>
  <c r="E124" i="1"/>
  <c r="G124" i="1" s="1"/>
  <c r="L124" i="1" s="1"/>
  <c r="F123" i="1"/>
  <c r="E123" i="1"/>
  <c r="G123" i="1" s="1"/>
  <c r="L123" i="1" s="1"/>
  <c r="G122" i="1"/>
  <c r="L122" i="1" s="1"/>
  <c r="F122" i="1"/>
  <c r="E122" i="1"/>
  <c r="F121" i="1"/>
  <c r="G121" i="1" s="1"/>
  <c r="L121" i="1" s="1"/>
  <c r="E121" i="1"/>
  <c r="F120" i="1"/>
  <c r="E120" i="1"/>
  <c r="G120" i="1" s="1"/>
  <c r="L120" i="1" s="1"/>
  <c r="F119" i="1"/>
  <c r="E119" i="1"/>
  <c r="G119" i="1" s="1"/>
  <c r="L119" i="1" s="1"/>
  <c r="F118" i="1"/>
  <c r="E118" i="1"/>
  <c r="G118" i="1" s="1"/>
  <c r="L118" i="1" s="1"/>
  <c r="F117" i="1"/>
  <c r="G117" i="1" s="1"/>
  <c r="L117" i="1" s="1"/>
  <c r="E117" i="1"/>
  <c r="F116" i="1"/>
  <c r="E116" i="1"/>
  <c r="G116" i="1" s="1"/>
  <c r="L116" i="1" s="1"/>
  <c r="F115" i="1"/>
  <c r="E115" i="1"/>
  <c r="G115" i="1" s="1"/>
  <c r="L115" i="1" s="1"/>
  <c r="G114" i="1"/>
  <c r="L114" i="1" s="1"/>
  <c r="F114" i="1"/>
  <c r="E114" i="1"/>
  <c r="F113" i="1"/>
  <c r="G113" i="1" s="1"/>
  <c r="L113" i="1" s="1"/>
  <c r="E113" i="1"/>
  <c r="F112" i="1"/>
  <c r="E112" i="1"/>
  <c r="G112" i="1" s="1"/>
  <c r="L112" i="1" s="1"/>
  <c r="F111" i="1"/>
  <c r="E111" i="1"/>
  <c r="G111" i="1" s="1"/>
  <c r="L111" i="1" s="1"/>
  <c r="F110" i="1"/>
  <c r="E110" i="1"/>
  <c r="G110" i="1" s="1"/>
  <c r="L110" i="1" s="1"/>
  <c r="F109" i="1"/>
  <c r="G109" i="1" s="1"/>
  <c r="L109" i="1" s="1"/>
  <c r="E109" i="1"/>
  <c r="F108" i="1"/>
  <c r="E108" i="1"/>
  <c r="G108" i="1" s="1"/>
  <c r="L108" i="1" s="1"/>
  <c r="F107" i="1"/>
  <c r="E107" i="1"/>
  <c r="G107" i="1" s="1"/>
  <c r="L107" i="1" s="1"/>
  <c r="G106" i="1"/>
  <c r="L106" i="1" s="1"/>
  <c r="F106" i="1"/>
  <c r="E106" i="1"/>
  <c r="F105" i="1"/>
  <c r="G105" i="1" s="1"/>
  <c r="L105" i="1" s="1"/>
  <c r="E105" i="1"/>
  <c r="F104" i="1"/>
  <c r="E104" i="1"/>
  <c r="G104" i="1" s="1"/>
  <c r="L104" i="1" s="1"/>
  <c r="F103" i="1"/>
  <c r="E103" i="1"/>
  <c r="G103" i="1" s="1"/>
  <c r="L103" i="1" s="1"/>
  <c r="F102" i="1"/>
  <c r="E102" i="1"/>
  <c r="G102" i="1" s="1"/>
  <c r="L102" i="1" s="1"/>
  <c r="F101" i="1"/>
  <c r="G101" i="1" s="1"/>
  <c r="L101" i="1" s="1"/>
  <c r="E101" i="1"/>
  <c r="F100" i="1"/>
  <c r="E100" i="1"/>
  <c r="G100" i="1" s="1"/>
  <c r="L100" i="1" s="1"/>
  <c r="F99" i="1"/>
  <c r="E99" i="1"/>
  <c r="G99" i="1" s="1"/>
  <c r="L99" i="1" s="1"/>
  <c r="H98" i="1"/>
  <c r="H99" i="1" s="1"/>
  <c r="H100" i="1" s="1"/>
  <c r="H101" i="1" s="1"/>
  <c r="H102" i="1" s="1"/>
  <c r="H103" i="1" s="1"/>
  <c r="H104" i="1" s="1"/>
  <c r="H105" i="1" s="1"/>
  <c r="H106" i="1" s="1"/>
  <c r="H107" i="1" s="1"/>
  <c r="H108" i="1" s="1"/>
  <c r="H109" i="1" s="1"/>
  <c r="H110" i="1" s="1"/>
  <c r="H111" i="1" s="1"/>
  <c r="H112" i="1" s="1"/>
  <c r="H113" i="1" s="1"/>
  <c r="H114" i="1" s="1"/>
  <c r="H115" i="1" s="1"/>
  <c r="H116" i="1" s="1"/>
  <c r="H117" i="1" s="1"/>
  <c r="H118" i="1" s="1"/>
  <c r="H119" i="1" s="1"/>
  <c r="H120" i="1" s="1"/>
  <c r="H121" i="1" s="1"/>
  <c r="H122" i="1" s="1"/>
  <c r="H123" i="1" s="1"/>
  <c r="H124" i="1" s="1"/>
  <c r="H125" i="1" s="1"/>
  <c r="H126" i="1" s="1"/>
  <c r="H127" i="1" s="1"/>
  <c r="H128" i="1" s="1"/>
  <c r="H129" i="1" s="1"/>
  <c r="H130" i="1" s="1"/>
  <c r="H131" i="1" s="1"/>
  <c r="H132" i="1" s="1"/>
  <c r="H133" i="1" s="1"/>
  <c r="H134" i="1" s="1"/>
  <c r="H135" i="1" s="1"/>
  <c r="H136" i="1" s="1"/>
  <c r="H137" i="1" s="1"/>
  <c r="H138" i="1" s="1"/>
  <c r="H139" i="1" s="1"/>
  <c r="H140" i="1" s="1"/>
  <c r="H141" i="1" s="1"/>
  <c r="H142" i="1" s="1"/>
  <c r="H143" i="1" s="1"/>
  <c r="H144" i="1" s="1"/>
  <c r="H145" i="1" s="1"/>
  <c r="H146" i="1" s="1"/>
  <c r="H147" i="1" s="1"/>
  <c r="H148" i="1" s="1"/>
  <c r="H149" i="1" s="1"/>
  <c r="H150" i="1" s="1"/>
  <c r="H151" i="1" s="1"/>
  <c r="H152" i="1" s="1"/>
  <c r="H153" i="1" s="1"/>
  <c r="H154" i="1" s="1"/>
  <c r="H155" i="1" s="1"/>
  <c r="H156" i="1" s="1"/>
  <c r="H157" i="1" s="1"/>
  <c r="H158" i="1" s="1"/>
  <c r="H159" i="1" s="1"/>
  <c r="H160" i="1" s="1"/>
  <c r="H161" i="1" s="1"/>
  <c r="H162" i="1" s="1"/>
  <c r="H163" i="1" s="1"/>
  <c r="H164" i="1" s="1"/>
  <c r="H165" i="1" s="1"/>
  <c r="H166" i="1" s="1"/>
  <c r="H167" i="1" s="1"/>
  <c r="H168" i="1" s="1"/>
  <c r="H169" i="1" s="1"/>
  <c r="H170" i="1" s="1"/>
  <c r="H171" i="1" s="1"/>
  <c r="H172" i="1" s="1"/>
  <c r="H173" i="1" s="1"/>
  <c r="H174" i="1" s="1"/>
  <c r="H175" i="1" s="1"/>
  <c r="H176" i="1" s="1"/>
  <c r="H177" i="1" s="1"/>
  <c r="H178" i="1" s="1"/>
  <c r="H179" i="1" s="1"/>
  <c r="H180" i="1" s="1"/>
  <c r="H181" i="1" s="1"/>
  <c r="H182" i="1" s="1"/>
  <c r="H183" i="1" s="1"/>
  <c r="H184" i="1" s="1"/>
  <c r="H185" i="1" s="1"/>
  <c r="H186" i="1" s="1"/>
  <c r="H187" i="1" s="1"/>
  <c r="H188" i="1" s="1"/>
  <c r="H189" i="1" s="1"/>
  <c r="H190" i="1" s="1"/>
  <c r="H191" i="1" s="1"/>
  <c r="H192" i="1" s="1"/>
  <c r="H193" i="1" s="1"/>
  <c r="H194" i="1" s="1"/>
  <c r="H195" i="1" s="1"/>
  <c r="H196" i="1" s="1"/>
  <c r="H197" i="1" s="1"/>
  <c r="H198" i="1" s="1"/>
  <c r="H199" i="1" s="1"/>
  <c r="H200" i="1" s="1"/>
  <c r="H201" i="1" s="1"/>
  <c r="H202" i="1" s="1"/>
  <c r="H203" i="1" s="1"/>
  <c r="H204" i="1" s="1"/>
  <c r="H205" i="1" s="1"/>
  <c r="H206" i="1" s="1"/>
  <c r="H207" i="1" s="1"/>
  <c r="H208" i="1" s="1"/>
  <c r="H209" i="1" s="1"/>
  <c r="H210" i="1" s="1"/>
  <c r="H211" i="1" s="1"/>
  <c r="H212" i="1" s="1"/>
  <c r="H213" i="1" s="1"/>
  <c r="H214" i="1" s="1"/>
  <c r="H215" i="1" s="1"/>
  <c r="H216" i="1" s="1"/>
  <c r="H217" i="1" s="1"/>
  <c r="H218" i="1" s="1"/>
  <c r="H219" i="1" s="1"/>
  <c r="H220" i="1" s="1"/>
  <c r="H221" i="1" s="1"/>
  <c r="H222" i="1" s="1"/>
  <c r="H223" i="1" s="1"/>
  <c r="H224" i="1" s="1"/>
  <c r="H225" i="1" s="1"/>
  <c r="H226" i="1" s="1"/>
  <c r="H227" i="1" s="1"/>
  <c r="H228" i="1" s="1"/>
  <c r="H229" i="1" s="1"/>
  <c r="H230" i="1" s="1"/>
  <c r="H231" i="1" s="1"/>
  <c r="H232" i="1" s="1"/>
  <c r="H233" i="1" s="1"/>
  <c r="H234" i="1" s="1"/>
  <c r="H235" i="1" s="1"/>
  <c r="H236" i="1" s="1"/>
  <c r="H237" i="1" s="1"/>
  <c r="H238" i="1" s="1"/>
  <c r="H239" i="1" s="1"/>
  <c r="H240" i="1" s="1"/>
  <c r="H241" i="1" s="1"/>
  <c r="H242" i="1" s="1"/>
  <c r="H243" i="1" s="1"/>
  <c r="H244" i="1" s="1"/>
  <c r="H245" i="1" s="1"/>
  <c r="H246" i="1" s="1"/>
  <c r="H247" i="1" s="1"/>
  <c r="H248" i="1" s="1"/>
  <c r="H249" i="1" s="1"/>
  <c r="H250" i="1" s="1"/>
  <c r="H251" i="1" s="1"/>
  <c r="H252" i="1" s="1"/>
  <c r="H253" i="1" s="1"/>
  <c r="H254" i="1" s="1"/>
  <c r="H255" i="1" s="1"/>
  <c r="H256" i="1" s="1"/>
  <c r="H257" i="1" s="1"/>
  <c r="H258" i="1" s="1"/>
  <c r="H259" i="1" s="1"/>
  <c r="H260" i="1" s="1"/>
  <c r="H261" i="1" s="1"/>
  <c r="F98" i="1"/>
  <c r="E98" i="1"/>
  <c r="G98" i="1" s="1"/>
  <c r="L98" i="1" s="1"/>
  <c r="G97" i="1"/>
  <c r="L97" i="1" s="1"/>
  <c r="F97" i="1"/>
  <c r="E97" i="1"/>
  <c r="F96" i="1"/>
  <c r="G96" i="1" s="1"/>
  <c r="L96" i="1" s="1"/>
  <c r="E96" i="1"/>
  <c r="F95" i="1"/>
  <c r="E95" i="1"/>
  <c r="G95" i="1" s="1"/>
  <c r="L95" i="1" s="1"/>
  <c r="F94" i="1"/>
  <c r="E94" i="1"/>
  <c r="G94" i="1" s="1"/>
  <c r="L94" i="1" s="1"/>
  <c r="F93" i="1"/>
  <c r="E93" i="1"/>
  <c r="G93" i="1" s="1"/>
  <c r="L93" i="1" s="1"/>
  <c r="F92" i="1"/>
  <c r="G92" i="1" s="1"/>
  <c r="L92" i="1" s="1"/>
  <c r="E92" i="1"/>
  <c r="F91" i="1"/>
  <c r="E91" i="1"/>
  <c r="G91" i="1" s="1"/>
  <c r="L91" i="1" s="1"/>
  <c r="F90" i="1"/>
  <c r="E90" i="1"/>
  <c r="G90" i="1" s="1"/>
  <c r="L90" i="1" s="1"/>
  <c r="G89" i="1"/>
  <c r="L89" i="1" s="1"/>
  <c r="F89" i="1"/>
  <c r="E89" i="1"/>
  <c r="F88" i="1"/>
  <c r="G88" i="1" s="1"/>
  <c r="L88" i="1" s="1"/>
  <c r="E88" i="1"/>
  <c r="F87" i="1"/>
  <c r="E87" i="1"/>
  <c r="G87" i="1" s="1"/>
  <c r="L87" i="1" s="1"/>
  <c r="F86" i="1"/>
  <c r="E86" i="1"/>
  <c r="G86" i="1" s="1"/>
  <c r="L86" i="1" s="1"/>
  <c r="F85" i="1"/>
  <c r="E85" i="1"/>
  <c r="G85" i="1" s="1"/>
  <c r="L85" i="1" s="1"/>
  <c r="F84" i="1"/>
  <c r="G84" i="1" s="1"/>
  <c r="L84" i="1" s="1"/>
  <c r="E84" i="1"/>
  <c r="F83" i="1"/>
  <c r="E83" i="1"/>
  <c r="G83" i="1" s="1"/>
  <c r="L83" i="1" s="1"/>
  <c r="F82" i="1"/>
  <c r="E82" i="1"/>
  <c r="G82" i="1" s="1"/>
  <c r="L82" i="1" s="1"/>
  <c r="G81" i="1"/>
  <c r="L81" i="1" s="1"/>
  <c r="F81" i="1"/>
  <c r="E81" i="1"/>
  <c r="F80" i="1"/>
  <c r="G80" i="1" s="1"/>
  <c r="L80" i="1" s="1"/>
  <c r="E80" i="1"/>
  <c r="F79" i="1"/>
  <c r="E79" i="1"/>
  <c r="G79" i="1" s="1"/>
  <c r="L79" i="1" s="1"/>
  <c r="F78" i="1"/>
  <c r="E78" i="1"/>
  <c r="G78" i="1" s="1"/>
  <c r="L78" i="1" s="1"/>
  <c r="F77" i="1"/>
  <c r="E77" i="1"/>
  <c r="G77" i="1" s="1"/>
  <c r="L77" i="1" s="1"/>
  <c r="F76" i="1"/>
  <c r="G76" i="1" s="1"/>
  <c r="L76" i="1" s="1"/>
  <c r="E76" i="1"/>
  <c r="F75" i="1"/>
  <c r="E75" i="1"/>
  <c r="G75" i="1" s="1"/>
  <c r="L75" i="1" s="1"/>
  <c r="F74" i="1"/>
  <c r="E74" i="1"/>
  <c r="G74" i="1" s="1"/>
  <c r="L74" i="1" s="1"/>
  <c r="G73" i="1"/>
  <c r="L73" i="1" s="1"/>
  <c r="F73" i="1"/>
  <c r="E73" i="1"/>
  <c r="F72" i="1"/>
  <c r="G72" i="1" s="1"/>
  <c r="L72" i="1" s="1"/>
  <c r="E72" i="1"/>
  <c r="F71" i="1"/>
  <c r="E71" i="1"/>
  <c r="G71" i="1" s="1"/>
  <c r="L71" i="1" s="1"/>
  <c r="F70" i="1"/>
  <c r="E70" i="1"/>
  <c r="G70" i="1" s="1"/>
  <c r="L70" i="1" s="1"/>
  <c r="F69" i="1"/>
  <c r="E69" i="1"/>
  <c r="G69" i="1" s="1"/>
  <c r="L69" i="1" s="1"/>
  <c r="F68" i="1"/>
  <c r="G68" i="1" s="1"/>
  <c r="L68" i="1" s="1"/>
  <c r="E68" i="1"/>
  <c r="F67" i="1"/>
  <c r="E67" i="1"/>
  <c r="G67" i="1" s="1"/>
  <c r="L67" i="1" s="1"/>
  <c r="F66" i="1"/>
  <c r="E66" i="1"/>
  <c r="G66" i="1" s="1"/>
  <c r="L66" i="1" s="1"/>
  <c r="G65" i="1"/>
  <c r="L65" i="1" s="1"/>
  <c r="F65" i="1"/>
  <c r="E65" i="1"/>
  <c r="F64" i="1"/>
  <c r="G64" i="1" s="1"/>
  <c r="L64" i="1" s="1"/>
  <c r="E64" i="1"/>
  <c r="F63" i="1"/>
  <c r="E63" i="1"/>
  <c r="G63" i="1" s="1"/>
  <c r="L63" i="1" s="1"/>
  <c r="F62" i="1"/>
  <c r="E62" i="1"/>
  <c r="G62" i="1" s="1"/>
  <c r="L62" i="1" s="1"/>
  <c r="F61" i="1"/>
  <c r="E61" i="1"/>
  <c r="G61" i="1" s="1"/>
  <c r="L61" i="1" s="1"/>
  <c r="F60" i="1"/>
  <c r="G60" i="1" s="1"/>
  <c r="L60" i="1" s="1"/>
  <c r="E60" i="1"/>
  <c r="F59" i="1"/>
  <c r="E59" i="1"/>
  <c r="G59" i="1" s="1"/>
  <c r="L59" i="1" s="1"/>
  <c r="F58" i="1"/>
  <c r="E58" i="1"/>
  <c r="G58" i="1" s="1"/>
  <c r="L58" i="1" s="1"/>
  <c r="G57" i="1"/>
  <c r="L57" i="1" s="1"/>
  <c r="F57" i="1"/>
  <c r="E57" i="1"/>
  <c r="F56" i="1"/>
  <c r="G56" i="1" s="1"/>
  <c r="L56" i="1" s="1"/>
  <c r="E56" i="1"/>
  <c r="F55" i="1"/>
  <c r="E55" i="1"/>
  <c r="G55" i="1" s="1"/>
  <c r="L55" i="1" s="1"/>
  <c r="F54" i="1"/>
  <c r="E54" i="1"/>
  <c r="G54" i="1" s="1"/>
  <c r="L54" i="1" s="1"/>
  <c r="F53" i="1"/>
  <c r="E53" i="1"/>
  <c r="G53" i="1" s="1"/>
  <c r="L53" i="1" s="1"/>
  <c r="F52" i="1"/>
  <c r="G52" i="1" s="1"/>
  <c r="L52" i="1" s="1"/>
  <c r="E52" i="1"/>
  <c r="F51" i="1"/>
  <c r="E51" i="1"/>
  <c r="G51" i="1" s="1"/>
  <c r="L51" i="1" s="1"/>
  <c r="F50" i="1"/>
  <c r="E50" i="1"/>
  <c r="G50" i="1" s="1"/>
  <c r="L50" i="1" s="1"/>
  <c r="G49" i="1"/>
  <c r="L49" i="1" s="1"/>
  <c r="F49" i="1"/>
  <c r="E49" i="1"/>
  <c r="F48" i="1"/>
  <c r="G48" i="1" s="1"/>
  <c r="L48" i="1" s="1"/>
  <c r="E48" i="1"/>
  <c r="F47" i="1"/>
  <c r="E47" i="1"/>
  <c r="G47" i="1" s="1"/>
  <c r="L47" i="1" s="1"/>
  <c r="F46" i="1"/>
  <c r="E46" i="1"/>
  <c r="G46" i="1" s="1"/>
  <c r="L46" i="1" s="1"/>
  <c r="F45" i="1"/>
  <c r="E45" i="1"/>
  <c r="G45" i="1" s="1"/>
  <c r="L45" i="1" s="1"/>
  <c r="F44" i="1"/>
  <c r="G44" i="1" s="1"/>
  <c r="L44" i="1" s="1"/>
  <c r="E44" i="1"/>
  <c r="F43" i="1"/>
  <c r="E43" i="1"/>
  <c r="G43" i="1" s="1"/>
  <c r="L43" i="1" s="1"/>
  <c r="F42" i="1"/>
  <c r="E42" i="1"/>
  <c r="G42" i="1" s="1"/>
  <c r="L42" i="1" s="1"/>
  <c r="G41" i="1"/>
  <c r="L41" i="1" s="1"/>
  <c r="F41" i="1"/>
  <c r="E41" i="1"/>
  <c r="F40" i="1"/>
  <c r="G40" i="1" s="1"/>
  <c r="L40" i="1" s="1"/>
  <c r="E40" i="1"/>
  <c r="F39" i="1"/>
  <c r="E39" i="1"/>
  <c r="G39" i="1" s="1"/>
  <c r="L39" i="1" s="1"/>
  <c r="F38" i="1"/>
  <c r="E38" i="1"/>
  <c r="G38" i="1" s="1"/>
  <c r="L38" i="1" s="1"/>
  <c r="F37" i="1"/>
  <c r="E37" i="1"/>
  <c r="G37" i="1" s="1"/>
  <c r="L37" i="1" s="1"/>
  <c r="F36" i="1"/>
  <c r="G36" i="1" s="1"/>
  <c r="L36" i="1" s="1"/>
  <c r="E36" i="1"/>
  <c r="F35" i="1"/>
  <c r="E35" i="1"/>
  <c r="G35" i="1" s="1"/>
  <c r="L35" i="1" s="1"/>
  <c r="H34" i="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H94" i="1" s="1"/>
  <c r="H95" i="1" s="1"/>
  <c r="H96" i="1" s="1"/>
  <c r="H97" i="1" s="1"/>
  <c r="F34" i="1"/>
  <c r="E34" i="1"/>
  <c r="G34" i="1" s="1"/>
  <c r="L34" i="1" s="1"/>
  <c r="F33" i="1"/>
  <c r="E33" i="1"/>
  <c r="G33" i="1" s="1"/>
  <c r="L33" i="1" s="1"/>
  <c r="G32" i="1"/>
  <c r="L32" i="1" s="1"/>
  <c r="F32" i="1"/>
  <c r="E32" i="1"/>
  <c r="F31" i="1"/>
  <c r="G31" i="1" s="1"/>
  <c r="L31" i="1" s="1"/>
  <c r="E31" i="1"/>
  <c r="F30" i="1"/>
  <c r="E30" i="1"/>
  <c r="G30" i="1" s="1"/>
  <c r="L30" i="1" s="1"/>
  <c r="F29" i="1"/>
  <c r="E29" i="1"/>
  <c r="G29" i="1" s="1"/>
  <c r="L29" i="1" s="1"/>
  <c r="F28" i="1"/>
  <c r="E28" i="1"/>
  <c r="G28" i="1" s="1"/>
  <c r="L28" i="1" s="1"/>
  <c r="F27" i="1"/>
  <c r="G27" i="1" s="1"/>
  <c r="L27" i="1" s="1"/>
  <c r="E27" i="1"/>
  <c r="F26" i="1"/>
  <c r="E26" i="1"/>
  <c r="G26" i="1" s="1"/>
  <c r="L26" i="1" s="1"/>
  <c r="F25" i="1"/>
  <c r="E25" i="1"/>
  <c r="G25" i="1" s="1"/>
  <c r="L25" i="1" s="1"/>
  <c r="F24" i="1"/>
  <c r="E24" i="1"/>
  <c r="G24" i="1" s="1"/>
  <c r="L24" i="1" s="1"/>
  <c r="F23" i="1"/>
  <c r="E23" i="1"/>
  <c r="G23" i="1" s="1"/>
  <c r="L23" i="1" s="1"/>
  <c r="F22" i="1"/>
  <c r="E22" i="1"/>
  <c r="G22" i="1" s="1"/>
  <c r="L22" i="1" s="1"/>
  <c r="F21" i="1"/>
  <c r="E21" i="1"/>
  <c r="G21" i="1" s="1"/>
  <c r="L21" i="1" s="1"/>
  <c r="F20" i="1"/>
  <c r="E20" i="1"/>
  <c r="G20" i="1" s="1"/>
  <c r="L20" i="1" s="1"/>
  <c r="F19" i="1"/>
  <c r="E19" i="1"/>
  <c r="G19" i="1" s="1"/>
  <c r="L19" i="1" s="1"/>
  <c r="F18" i="1"/>
  <c r="E18" i="1"/>
  <c r="G18" i="1" s="1"/>
  <c r="L18" i="1" s="1"/>
  <c r="E17" i="1"/>
  <c r="G17" i="1" s="1"/>
  <c r="L17" i="1" s="1"/>
  <c r="E16" i="1"/>
  <c r="G16" i="1" s="1"/>
  <c r="L16" i="1" s="1"/>
  <c r="E15" i="1"/>
  <c r="G15" i="1" s="1"/>
  <c r="L15" i="1" s="1"/>
  <c r="E14" i="1"/>
  <c r="G14" i="1" s="1"/>
  <c r="L14" i="1" s="1"/>
  <c r="E13" i="1"/>
  <c r="G13" i="1" s="1"/>
  <c r="L13" i="1" s="1"/>
  <c r="E12" i="1"/>
  <c r="G12" i="1" s="1"/>
  <c r="L12" i="1" s="1"/>
  <c r="E11" i="1"/>
  <c r="G11" i="1" s="1"/>
  <c r="L11" i="1" s="1"/>
  <c r="E10" i="1"/>
  <c r="G10" i="1" s="1"/>
  <c r="L10" i="1" s="1"/>
  <c r="E9" i="1"/>
  <c r="G9" i="1" s="1"/>
  <c r="L9" i="1" s="1"/>
  <c r="E8" i="1"/>
  <c r="G8" i="1" s="1"/>
  <c r="L8" i="1" s="1"/>
  <c r="E7" i="1"/>
  <c r="G7" i="1" s="1"/>
  <c r="L7" i="1" s="1"/>
  <c r="E6" i="1"/>
  <c r="G6" i="1" s="1"/>
  <c r="L6" i="1" s="1"/>
  <c r="E5" i="1"/>
  <c r="G5" i="1" s="1"/>
  <c r="L5" i="1" s="1"/>
  <c r="E4" i="1"/>
  <c r="G4" i="1" s="1"/>
  <c r="L4" i="1" s="1"/>
  <c r="E3" i="1"/>
  <c r="G3" i="1" s="1"/>
  <c r="L3" i="1" s="1"/>
  <c r="H2" i="1"/>
  <c r="H3" i="1" s="1"/>
  <c r="H4" i="1" s="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E2" i="1"/>
  <c r="G2" i="1" s="1"/>
  <c r="L2" i="1" s="1"/>
  <c r="K19" i="1" l="1"/>
  <c r="K11" i="1"/>
  <c r="K18" i="1"/>
  <c r="K10" i="1"/>
  <c r="K17" i="1"/>
  <c r="K9" i="1"/>
  <c r="K16" i="1"/>
  <c r="K8" i="1"/>
  <c r="K15" i="1"/>
  <c r="K7" i="1"/>
  <c r="K14" i="1"/>
  <c r="K6" i="1"/>
  <c r="K21" i="1"/>
  <c r="K13" i="1"/>
  <c r="K20" i="1"/>
  <c r="K12" i="1"/>
</calcChain>
</file>

<file path=xl/sharedStrings.xml><?xml version="1.0" encoding="utf-8"?>
<sst xmlns="http://schemas.openxmlformats.org/spreadsheetml/2006/main" count="1118" uniqueCount="234">
  <si>
    <t>dataset</t>
  </si>
  <si>
    <t>timestamp</t>
  </si>
  <si>
    <t>container</t>
  </si>
  <si>
    <t>blk_io</t>
  </si>
  <si>
    <t>blk_read_mib</t>
  </si>
  <si>
    <t>blk_write_mib</t>
  </si>
  <si>
    <t>blk_total_mib</t>
  </si>
  <si>
    <t>elapsed_s</t>
  </si>
  <si>
    <t>blk_read_mib_delta</t>
  </si>
  <si>
    <t>blk_write_mib_delta</t>
  </si>
  <si>
    <t>blk_total_mib_delta</t>
  </si>
  <si>
    <t>blk_total_mib_job</t>
  </si>
  <si>
    <t>Email-EuAll</t>
  </si>
  <si>
    <t>namenode</t>
  </si>
  <si>
    <t>788MB / 304MB</t>
  </si>
  <si>
    <t>datanode</t>
  </si>
  <si>
    <t>3.82GB / 4.33GB</t>
  </si>
  <si>
    <t>resourcemanager</t>
  </si>
  <si>
    <t>217MB / 409MB</t>
  </si>
  <si>
    <t>nodemanager</t>
  </si>
  <si>
    <t>2.75GB / 6.48GB</t>
  </si>
  <si>
    <t>793MB / 304MB</t>
  </si>
  <si>
    <t>220MB / 409MB</t>
  </si>
  <si>
    <t>3.82GB / 4.34GB</t>
  </si>
  <si>
    <t>222MB / 409MB</t>
  </si>
  <si>
    <t>223MB / 409MB</t>
  </si>
  <si>
    <t>795MB / 304MB</t>
  </si>
  <si>
    <t>3.83GB / 4.34GB</t>
  </si>
  <si>
    <t>224MB / 409MB</t>
  </si>
  <si>
    <t>798MB / 304MB</t>
  </si>
  <si>
    <t>226MB / 409MB</t>
  </si>
  <si>
    <t>799MB / 304MB</t>
  </si>
  <si>
    <t>227MB / 409MB</t>
  </si>
  <si>
    <t>cit-Patents</t>
  </si>
  <si>
    <t>805MB / 304MB</t>
  </si>
  <si>
    <t>3.84GB / 4.61GB</t>
  </si>
  <si>
    <t>228MB / 409MB</t>
  </si>
  <si>
    <t>807MB / 305MB</t>
  </si>
  <si>
    <t>235MB / 409MB</t>
  </si>
  <si>
    <t>808MB / 305MB</t>
  </si>
  <si>
    <t>236MB / 409MB</t>
  </si>
  <si>
    <t>808MB / 309MB</t>
  </si>
  <si>
    <t>3.91GB / 4.63GB</t>
  </si>
  <si>
    <t>236MB / 415MB</t>
  </si>
  <si>
    <t>2.75GB / 6.5GB</t>
  </si>
  <si>
    <t>808MB / 311MB</t>
  </si>
  <si>
    <t>3.96GB / 4.65GB</t>
  </si>
  <si>
    <t>237MB / 417MB</t>
  </si>
  <si>
    <t>2.75GB / 6.54GB</t>
  </si>
  <si>
    <t>3.99GB / 4.66GB</t>
  </si>
  <si>
    <t>237MB / 424MB</t>
  </si>
  <si>
    <t>2.75GB / 6.6GB</t>
  </si>
  <si>
    <t>810MB / 311MB</t>
  </si>
  <si>
    <t>3.99GB / 4.67GB</t>
  </si>
  <si>
    <t>2.8GB / 6.72GB</t>
  </si>
  <si>
    <t>810MB / 312MB</t>
  </si>
  <si>
    <t>4.06GB / 4.67GB</t>
  </si>
  <si>
    <t>810MB / 315MB</t>
  </si>
  <si>
    <t>4.12GB / 4.68GB</t>
  </si>
  <si>
    <t>237MB / 431MB</t>
  </si>
  <si>
    <t>2.8GB / 6.81GB</t>
  </si>
  <si>
    <t>811MB / 324MB</t>
  </si>
  <si>
    <t>4.14GB / 4.69GB</t>
  </si>
  <si>
    <t>240MB / 444MB</t>
  </si>
  <si>
    <t>2.87GB / 6.99GB</t>
  </si>
  <si>
    <t>4.14GB / 4.71GB</t>
  </si>
  <si>
    <t>243MB / 444MB</t>
  </si>
  <si>
    <t>3GB / 7.2GB</t>
  </si>
  <si>
    <t>813MB / 324MB</t>
  </si>
  <si>
    <t>4.14GB / 4.73GB</t>
  </si>
  <si>
    <t>244MB / 444MB</t>
  </si>
  <si>
    <t>3.01GB / 7.2GB</t>
  </si>
  <si>
    <t>815MB / 324MB</t>
  </si>
  <si>
    <t>4.15GB / 4.73GB</t>
  </si>
  <si>
    <t>254MB / 444MB</t>
  </si>
  <si>
    <t>3.02GB / 7.2GB</t>
  </si>
  <si>
    <t>817MB / 324MB</t>
  </si>
  <si>
    <t>257MB / 444MB</t>
  </si>
  <si>
    <t>3.04GB / 7.2GB</t>
  </si>
  <si>
    <t>818MB / 324MB</t>
  </si>
  <si>
    <t>258MB / 444MB</t>
  </si>
  <si>
    <t>3.04GB / 7.24GB</t>
  </si>
  <si>
    <t>soc-LiveJournal1</t>
  </si>
  <si>
    <t>1.1GB / 340MB</t>
  </si>
  <si>
    <t>4.2GB / 5.79GB</t>
  </si>
  <si>
    <t>259MB / 447MB</t>
  </si>
  <si>
    <t>3.04GB / 7.27GB</t>
  </si>
  <si>
    <t>1.12GB / 340MB</t>
  </si>
  <si>
    <t>262MB / 447MB</t>
  </si>
  <si>
    <t>3.05GB / 7.27GB</t>
  </si>
  <si>
    <t>4.2GB / 5.85GB</t>
  </si>
  <si>
    <t>264MB / 447MB</t>
  </si>
  <si>
    <t>3.07GB / 7.27GB</t>
  </si>
  <si>
    <t>4.27GB / 5.85GB</t>
  </si>
  <si>
    <t>265MB / 447MB</t>
  </si>
  <si>
    <t>4.32GB / 5.87GB</t>
  </si>
  <si>
    <t>265MB / 452MB</t>
  </si>
  <si>
    <t>3.07GB / 7.3GB</t>
  </si>
  <si>
    <t>4.35GB / 5.89GB</t>
  </si>
  <si>
    <t>265MB / 453MB</t>
  </si>
  <si>
    <t>3.09GB / 7.46GB</t>
  </si>
  <si>
    <t>4.38GB / 5.89GB</t>
  </si>
  <si>
    <t>266MB / 453MB</t>
  </si>
  <si>
    <t>3.12GB / 7.49GB</t>
  </si>
  <si>
    <t>4.44GB / 5.89GB</t>
  </si>
  <si>
    <t>3.13GB / 7.52GB</t>
  </si>
  <si>
    <t>4.49GB / 5.89GB</t>
  </si>
  <si>
    <t>3.13GB / 7.56GB</t>
  </si>
  <si>
    <t>3.18GB / 7.75GB</t>
  </si>
  <si>
    <t>4.52GB / 5.89GB</t>
  </si>
  <si>
    <t>267MB / 453MB</t>
  </si>
  <si>
    <t>3.2GB / 7.75GB</t>
  </si>
  <si>
    <t>1.12GB / 343MB</t>
  </si>
  <si>
    <t>4.6GB / 5.9GB</t>
  </si>
  <si>
    <t>268MB / 453MB</t>
  </si>
  <si>
    <t>3.2GB / 7.8GB</t>
  </si>
  <si>
    <t>4.63GB / 5.9GB</t>
  </si>
  <si>
    <t>3.2GB / 7.84GB</t>
  </si>
  <si>
    <t>1.12GB / 345MB</t>
  </si>
  <si>
    <t>269MB / 453MB</t>
  </si>
  <si>
    <t>3.22GB / 7.99GB</t>
  </si>
  <si>
    <t>4.69GB / 5.9GB</t>
  </si>
  <si>
    <t>3.26GB / 7.99GB</t>
  </si>
  <si>
    <t>1.12GB / 349MB</t>
  </si>
  <si>
    <t>4.74GB / 5.9GB</t>
  </si>
  <si>
    <t>3.26GB / 8.05GB</t>
  </si>
  <si>
    <t>1.12GB / 350MB</t>
  </si>
  <si>
    <t>4.78GB / 5.9GB</t>
  </si>
  <si>
    <t>279MB / 453MB</t>
  </si>
  <si>
    <t>3.26GB / 8.11GB</t>
  </si>
  <si>
    <t>1.13GB / 350MB</t>
  </si>
  <si>
    <t>280MB / 453MB</t>
  </si>
  <si>
    <t>3.34GB / 8.23GB</t>
  </si>
  <si>
    <t>4.84GB / 5.9GB</t>
  </si>
  <si>
    <t>4.89GB / 5.91GB</t>
  </si>
  <si>
    <t>281MB / 453MB</t>
  </si>
  <si>
    <t>3.36GB / 8.27GB</t>
  </si>
  <si>
    <t>4.92GB / 5.91GB</t>
  </si>
  <si>
    <t>3.36GB / 8.43GB</t>
  </si>
  <si>
    <t>282MB / 453MB</t>
  </si>
  <si>
    <t>3.39GB / 8.51GB</t>
  </si>
  <si>
    <t>4.99GB / 5.91GB</t>
  </si>
  <si>
    <t>1.13GB / 356MB</t>
  </si>
  <si>
    <t>5.06GB / 5.91GB</t>
  </si>
  <si>
    <t>282MB / 454MB</t>
  </si>
  <si>
    <t>3.39GB / 8.59GB</t>
  </si>
  <si>
    <t>283MB / 454MB</t>
  </si>
  <si>
    <t>3.4GB / 8.71GB</t>
  </si>
  <si>
    <t>5.14GB / 5.91GB</t>
  </si>
  <si>
    <t>3.42GB / 8.71GB</t>
  </si>
  <si>
    <t>5.2GB / 5.93GB</t>
  </si>
  <si>
    <t>284MB / 454MB</t>
  </si>
  <si>
    <t>3.43GB / 8.74GB</t>
  </si>
  <si>
    <t>5.22GB / 5.93GB</t>
  </si>
  <si>
    <t>3.43GB / 8.87GB</t>
  </si>
  <si>
    <t>285MB / 454MB</t>
  </si>
  <si>
    <t>3.49GB / 8.94GB</t>
  </si>
  <si>
    <t>5.3GB / 5.93GB</t>
  </si>
  <si>
    <t>3.5GB / 8.94GB</t>
  </si>
  <si>
    <t>5.37GB / 5.94GB</t>
  </si>
  <si>
    <t>286MB / 454MB</t>
  </si>
  <si>
    <t>3.51GB / 9.07GB</t>
  </si>
  <si>
    <t>3.54GB / 9.19GB</t>
  </si>
  <si>
    <t>5.38GB / 5.94GB</t>
  </si>
  <si>
    <t>4.53GB / 10.1GB</t>
  </si>
  <si>
    <t>287MB / 454MB</t>
  </si>
  <si>
    <t>4.68GB / 10.1GB</t>
  </si>
  <si>
    <t>5.38GB / 5.95GB</t>
  </si>
  <si>
    <t>4.95GB / 10.1GB</t>
  </si>
  <si>
    <t>287MB / 455MB</t>
  </si>
  <si>
    <t>5.16GB / 10.2GB</t>
  </si>
  <si>
    <t>1.14GB / 356MB</t>
  </si>
  <si>
    <t>5.39GB / 5.98GB</t>
  </si>
  <si>
    <t>288MB / 455MB</t>
  </si>
  <si>
    <t>5.25GB / 10.2GB</t>
  </si>
  <si>
    <t>292MB / 455MB</t>
  </si>
  <si>
    <t>5.3GB / 10.2GB</t>
  </si>
  <si>
    <t>5.4GB / 5.98GB</t>
  </si>
  <si>
    <t>293MB / 455MB</t>
  </si>
  <si>
    <t>5.31GB / 10.2GB</t>
  </si>
  <si>
    <t>5.4GB / 5.99GB</t>
  </si>
  <si>
    <t>5.32GB / 10.2GB</t>
  </si>
  <si>
    <t>soc-pokec-relationships</t>
  </si>
  <si>
    <t>1.14GB / 357MB</t>
  </si>
  <si>
    <t>5.42GB / 6.4GB</t>
  </si>
  <si>
    <t>295MB / 455MB</t>
  </si>
  <si>
    <t>298MB / 455MB</t>
  </si>
  <si>
    <t>1.15GB / 369MB</t>
  </si>
  <si>
    <t>5.42GB / 6.41GB</t>
  </si>
  <si>
    <t>299MB / 458MB</t>
  </si>
  <si>
    <t>5.33GB / 10.3GB</t>
  </si>
  <si>
    <t>5.48GB / 6.41GB</t>
  </si>
  <si>
    <t>5.52GB / 6.42GB</t>
  </si>
  <si>
    <t>5.57GB / 6.43GB</t>
  </si>
  <si>
    <t>300MB / 458MB</t>
  </si>
  <si>
    <t>5.34GB / 10.4GB</t>
  </si>
  <si>
    <t>312MB / 458MB</t>
  </si>
  <si>
    <t>5.41GB / 10.5GB</t>
  </si>
  <si>
    <t>5.62GB / 6.44GB</t>
  </si>
  <si>
    <t>5.46GB / 10.6GB</t>
  </si>
  <si>
    <t>5.67GB / 6.44GB</t>
  </si>
  <si>
    <t>5.71GB / 6.44GB</t>
  </si>
  <si>
    <t>5.53GB / 10.8GB</t>
  </si>
  <si>
    <t>5.77GB / 6.44GB</t>
  </si>
  <si>
    <t>5.55GB / 10.8GB</t>
  </si>
  <si>
    <t>5.82GB / 6.44GB</t>
  </si>
  <si>
    <t>312MB / 459MB</t>
  </si>
  <si>
    <t>5.55GB / 10.9GB</t>
  </si>
  <si>
    <t>5.85GB / 6.44GB</t>
  </si>
  <si>
    <t>5.55GB / 11GB</t>
  </si>
  <si>
    <t>313MB / 459MB</t>
  </si>
  <si>
    <t>5.6GB / 11.1GB</t>
  </si>
  <si>
    <t>1.16GB / 369MB</t>
  </si>
  <si>
    <t>5.87GB / 6.44GB</t>
  </si>
  <si>
    <t>5.61GB / 11.1GB</t>
  </si>
  <si>
    <t>5.87GB / 6.46GB</t>
  </si>
  <si>
    <t>5.96GB / 11.5GB</t>
  </si>
  <si>
    <t>1.16GB / 370MB</t>
  </si>
  <si>
    <t>5.87GB / 6.47GB</t>
  </si>
  <si>
    <t>324MB / 459MB</t>
  </si>
  <si>
    <t>6.07GB / 11.5GB</t>
  </si>
  <si>
    <t>5.88GB / 6.47GB</t>
  </si>
  <si>
    <t>325MB / 459MB</t>
  </si>
  <si>
    <t>6.11GB / 11.5GB</t>
  </si>
  <si>
    <t>326MB / 459MB</t>
  </si>
  <si>
    <t>6.13GB / 11.5GB</t>
  </si>
  <si>
    <t>328MB / 459MB</t>
  </si>
  <si>
    <t>6.14GB / 11.5GB</t>
  </si>
  <si>
    <t>5.88GB / 6.48GB</t>
  </si>
  <si>
    <t>Column Labels</t>
  </si>
  <si>
    <t>Grand Total</t>
  </si>
  <si>
    <t>Row Labels</t>
  </si>
  <si>
    <t>Sum of blk_total_mib</t>
  </si>
  <si>
    <t>Sum of blk_total_mib_delta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</si>
</sst>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2" fontId="2" fillId="0" borderId="0" xfId="0" applyNumberFormat="1" applyFont="1"/>
    <xf numFmtId="1" fontId="2" fillId="0" borderId="0" xfId="0" applyNumberFormat="1" applyFont="1"/>
    <xf numFmtId="0" fontId="0" fillId="0" borderId="0" xfId="0" pivotButton="1"/>
    <xf numFmtId="1" fontId="0" fillId="0" borderId="0" xfId="0" applyNumberFormat="1" applyAlignment="1">
      <alignment horizontal="left"/>
    </xf>
    <xf numFmtId="2" fontId="0" fillId="0" borderId="0" xfId="0" applyNumberFormat="1"/>
  </cellXfs>
  <cellStyles count="1">
    <cellStyle name="Normal" xfId="0" builtinId="0"/>
  </cellStyles>
  <dxfs count="10">
    <dxf>
      <font>
        <b val="0"/>
        <i val="0"/>
        <strike val="0"/>
        <condense val="0"/>
        <extend val="0"/>
        <outline val="0"/>
        <shadow val="0"/>
        <u val="none"/>
        <vertAlign val="baseline"/>
        <sz val="12"/>
        <color rgb="FF000000"/>
        <name val="Calibri"/>
        <family val="2"/>
        <scheme val="minor"/>
      </font>
      <numFmt numFmtId="2" formatCode="0.00"/>
    </dxf>
    <dxf>
      <font>
        <b val="0"/>
        <i val="0"/>
        <strike val="0"/>
        <condense val="0"/>
        <extend val="0"/>
        <outline val="0"/>
        <shadow val="0"/>
        <u val="none"/>
        <vertAlign val="baseline"/>
        <sz val="12"/>
        <color rgb="FF000000"/>
        <name val="Calibri"/>
        <family val="2"/>
        <scheme val="minor"/>
      </font>
      <numFmt numFmtId="2" formatCode="0.00"/>
    </dxf>
    <dxf>
      <font>
        <b val="0"/>
        <i val="0"/>
        <strike val="0"/>
        <condense val="0"/>
        <extend val="0"/>
        <outline val="0"/>
        <shadow val="0"/>
        <u val="none"/>
        <vertAlign val="baseline"/>
        <sz val="12"/>
        <color rgb="FF000000"/>
        <name val="Calibri"/>
        <family val="2"/>
        <scheme val="minor"/>
      </font>
      <numFmt numFmtId="2" formatCode="0.00"/>
    </dxf>
    <dxf>
      <font>
        <b val="0"/>
        <i val="0"/>
        <strike val="0"/>
        <condense val="0"/>
        <extend val="0"/>
        <outline val="0"/>
        <shadow val="0"/>
        <u val="none"/>
        <vertAlign val="baseline"/>
        <sz val="12"/>
        <color rgb="FF000000"/>
        <name val="Calibri"/>
        <family val="2"/>
        <scheme val="minor"/>
      </font>
      <numFmt numFmtId="2" formatCode="0.00"/>
    </dxf>
    <dxf>
      <font>
        <b val="0"/>
        <i val="0"/>
        <strike val="0"/>
        <condense val="0"/>
        <extend val="0"/>
        <outline val="0"/>
        <shadow val="0"/>
        <u val="none"/>
        <vertAlign val="baseline"/>
        <sz val="12"/>
        <color rgb="FF000000"/>
        <name val="Calibri"/>
        <family val="2"/>
        <scheme val="minor"/>
      </font>
      <numFmt numFmtId="1" formatCode="0"/>
    </dxf>
    <dxf>
      <font>
        <b val="0"/>
        <i val="0"/>
        <strike val="0"/>
        <condense val="0"/>
        <extend val="0"/>
        <outline val="0"/>
        <shadow val="0"/>
        <u val="none"/>
        <vertAlign val="baseline"/>
        <sz val="12"/>
        <color rgb="FF000000"/>
        <name val="Calibri"/>
        <family val="2"/>
        <scheme val="minor"/>
      </font>
      <numFmt numFmtId="2" formatCode="0.00"/>
    </dxf>
    <dxf>
      <font>
        <b val="0"/>
        <i val="0"/>
        <strike val="0"/>
        <condense val="0"/>
        <extend val="0"/>
        <outline val="0"/>
        <shadow val="0"/>
        <u val="none"/>
        <vertAlign val="baseline"/>
        <sz val="12"/>
        <color rgb="FF000000"/>
        <name val="Calibri"/>
        <family val="2"/>
        <scheme val="minor"/>
      </font>
      <numFmt numFmtId="2" formatCode="0.00"/>
    </dxf>
    <dxf>
      <font>
        <b val="0"/>
        <i val="0"/>
        <strike val="0"/>
        <condense val="0"/>
        <extend val="0"/>
        <outline val="0"/>
        <shadow val="0"/>
        <u val="none"/>
        <vertAlign val="baseline"/>
        <sz val="12"/>
        <color rgb="FF000000"/>
        <name val="Calibri"/>
        <family val="2"/>
        <scheme val="minor"/>
      </font>
      <numFmt numFmtId="2" formatCode="0.00"/>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cit-Patents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Sheet2!$B$5:$B$46</c:f>
              <c:numCache>
                <c:formatCode>0.00</c:formatCode>
                <c:ptCount val="41"/>
                <c:pt idx="0">
                  <c:v>18526.077270507812</c:v>
                </c:pt>
                <c:pt idx="1">
                  <c:v>18535.614013671875</c:v>
                </c:pt>
                <c:pt idx="2">
                  <c:v>18537.521362304688</c:v>
                </c:pt>
                <c:pt idx="3">
                  <c:v>18651.962280273438</c:v>
                </c:pt>
                <c:pt idx="4">
                  <c:v>18761.634826660156</c:v>
                </c:pt>
                <c:pt idx="5">
                  <c:v>18863.677978515625</c:v>
                </c:pt>
                <c:pt idx="6">
                  <c:v>19037.246704101562</c:v>
                </c:pt>
                <c:pt idx="7">
                  <c:v>19104.957580566406</c:v>
                </c:pt>
                <c:pt idx="8">
                  <c:v>19267.082214355469</c:v>
                </c:pt>
                <c:pt idx="9">
                  <c:v>19558.906555175781</c:v>
                </c:pt>
                <c:pt idx="10">
                  <c:v>19905.09033203125</c:v>
                </c:pt>
                <c:pt idx="11">
                  <c:v>19936.561584472656</c:v>
                </c:pt>
                <c:pt idx="12">
                  <c:v>19967.079162597656</c:v>
                </c:pt>
                <c:pt idx="13">
                  <c:v>19990.921020507812</c:v>
                </c:pt>
                <c:pt idx="14">
                  <c:v>19991.874694824219</c:v>
                </c:pt>
                <c:pt idx="15">
                  <c:v>20030.975341796875</c:v>
                </c:pt>
              </c:numCache>
            </c:numRef>
          </c:val>
          <c:smooth val="0"/>
          <c:extLst>
            <c:ext xmlns:c16="http://schemas.microsoft.com/office/drawing/2014/chart" uri="{C3380CC4-5D6E-409C-BE32-E72D297353CC}">
              <c16:uniqueId val="{00000000-B804-1141-BB74-53F8D1FFF862}"/>
            </c:ext>
          </c:extLst>
        </c:ser>
        <c:ser>
          <c:idx val="1"/>
          <c:order val="1"/>
          <c:tx>
            <c:strRef>
              <c:f>Sheet2!$C$3:$C$4</c:f>
              <c:strCache>
                <c:ptCount val="1"/>
                <c:pt idx="0">
                  <c:v>Email-EuAll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Sheet2!$C$5:$C$46</c:f>
              <c:numCache>
                <c:formatCode>0.00</c:formatCode>
                <c:ptCount val="41"/>
                <c:pt idx="0">
                  <c:v>18213.272094726562</c:v>
                </c:pt>
                <c:pt idx="1">
                  <c:v>18220.901489257812</c:v>
                </c:pt>
                <c:pt idx="2">
                  <c:v>18232.345581054688</c:v>
                </c:pt>
                <c:pt idx="3">
                  <c:v>18233.299255371094</c:v>
                </c:pt>
                <c:pt idx="4">
                  <c:v>18245.697021484375</c:v>
                </c:pt>
                <c:pt idx="5">
                  <c:v>18250.465393066406</c:v>
                </c:pt>
                <c:pt idx="6">
                  <c:v>18252.372741699219</c:v>
                </c:pt>
                <c:pt idx="7">
                  <c:v>18252.372741699219</c:v>
                </c:pt>
              </c:numCache>
            </c:numRef>
          </c:val>
          <c:smooth val="0"/>
          <c:extLst>
            <c:ext xmlns:c16="http://schemas.microsoft.com/office/drawing/2014/chart" uri="{C3380CC4-5D6E-409C-BE32-E72D297353CC}">
              <c16:uniqueId val="{00000001-B804-1141-BB74-53F8D1FFF862}"/>
            </c:ext>
          </c:extLst>
        </c:ser>
        <c:ser>
          <c:idx val="2"/>
          <c:order val="2"/>
          <c:tx>
            <c:strRef>
              <c:f>Sheet2!$D$3:$D$4</c:f>
              <c:strCache>
                <c:ptCount val="1"/>
                <c:pt idx="0">
                  <c:v>soc-LiveJournal1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Sheet2!$D$5:$D$46</c:f>
              <c:numCache>
                <c:formatCode>0.00</c:formatCode>
                <c:ptCount val="41"/>
                <c:pt idx="0">
                  <c:v>21406.173706054688</c:v>
                </c:pt>
                <c:pt idx="1">
                  <c:v>21437.644958496094</c:v>
                </c:pt>
                <c:pt idx="2">
                  <c:v>21515.846252441406</c:v>
                </c:pt>
                <c:pt idx="3">
                  <c:v>21583.55712890625</c:v>
                </c:pt>
                <c:pt idx="4">
                  <c:v>21683.692932128906</c:v>
                </c:pt>
                <c:pt idx="5">
                  <c:v>21903.99169921875</c:v>
                </c:pt>
                <c:pt idx="6">
                  <c:v>21990.776062011719</c:v>
                </c:pt>
                <c:pt idx="7">
                  <c:v>22086.143493652344</c:v>
                </c:pt>
                <c:pt idx="8">
                  <c:v>22171.974182128906</c:v>
                </c:pt>
                <c:pt idx="9">
                  <c:v>22400.856018066406</c:v>
                </c:pt>
                <c:pt idx="10">
                  <c:v>22449.493408203125</c:v>
                </c:pt>
                <c:pt idx="11">
                  <c:v>22586.822509765625</c:v>
                </c:pt>
                <c:pt idx="12">
                  <c:v>22653.579711914062</c:v>
                </c:pt>
                <c:pt idx="13">
                  <c:v>22818.565368652344</c:v>
                </c:pt>
                <c:pt idx="14">
                  <c:v>22913.932800292969</c:v>
                </c:pt>
                <c:pt idx="15">
                  <c:v>23022.651672363281</c:v>
                </c:pt>
                <c:pt idx="16">
                  <c:v>23128.509521484375</c:v>
                </c:pt>
                <c:pt idx="17">
                  <c:v>23329.734802246094</c:v>
                </c:pt>
                <c:pt idx="18">
                  <c:v>23386.955261230469</c:v>
                </c:pt>
                <c:pt idx="19">
                  <c:v>23502.349853515625</c:v>
                </c:pt>
                <c:pt idx="20">
                  <c:v>23683.547973632812</c:v>
                </c:pt>
                <c:pt idx="21">
                  <c:v>23789.405822753906</c:v>
                </c:pt>
                <c:pt idx="22">
                  <c:v>23856.163024902344</c:v>
                </c:pt>
                <c:pt idx="23">
                  <c:v>24005.889892578125</c:v>
                </c:pt>
                <c:pt idx="24">
                  <c:v>24130.821228027344</c:v>
                </c:pt>
                <c:pt idx="25">
                  <c:v>24226.188659667969</c:v>
                </c:pt>
                <c:pt idx="26">
                  <c:v>24341.583251953125</c:v>
                </c:pt>
                <c:pt idx="27">
                  <c:v>24484.634399414062</c:v>
                </c:pt>
                <c:pt idx="28">
                  <c:v>24609.565734863281</c:v>
                </c:pt>
                <c:pt idx="29">
                  <c:v>24695.396423339844</c:v>
                </c:pt>
                <c:pt idx="30">
                  <c:v>24906.158447265625</c:v>
                </c:pt>
                <c:pt idx="31">
                  <c:v>25049.209594726562</c:v>
                </c:pt>
                <c:pt idx="32">
                  <c:v>26870.7275390625</c:v>
                </c:pt>
                <c:pt idx="33">
                  <c:v>27014.732360839844</c:v>
                </c:pt>
                <c:pt idx="34">
                  <c:v>27281.761169433594</c:v>
                </c:pt>
                <c:pt idx="35">
                  <c:v>27578.353881835938</c:v>
                </c:pt>
                <c:pt idx="36">
                  <c:v>27712.821960449219</c:v>
                </c:pt>
                <c:pt idx="37">
                  <c:v>27764.320373535156</c:v>
                </c:pt>
                <c:pt idx="38">
                  <c:v>27784.347534179688</c:v>
                </c:pt>
                <c:pt idx="39">
                  <c:v>27784.347534179688</c:v>
                </c:pt>
                <c:pt idx="40">
                  <c:v>27803.421020507812</c:v>
                </c:pt>
              </c:numCache>
            </c:numRef>
          </c:val>
          <c:smooth val="0"/>
          <c:extLst>
            <c:ext xmlns:c16="http://schemas.microsoft.com/office/drawing/2014/chart" uri="{C3380CC4-5D6E-409C-BE32-E72D297353CC}">
              <c16:uniqueId val="{00000002-B804-1141-BB74-53F8D1FFF862}"/>
            </c:ext>
          </c:extLst>
        </c:ser>
        <c:ser>
          <c:idx val="3"/>
          <c:order val="3"/>
          <c:tx>
            <c:strRef>
              <c:f>Sheet2!$E$3:$E$4</c:f>
              <c:strCache>
                <c:ptCount val="1"/>
                <c:pt idx="0">
                  <c:v>soc-pokec-relationships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Sheet2!$E$5:$E$46</c:f>
              <c:numCache>
                <c:formatCode>0.00</c:formatCode>
                <c:ptCount val="41"/>
                <c:pt idx="0">
                  <c:v>28216.361999511719</c:v>
                </c:pt>
                <c:pt idx="1">
                  <c:v>28219.223022460938</c:v>
                </c:pt>
                <c:pt idx="2">
                  <c:v>28358.45947265625</c:v>
                </c:pt>
                <c:pt idx="3">
                  <c:v>28415.679931640625</c:v>
                </c:pt>
                <c:pt idx="4">
                  <c:v>28463.363647460938</c:v>
                </c:pt>
                <c:pt idx="5">
                  <c:v>28626.441955566406</c:v>
                </c:pt>
                <c:pt idx="6">
                  <c:v>28800.010681152344</c:v>
                </c:pt>
                <c:pt idx="7">
                  <c:v>29000.282287597656</c:v>
                </c:pt>
                <c:pt idx="8">
                  <c:v>29047.966003417969</c:v>
                </c:pt>
                <c:pt idx="9">
                  <c:v>29086.112976074219</c:v>
                </c:pt>
                <c:pt idx="10">
                  <c:v>29343.605041503906</c:v>
                </c:pt>
                <c:pt idx="11">
                  <c:v>29419.898986816406</c:v>
                </c:pt>
                <c:pt idx="12">
                  <c:v>29563.90380859375</c:v>
                </c:pt>
                <c:pt idx="13">
                  <c:v>29687.881469726562</c:v>
                </c:pt>
                <c:pt idx="14">
                  <c:v>29831.886291503906</c:v>
                </c:pt>
                <c:pt idx="15">
                  <c:v>29870.033264160156</c:v>
                </c:pt>
                <c:pt idx="16">
                  <c:v>30604.362487792969</c:v>
                </c:pt>
                <c:pt idx="17">
                  <c:v>30730.247497558594</c:v>
                </c:pt>
                <c:pt idx="18">
                  <c:v>30778.884887695312</c:v>
                </c:pt>
                <c:pt idx="19">
                  <c:v>30798.912048339844</c:v>
                </c:pt>
                <c:pt idx="20">
                  <c:v>30810.356140136719</c:v>
                </c:pt>
                <c:pt idx="21">
                  <c:v>30819.892883300781</c:v>
                </c:pt>
              </c:numCache>
            </c:numRef>
          </c:val>
          <c:smooth val="0"/>
          <c:extLst>
            <c:ext xmlns:c16="http://schemas.microsoft.com/office/drawing/2014/chart" uri="{C3380CC4-5D6E-409C-BE32-E72D297353CC}">
              <c16:uniqueId val="{00000003-B804-1141-BB74-53F8D1FFF862}"/>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 (2)!PivotTable2</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(2)'!$B$3:$B$4</c:f>
              <c:strCache>
                <c:ptCount val="1"/>
                <c:pt idx="0">
                  <c:v>cit-Patents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 (2)'!$A$5:$A$46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(2)'!$B$5:$B$46</c:f>
              <c:numCache>
                <c:formatCode>0.00</c:formatCode>
                <c:ptCount val="41"/>
                <c:pt idx="0">
                  <c:v>0</c:v>
                </c:pt>
                <c:pt idx="1">
                  <c:v>9.5367431640625</c:v>
                </c:pt>
                <c:pt idx="2">
                  <c:v>1.9073486328125</c:v>
                </c:pt>
                <c:pt idx="3">
                  <c:v>114.44091796875</c:v>
                </c:pt>
                <c:pt idx="4">
                  <c:v>109.67254638671875</c:v>
                </c:pt>
                <c:pt idx="5">
                  <c:v>102.04315185546875</c:v>
                </c:pt>
                <c:pt idx="6">
                  <c:v>173.5687255859375</c:v>
                </c:pt>
                <c:pt idx="7">
                  <c:v>67.71087646484375</c:v>
                </c:pt>
                <c:pt idx="8">
                  <c:v>162.1246337890625</c:v>
                </c:pt>
                <c:pt idx="9">
                  <c:v>291.8243408203125</c:v>
                </c:pt>
                <c:pt idx="10">
                  <c:v>346.18377685546875</c:v>
                </c:pt>
                <c:pt idx="11">
                  <c:v>31.47125244140625</c:v>
                </c:pt>
                <c:pt idx="12">
                  <c:v>30.517578125</c:v>
                </c:pt>
                <c:pt idx="13">
                  <c:v>23.84185791015625</c:v>
                </c:pt>
                <c:pt idx="14">
                  <c:v>0.95367431640625</c:v>
                </c:pt>
                <c:pt idx="15">
                  <c:v>39.10064697265625</c:v>
                </c:pt>
              </c:numCache>
            </c:numRef>
          </c:val>
          <c:smooth val="0"/>
          <c:extLst>
            <c:ext xmlns:c16="http://schemas.microsoft.com/office/drawing/2014/chart" uri="{C3380CC4-5D6E-409C-BE32-E72D297353CC}">
              <c16:uniqueId val="{00000004-2BED-414D-9F78-7363D259071E}"/>
            </c:ext>
          </c:extLst>
        </c:ser>
        <c:ser>
          <c:idx val="1"/>
          <c:order val="1"/>
          <c:tx>
            <c:strRef>
              <c:f>'Sheet2 (2)'!$C$3:$C$4</c:f>
              <c:strCache>
                <c:ptCount val="1"/>
                <c:pt idx="0">
                  <c:v>Email-EuAll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 (2)'!$A$5:$A$46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(2)'!$C$5:$C$46</c:f>
              <c:numCache>
                <c:formatCode>0.00</c:formatCode>
                <c:ptCount val="41"/>
                <c:pt idx="0">
                  <c:v>0</c:v>
                </c:pt>
                <c:pt idx="1">
                  <c:v>7.62939453125</c:v>
                </c:pt>
                <c:pt idx="2">
                  <c:v>11.444091796875</c:v>
                </c:pt>
                <c:pt idx="3">
                  <c:v>0.95367431640625</c:v>
                </c:pt>
                <c:pt idx="4">
                  <c:v>12.39776611328125</c:v>
                </c:pt>
                <c:pt idx="5">
                  <c:v>4.76837158203125</c:v>
                </c:pt>
                <c:pt idx="6">
                  <c:v>1.9073486328125</c:v>
                </c:pt>
                <c:pt idx="7">
                  <c:v>0</c:v>
                </c:pt>
              </c:numCache>
            </c:numRef>
          </c:val>
          <c:smooth val="0"/>
          <c:extLst>
            <c:ext xmlns:c16="http://schemas.microsoft.com/office/drawing/2014/chart" uri="{C3380CC4-5D6E-409C-BE32-E72D297353CC}">
              <c16:uniqueId val="{00000005-2BED-414D-9F78-7363D259071E}"/>
            </c:ext>
          </c:extLst>
        </c:ser>
        <c:ser>
          <c:idx val="2"/>
          <c:order val="2"/>
          <c:tx>
            <c:strRef>
              <c:f>'Sheet2 (2)'!$D$3:$D$4</c:f>
              <c:strCache>
                <c:ptCount val="1"/>
                <c:pt idx="0">
                  <c:v>soc-LiveJournal1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 (2)'!$A$5:$A$46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(2)'!$D$5:$D$46</c:f>
              <c:numCache>
                <c:formatCode>0.00</c:formatCode>
                <c:ptCount val="41"/>
                <c:pt idx="0">
                  <c:v>0</c:v>
                </c:pt>
                <c:pt idx="1">
                  <c:v>31.47125244140625</c:v>
                </c:pt>
                <c:pt idx="2">
                  <c:v>78.2012939453125</c:v>
                </c:pt>
                <c:pt idx="3">
                  <c:v>67.71087646484375</c:v>
                </c:pt>
                <c:pt idx="4">
                  <c:v>100.13580322265625</c:v>
                </c:pt>
                <c:pt idx="5">
                  <c:v>220.29876708984375</c:v>
                </c:pt>
                <c:pt idx="6">
                  <c:v>86.78436279296875</c:v>
                </c:pt>
                <c:pt idx="7">
                  <c:v>95.367431640625</c:v>
                </c:pt>
                <c:pt idx="8">
                  <c:v>85.8306884765625</c:v>
                </c:pt>
                <c:pt idx="9">
                  <c:v>228.8818359375</c:v>
                </c:pt>
                <c:pt idx="10">
                  <c:v>48.63739013671875</c:v>
                </c:pt>
                <c:pt idx="11">
                  <c:v>137.3291015625</c:v>
                </c:pt>
                <c:pt idx="12">
                  <c:v>66.7572021484375</c:v>
                </c:pt>
                <c:pt idx="13">
                  <c:v>164.98565673828125</c:v>
                </c:pt>
                <c:pt idx="14">
                  <c:v>95.367431640625</c:v>
                </c:pt>
                <c:pt idx="15">
                  <c:v>108.7188720703125</c:v>
                </c:pt>
                <c:pt idx="16">
                  <c:v>105.85784912109375</c:v>
                </c:pt>
                <c:pt idx="17">
                  <c:v>201.22528076171875</c:v>
                </c:pt>
                <c:pt idx="18">
                  <c:v>57.220458984375</c:v>
                </c:pt>
                <c:pt idx="19">
                  <c:v>115.39459228515625</c:v>
                </c:pt>
                <c:pt idx="20">
                  <c:v>181.1981201171875</c:v>
                </c:pt>
                <c:pt idx="21">
                  <c:v>105.85784912109375</c:v>
                </c:pt>
                <c:pt idx="22">
                  <c:v>66.7572021484375</c:v>
                </c:pt>
                <c:pt idx="23">
                  <c:v>149.72686767578125</c:v>
                </c:pt>
                <c:pt idx="24">
                  <c:v>124.93133544921875</c:v>
                </c:pt>
                <c:pt idx="25">
                  <c:v>95.367431640625</c:v>
                </c:pt>
                <c:pt idx="26">
                  <c:v>115.39459228515625</c:v>
                </c:pt>
                <c:pt idx="27">
                  <c:v>143.0511474609375</c:v>
                </c:pt>
                <c:pt idx="28">
                  <c:v>124.93133544921875</c:v>
                </c:pt>
                <c:pt idx="29">
                  <c:v>85.8306884765625</c:v>
                </c:pt>
                <c:pt idx="30">
                  <c:v>210.76202392578125</c:v>
                </c:pt>
                <c:pt idx="31">
                  <c:v>143.0511474609375</c:v>
                </c:pt>
                <c:pt idx="32">
                  <c:v>1821.5179443359375</c:v>
                </c:pt>
                <c:pt idx="33">
                  <c:v>144.00482177734375</c:v>
                </c:pt>
                <c:pt idx="34">
                  <c:v>267.02880859375</c:v>
                </c:pt>
                <c:pt idx="35">
                  <c:v>296.59271240234375</c:v>
                </c:pt>
                <c:pt idx="36">
                  <c:v>134.46807861328125</c:v>
                </c:pt>
                <c:pt idx="37">
                  <c:v>51.4984130859375</c:v>
                </c:pt>
                <c:pt idx="38">
                  <c:v>20.02716064453125</c:v>
                </c:pt>
                <c:pt idx="39">
                  <c:v>0</c:v>
                </c:pt>
                <c:pt idx="40">
                  <c:v>19.073486328125</c:v>
                </c:pt>
              </c:numCache>
            </c:numRef>
          </c:val>
          <c:smooth val="0"/>
          <c:extLst>
            <c:ext xmlns:c16="http://schemas.microsoft.com/office/drawing/2014/chart" uri="{C3380CC4-5D6E-409C-BE32-E72D297353CC}">
              <c16:uniqueId val="{00000006-2BED-414D-9F78-7363D259071E}"/>
            </c:ext>
          </c:extLst>
        </c:ser>
        <c:ser>
          <c:idx val="3"/>
          <c:order val="3"/>
          <c:tx>
            <c:strRef>
              <c:f>'Sheet2 (2)'!$E$3:$E$4</c:f>
              <c:strCache>
                <c:ptCount val="1"/>
                <c:pt idx="0">
                  <c:v>soc-pokec-relationships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 (2)'!$A$5:$A$46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(2)'!$E$5:$E$46</c:f>
              <c:numCache>
                <c:formatCode>0.00</c:formatCode>
                <c:ptCount val="41"/>
                <c:pt idx="0">
                  <c:v>0</c:v>
                </c:pt>
                <c:pt idx="1">
                  <c:v>2.86102294921875</c:v>
                </c:pt>
                <c:pt idx="2">
                  <c:v>139.2364501953125</c:v>
                </c:pt>
                <c:pt idx="3">
                  <c:v>57.220458984375</c:v>
                </c:pt>
                <c:pt idx="4">
                  <c:v>47.6837158203125</c:v>
                </c:pt>
                <c:pt idx="5">
                  <c:v>163.07830810546875</c:v>
                </c:pt>
                <c:pt idx="6">
                  <c:v>173.5687255859375</c:v>
                </c:pt>
                <c:pt idx="7">
                  <c:v>200.2716064453125</c:v>
                </c:pt>
                <c:pt idx="8">
                  <c:v>47.6837158203125</c:v>
                </c:pt>
                <c:pt idx="9">
                  <c:v>38.14697265625</c:v>
                </c:pt>
                <c:pt idx="10">
                  <c:v>257.4920654296875</c:v>
                </c:pt>
                <c:pt idx="11">
                  <c:v>76.2939453125</c:v>
                </c:pt>
                <c:pt idx="12">
                  <c:v>144.00482177734375</c:v>
                </c:pt>
                <c:pt idx="13">
                  <c:v>123.9776611328125</c:v>
                </c:pt>
                <c:pt idx="14">
                  <c:v>144.00482177734375</c:v>
                </c:pt>
                <c:pt idx="15">
                  <c:v>38.14697265625</c:v>
                </c:pt>
                <c:pt idx="16">
                  <c:v>734.3292236328125</c:v>
                </c:pt>
                <c:pt idx="17">
                  <c:v>125.885009765625</c:v>
                </c:pt>
                <c:pt idx="18">
                  <c:v>48.63739013671875</c:v>
                </c:pt>
                <c:pt idx="19">
                  <c:v>20.02716064453125</c:v>
                </c:pt>
                <c:pt idx="20">
                  <c:v>11.444091796875</c:v>
                </c:pt>
                <c:pt idx="21">
                  <c:v>9.5367431640625</c:v>
                </c:pt>
              </c:numCache>
            </c:numRef>
          </c:val>
          <c:smooth val="0"/>
          <c:extLst>
            <c:ext xmlns:c16="http://schemas.microsoft.com/office/drawing/2014/chart" uri="{C3380CC4-5D6E-409C-BE32-E72D297353CC}">
              <c16:uniqueId val="{00000007-2BED-414D-9F78-7363D259071E}"/>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 (3)!PivotTable2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Email-EuAll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(3)'!$B$3:$B$4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 (3)'!$A$5:$A$13</c:f>
              <c:strCache>
                <c:ptCount val="8"/>
                <c:pt idx="0">
                  <c:v>0</c:v>
                </c:pt>
                <c:pt idx="1">
                  <c:v>5</c:v>
                </c:pt>
                <c:pt idx="2">
                  <c:v>10</c:v>
                </c:pt>
                <c:pt idx="3">
                  <c:v>15</c:v>
                </c:pt>
                <c:pt idx="4">
                  <c:v>20</c:v>
                </c:pt>
                <c:pt idx="5">
                  <c:v>25</c:v>
                </c:pt>
                <c:pt idx="6">
                  <c:v>30</c:v>
                </c:pt>
                <c:pt idx="7">
                  <c:v>35</c:v>
                </c:pt>
              </c:strCache>
            </c:strRef>
          </c:cat>
          <c:val>
            <c:numRef>
              <c:f>'Sheet2 (3)'!$B$5:$B$13</c:f>
              <c:numCache>
                <c:formatCode>0.00</c:formatCode>
                <c:ptCount val="8"/>
                <c:pt idx="0">
                  <c:v>0</c:v>
                </c:pt>
                <c:pt idx="1">
                  <c:v>0</c:v>
                </c:pt>
                <c:pt idx="2">
                  <c:v>9.5367431640625</c:v>
                </c:pt>
                <c:pt idx="3">
                  <c:v>0</c:v>
                </c:pt>
                <c:pt idx="4">
                  <c:v>9.5367431640625</c:v>
                </c:pt>
                <c:pt idx="5">
                  <c:v>0</c:v>
                </c:pt>
                <c:pt idx="6">
                  <c:v>0</c:v>
                </c:pt>
                <c:pt idx="7">
                  <c:v>0</c:v>
                </c:pt>
              </c:numCache>
            </c:numRef>
          </c:val>
          <c:smooth val="0"/>
          <c:extLst>
            <c:ext xmlns:c16="http://schemas.microsoft.com/office/drawing/2014/chart" uri="{C3380CC4-5D6E-409C-BE32-E72D297353CC}">
              <c16:uniqueId val="{00000004-F7E1-DA41-B9EF-08FF253E67BF}"/>
            </c:ext>
          </c:extLst>
        </c:ser>
        <c:ser>
          <c:idx val="1"/>
          <c:order val="1"/>
          <c:tx>
            <c:strRef>
              <c:f>'Sheet2 (3)'!$C$3:$C$4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 (3)'!$A$5:$A$13</c:f>
              <c:strCache>
                <c:ptCount val="8"/>
                <c:pt idx="0">
                  <c:v>0</c:v>
                </c:pt>
                <c:pt idx="1">
                  <c:v>5</c:v>
                </c:pt>
                <c:pt idx="2">
                  <c:v>10</c:v>
                </c:pt>
                <c:pt idx="3">
                  <c:v>15</c:v>
                </c:pt>
                <c:pt idx="4">
                  <c:v>20</c:v>
                </c:pt>
                <c:pt idx="5">
                  <c:v>25</c:v>
                </c:pt>
                <c:pt idx="6">
                  <c:v>30</c:v>
                </c:pt>
                <c:pt idx="7">
                  <c:v>35</c:v>
                </c:pt>
              </c:strCache>
            </c:strRef>
          </c:cat>
          <c:val>
            <c:numRef>
              <c:f>'Sheet2 (3)'!$C$5:$C$13</c:f>
              <c:numCache>
                <c:formatCode>0.00</c:formatCode>
                <c:ptCount val="8"/>
                <c:pt idx="0">
                  <c:v>0</c:v>
                </c:pt>
                <c:pt idx="1">
                  <c:v>4.76837158203125</c:v>
                </c:pt>
                <c:pt idx="2">
                  <c:v>0</c:v>
                </c:pt>
                <c:pt idx="3">
                  <c:v>0</c:v>
                </c:pt>
                <c:pt idx="4">
                  <c:v>1.9073486328125</c:v>
                </c:pt>
                <c:pt idx="5">
                  <c:v>2.86102294921875</c:v>
                </c:pt>
                <c:pt idx="6">
                  <c:v>0.95367431640625</c:v>
                </c:pt>
                <c:pt idx="7">
                  <c:v>0</c:v>
                </c:pt>
              </c:numCache>
            </c:numRef>
          </c:val>
          <c:smooth val="0"/>
          <c:extLst>
            <c:ext xmlns:c16="http://schemas.microsoft.com/office/drawing/2014/chart" uri="{C3380CC4-5D6E-409C-BE32-E72D297353CC}">
              <c16:uniqueId val="{00000009-F7E1-DA41-B9EF-08FF253E67BF}"/>
            </c:ext>
          </c:extLst>
        </c:ser>
        <c:ser>
          <c:idx val="2"/>
          <c:order val="2"/>
          <c:tx>
            <c:strRef>
              <c:f>'Sheet2 (3)'!$D$3:$D$4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 (3)'!$A$5:$A$13</c:f>
              <c:strCache>
                <c:ptCount val="8"/>
                <c:pt idx="0">
                  <c:v>0</c:v>
                </c:pt>
                <c:pt idx="1">
                  <c:v>5</c:v>
                </c:pt>
                <c:pt idx="2">
                  <c:v>10</c:v>
                </c:pt>
                <c:pt idx="3">
                  <c:v>15</c:v>
                </c:pt>
                <c:pt idx="4">
                  <c:v>20</c:v>
                </c:pt>
                <c:pt idx="5">
                  <c:v>25</c:v>
                </c:pt>
                <c:pt idx="6">
                  <c:v>30</c:v>
                </c:pt>
                <c:pt idx="7">
                  <c:v>35</c:v>
                </c:pt>
              </c:strCache>
            </c:strRef>
          </c:cat>
          <c:val>
            <c:numRef>
              <c:f>'Sheet2 (3)'!$D$5:$D$13</c:f>
              <c:numCache>
                <c:formatCode>0.00</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A-F7E1-DA41-B9EF-08FF253E67BF}"/>
            </c:ext>
          </c:extLst>
        </c:ser>
        <c:ser>
          <c:idx val="3"/>
          <c:order val="3"/>
          <c:tx>
            <c:strRef>
              <c:f>'Sheet2 (3)'!$E$3:$E$4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 (3)'!$A$5:$A$13</c:f>
              <c:strCache>
                <c:ptCount val="8"/>
                <c:pt idx="0">
                  <c:v>0</c:v>
                </c:pt>
                <c:pt idx="1">
                  <c:v>5</c:v>
                </c:pt>
                <c:pt idx="2">
                  <c:v>10</c:v>
                </c:pt>
                <c:pt idx="3">
                  <c:v>15</c:v>
                </c:pt>
                <c:pt idx="4">
                  <c:v>20</c:v>
                </c:pt>
                <c:pt idx="5">
                  <c:v>25</c:v>
                </c:pt>
                <c:pt idx="6">
                  <c:v>30</c:v>
                </c:pt>
                <c:pt idx="7">
                  <c:v>35</c:v>
                </c:pt>
              </c:strCache>
            </c:strRef>
          </c:cat>
          <c:val>
            <c:numRef>
              <c:f>'Sheet2 (3)'!$E$5:$E$13</c:f>
              <c:numCache>
                <c:formatCode>0.00</c:formatCode>
                <c:ptCount val="8"/>
                <c:pt idx="0">
                  <c:v>0</c:v>
                </c:pt>
                <c:pt idx="1">
                  <c:v>2.86102294921875</c:v>
                </c:pt>
                <c:pt idx="2">
                  <c:v>1.9073486328125</c:v>
                </c:pt>
                <c:pt idx="3">
                  <c:v>0.95367431640625</c:v>
                </c:pt>
                <c:pt idx="4">
                  <c:v>0.95367431640625</c:v>
                </c:pt>
                <c:pt idx="5">
                  <c:v>1.9073486328125</c:v>
                </c:pt>
                <c:pt idx="6">
                  <c:v>0.95367431640625</c:v>
                </c:pt>
                <c:pt idx="7">
                  <c:v>0</c:v>
                </c:pt>
              </c:numCache>
            </c:numRef>
          </c:val>
          <c:smooth val="0"/>
          <c:extLst>
            <c:ext xmlns:c16="http://schemas.microsoft.com/office/drawing/2014/chart" uri="{C3380CC4-5D6E-409C-BE32-E72D297353CC}">
              <c16:uniqueId val="{0000000B-F7E1-DA41-B9EF-08FF253E67BF}"/>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 (4)!PivotTable2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cit-Patents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(4)'!$B$3:$B$4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 (4)'!$A$5:$A$21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'Sheet2 (4)'!$B$5:$B$21</c:f>
              <c:numCache>
                <c:formatCode>0.00</c:formatCode>
                <c:ptCount val="16"/>
                <c:pt idx="0">
                  <c:v>0</c:v>
                </c:pt>
                <c:pt idx="1">
                  <c:v>0</c:v>
                </c:pt>
                <c:pt idx="2">
                  <c:v>0</c:v>
                </c:pt>
                <c:pt idx="3">
                  <c:v>85.8306884765625</c:v>
                </c:pt>
                <c:pt idx="4">
                  <c:v>66.7572021484375</c:v>
                </c:pt>
                <c:pt idx="5">
                  <c:v>38.14697265625</c:v>
                </c:pt>
                <c:pt idx="6">
                  <c:v>9.5367431640625</c:v>
                </c:pt>
                <c:pt idx="7">
                  <c:v>66.7572021484375</c:v>
                </c:pt>
                <c:pt idx="8">
                  <c:v>66.7572021484375</c:v>
                </c:pt>
                <c:pt idx="9">
                  <c:v>28.6102294921875</c:v>
                </c:pt>
                <c:pt idx="10">
                  <c:v>19.073486328125</c:v>
                </c:pt>
                <c:pt idx="11">
                  <c:v>19.073486328125</c:v>
                </c:pt>
                <c:pt idx="12">
                  <c:v>9.5367431640625</c:v>
                </c:pt>
                <c:pt idx="13">
                  <c:v>0</c:v>
                </c:pt>
                <c:pt idx="14">
                  <c:v>0</c:v>
                </c:pt>
                <c:pt idx="15">
                  <c:v>0</c:v>
                </c:pt>
              </c:numCache>
            </c:numRef>
          </c:val>
          <c:smooth val="0"/>
          <c:extLst>
            <c:ext xmlns:c16="http://schemas.microsoft.com/office/drawing/2014/chart" uri="{C3380CC4-5D6E-409C-BE32-E72D297353CC}">
              <c16:uniqueId val="{00000004-F574-8A4A-9547-06966CD9BAF1}"/>
            </c:ext>
          </c:extLst>
        </c:ser>
        <c:ser>
          <c:idx val="1"/>
          <c:order val="1"/>
          <c:tx>
            <c:strRef>
              <c:f>'Sheet2 (4)'!$C$3:$C$4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 (4)'!$A$5:$A$21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'Sheet2 (4)'!$C$5:$C$21</c:f>
              <c:numCache>
                <c:formatCode>0.00</c:formatCode>
                <c:ptCount val="16"/>
                <c:pt idx="0">
                  <c:v>0</c:v>
                </c:pt>
                <c:pt idx="1">
                  <c:v>2.86102294921875</c:v>
                </c:pt>
                <c:pt idx="2">
                  <c:v>0.95367431640625</c:v>
                </c:pt>
                <c:pt idx="3">
                  <c:v>3.814697265625</c:v>
                </c:pt>
                <c:pt idx="4">
                  <c:v>1.9073486328125</c:v>
                </c:pt>
                <c:pt idx="5">
                  <c:v>0</c:v>
                </c:pt>
                <c:pt idx="6">
                  <c:v>1.9073486328125</c:v>
                </c:pt>
                <c:pt idx="7">
                  <c:v>0.95367431640625</c:v>
                </c:pt>
                <c:pt idx="8">
                  <c:v>2.86102294921875</c:v>
                </c:pt>
                <c:pt idx="9">
                  <c:v>9.5367431640625</c:v>
                </c:pt>
                <c:pt idx="10">
                  <c:v>0</c:v>
                </c:pt>
                <c:pt idx="11">
                  <c:v>1.9073486328125</c:v>
                </c:pt>
                <c:pt idx="12">
                  <c:v>1.9073486328125</c:v>
                </c:pt>
                <c:pt idx="13">
                  <c:v>1.9073486328125</c:v>
                </c:pt>
                <c:pt idx="14">
                  <c:v>0.95367431640625</c:v>
                </c:pt>
                <c:pt idx="15">
                  <c:v>0</c:v>
                </c:pt>
              </c:numCache>
            </c:numRef>
          </c:val>
          <c:smooth val="0"/>
          <c:extLst>
            <c:ext xmlns:c16="http://schemas.microsoft.com/office/drawing/2014/chart" uri="{C3380CC4-5D6E-409C-BE32-E72D297353CC}">
              <c16:uniqueId val="{00000005-F574-8A4A-9547-06966CD9BAF1}"/>
            </c:ext>
          </c:extLst>
        </c:ser>
        <c:ser>
          <c:idx val="2"/>
          <c:order val="2"/>
          <c:tx>
            <c:strRef>
              <c:f>'Sheet2 (4)'!$D$3:$D$4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 (4)'!$A$5:$A$21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'Sheet2 (4)'!$D$5:$D$21</c:f>
              <c:numCache>
                <c:formatCode>0.00</c:formatCode>
                <c:ptCount val="16"/>
                <c:pt idx="0">
                  <c:v>0</c:v>
                </c:pt>
                <c:pt idx="1">
                  <c:v>0</c:v>
                </c:pt>
                <c:pt idx="2">
                  <c:v>0</c:v>
                </c:pt>
                <c:pt idx="3">
                  <c:v>19.073486328125</c:v>
                </c:pt>
                <c:pt idx="4">
                  <c:v>38.14697265625</c:v>
                </c:pt>
                <c:pt idx="5">
                  <c:v>57.220458984375</c:v>
                </c:pt>
                <c:pt idx="6">
                  <c:v>162.1246337890625</c:v>
                </c:pt>
                <c:pt idx="7">
                  <c:v>0</c:v>
                </c:pt>
                <c:pt idx="8">
                  <c:v>85.8306884765625</c:v>
                </c:pt>
                <c:pt idx="9">
                  <c:v>238.4185791015625</c:v>
                </c:pt>
                <c:pt idx="10">
                  <c:v>324.249267578125</c:v>
                </c:pt>
                <c:pt idx="11">
                  <c:v>9.5367431640625</c:v>
                </c:pt>
                <c:pt idx="12">
                  <c:v>9.5367431640625</c:v>
                </c:pt>
                <c:pt idx="13">
                  <c:v>19.073486328125</c:v>
                </c:pt>
                <c:pt idx="14">
                  <c:v>0</c:v>
                </c:pt>
                <c:pt idx="15">
                  <c:v>38.14697265625</c:v>
                </c:pt>
              </c:numCache>
            </c:numRef>
          </c:val>
          <c:smooth val="0"/>
          <c:extLst>
            <c:ext xmlns:c16="http://schemas.microsoft.com/office/drawing/2014/chart" uri="{C3380CC4-5D6E-409C-BE32-E72D297353CC}">
              <c16:uniqueId val="{00000006-F574-8A4A-9547-06966CD9BAF1}"/>
            </c:ext>
          </c:extLst>
        </c:ser>
        <c:ser>
          <c:idx val="3"/>
          <c:order val="3"/>
          <c:tx>
            <c:strRef>
              <c:f>'Sheet2 (4)'!$E$3:$E$4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 (4)'!$A$5:$A$21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'Sheet2 (4)'!$E$5:$E$21</c:f>
              <c:numCache>
                <c:formatCode>0.00</c:formatCode>
                <c:ptCount val="16"/>
                <c:pt idx="0">
                  <c:v>0</c:v>
                </c:pt>
                <c:pt idx="1">
                  <c:v>6.67572021484375</c:v>
                </c:pt>
                <c:pt idx="2">
                  <c:v>0.95367431640625</c:v>
                </c:pt>
                <c:pt idx="3">
                  <c:v>5.7220458984375</c:v>
                </c:pt>
                <c:pt idx="4">
                  <c:v>2.86102294921875</c:v>
                </c:pt>
                <c:pt idx="5">
                  <c:v>6.67572021484375</c:v>
                </c:pt>
                <c:pt idx="6">
                  <c:v>0</c:v>
                </c:pt>
                <c:pt idx="7">
                  <c:v>0</c:v>
                </c:pt>
                <c:pt idx="8">
                  <c:v>6.67572021484375</c:v>
                </c:pt>
                <c:pt idx="9">
                  <c:v>15.2587890625</c:v>
                </c:pt>
                <c:pt idx="10">
                  <c:v>2.86102294921875</c:v>
                </c:pt>
                <c:pt idx="11">
                  <c:v>0.95367431640625</c:v>
                </c:pt>
                <c:pt idx="12">
                  <c:v>9.5367431640625</c:v>
                </c:pt>
                <c:pt idx="13">
                  <c:v>2.86102294921875</c:v>
                </c:pt>
                <c:pt idx="14">
                  <c:v>0</c:v>
                </c:pt>
                <c:pt idx="15">
                  <c:v>0.95367431640625</c:v>
                </c:pt>
              </c:numCache>
            </c:numRef>
          </c:val>
          <c:smooth val="0"/>
          <c:extLst>
            <c:ext xmlns:c16="http://schemas.microsoft.com/office/drawing/2014/chart" uri="{C3380CC4-5D6E-409C-BE32-E72D297353CC}">
              <c16:uniqueId val="{00000007-F574-8A4A-9547-06966CD9BAF1}"/>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 (5)!PivotTable2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soc-LiveJournal1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(5)'!$B$3:$B$4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(5)'!$B$5:$B$46</c:f>
              <c:numCache>
                <c:formatCode>0.00</c:formatCode>
                <c:ptCount val="41"/>
                <c:pt idx="0">
                  <c:v>0</c:v>
                </c:pt>
                <c:pt idx="1">
                  <c:v>0</c:v>
                </c:pt>
                <c:pt idx="2">
                  <c:v>57.220458984375</c:v>
                </c:pt>
                <c:pt idx="3">
                  <c:v>66.7572021484375</c:v>
                </c:pt>
                <c:pt idx="4">
                  <c:v>66.7572021484375</c:v>
                </c:pt>
                <c:pt idx="5">
                  <c:v>47.6837158203125</c:v>
                </c:pt>
                <c:pt idx="6">
                  <c:v>28.6102294921875</c:v>
                </c:pt>
                <c:pt idx="7">
                  <c:v>57.220458984375</c:v>
                </c:pt>
                <c:pt idx="8">
                  <c:v>47.6837158203125</c:v>
                </c:pt>
                <c:pt idx="9">
                  <c:v>0</c:v>
                </c:pt>
                <c:pt idx="10">
                  <c:v>28.6102294921875</c:v>
                </c:pt>
                <c:pt idx="11">
                  <c:v>85.8306884765625</c:v>
                </c:pt>
                <c:pt idx="12">
                  <c:v>28.6102294921875</c:v>
                </c:pt>
                <c:pt idx="13">
                  <c:v>0</c:v>
                </c:pt>
                <c:pt idx="14">
                  <c:v>57.220458984375</c:v>
                </c:pt>
                <c:pt idx="15">
                  <c:v>47.6837158203125</c:v>
                </c:pt>
                <c:pt idx="16">
                  <c:v>38.14697265625</c:v>
                </c:pt>
                <c:pt idx="17">
                  <c:v>0</c:v>
                </c:pt>
                <c:pt idx="18">
                  <c:v>57.220458984375</c:v>
                </c:pt>
                <c:pt idx="19">
                  <c:v>57.220458984375</c:v>
                </c:pt>
                <c:pt idx="20">
                  <c:v>28.6102294921875</c:v>
                </c:pt>
                <c:pt idx="21">
                  <c:v>0</c:v>
                </c:pt>
                <c:pt idx="22">
                  <c:v>66.7572021484375</c:v>
                </c:pt>
                <c:pt idx="23">
                  <c:v>66.7572021484375</c:v>
                </c:pt>
                <c:pt idx="24">
                  <c:v>0</c:v>
                </c:pt>
                <c:pt idx="25">
                  <c:v>76.2939453125</c:v>
                </c:pt>
                <c:pt idx="26">
                  <c:v>76.2939453125</c:v>
                </c:pt>
                <c:pt idx="27">
                  <c:v>19.073486328125</c:v>
                </c:pt>
                <c:pt idx="28">
                  <c:v>0</c:v>
                </c:pt>
                <c:pt idx="29">
                  <c:v>76.2939453125</c:v>
                </c:pt>
                <c:pt idx="30">
                  <c:v>76.2939453125</c:v>
                </c:pt>
                <c:pt idx="31">
                  <c:v>0</c:v>
                </c:pt>
                <c:pt idx="32">
                  <c:v>9.5367431640625</c:v>
                </c:pt>
                <c:pt idx="33">
                  <c:v>0</c:v>
                </c:pt>
                <c:pt idx="34">
                  <c:v>9.5367431640625</c:v>
                </c:pt>
                <c:pt idx="35">
                  <c:v>0</c:v>
                </c:pt>
                <c:pt idx="36">
                  <c:v>38.14697265625</c:v>
                </c:pt>
                <c:pt idx="37">
                  <c:v>0</c:v>
                </c:pt>
                <c:pt idx="38">
                  <c:v>9.5367431640625</c:v>
                </c:pt>
                <c:pt idx="39">
                  <c:v>0</c:v>
                </c:pt>
                <c:pt idx="40">
                  <c:v>9.5367431640625</c:v>
                </c:pt>
              </c:numCache>
            </c:numRef>
          </c:val>
          <c:smooth val="0"/>
          <c:extLst>
            <c:ext xmlns:c16="http://schemas.microsoft.com/office/drawing/2014/chart" uri="{C3380CC4-5D6E-409C-BE32-E72D297353CC}">
              <c16:uniqueId val="{00000004-B3AF-6545-8E1D-C2F061DC2AB8}"/>
            </c:ext>
          </c:extLst>
        </c:ser>
        <c:ser>
          <c:idx val="1"/>
          <c:order val="1"/>
          <c:tx>
            <c:strRef>
              <c:f>'Sheet2 (5)'!$C$3:$C$4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(5)'!$C$5:$C$46</c:f>
              <c:numCache>
                <c:formatCode>0.00</c:formatCode>
                <c:ptCount val="41"/>
                <c:pt idx="0">
                  <c:v>0</c:v>
                </c:pt>
                <c:pt idx="1">
                  <c:v>19.073486328125</c:v>
                </c:pt>
                <c:pt idx="2">
                  <c:v>0</c:v>
                </c:pt>
                <c:pt idx="3">
                  <c:v>0</c:v>
                </c:pt>
                <c:pt idx="4">
                  <c:v>0</c:v>
                </c:pt>
                <c:pt idx="5">
                  <c:v>0</c:v>
                </c:pt>
                <c:pt idx="6">
                  <c:v>0</c:v>
                </c:pt>
                <c:pt idx="7">
                  <c:v>0</c:v>
                </c:pt>
                <c:pt idx="8">
                  <c:v>0</c:v>
                </c:pt>
                <c:pt idx="9">
                  <c:v>0</c:v>
                </c:pt>
                <c:pt idx="10">
                  <c:v>0</c:v>
                </c:pt>
                <c:pt idx="11">
                  <c:v>2.86102294921875</c:v>
                </c:pt>
                <c:pt idx="12">
                  <c:v>0</c:v>
                </c:pt>
                <c:pt idx="13">
                  <c:v>1.9073486328125</c:v>
                </c:pt>
                <c:pt idx="14">
                  <c:v>0</c:v>
                </c:pt>
                <c:pt idx="15">
                  <c:v>3.814697265625</c:v>
                </c:pt>
                <c:pt idx="16">
                  <c:v>0.95367431640625</c:v>
                </c:pt>
                <c:pt idx="17">
                  <c:v>9.5367431640625</c:v>
                </c:pt>
                <c:pt idx="18">
                  <c:v>0</c:v>
                </c:pt>
                <c:pt idx="19">
                  <c:v>0</c:v>
                </c:pt>
                <c:pt idx="20">
                  <c:v>0</c:v>
                </c:pt>
                <c:pt idx="21">
                  <c:v>0</c:v>
                </c:pt>
                <c:pt idx="22">
                  <c:v>0</c:v>
                </c:pt>
                <c:pt idx="23">
                  <c:v>5.7220458984375</c:v>
                </c:pt>
                <c:pt idx="24">
                  <c:v>0</c:v>
                </c:pt>
                <c:pt idx="25">
                  <c:v>0</c:v>
                </c:pt>
                <c:pt idx="26">
                  <c:v>0</c:v>
                </c:pt>
                <c:pt idx="27">
                  <c:v>0</c:v>
                </c:pt>
                <c:pt idx="28">
                  <c:v>0</c:v>
                </c:pt>
                <c:pt idx="29">
                  <c:v>0</c:v>
                </c:pt>
                <c:pt idx="30">
                  <c:v>0</c:v>
                </c:pt>
                <c:pt idx="31">
                  <c:v>0</c:v>
                </c:pt>
                <c:pt idx="32">
                  <c:v>0</c:v>
                </c:pt>
                <c:pt idx="33">
                  <c:v>0</c:v>
                </c:pt>
                <c:pt idx="34">
                  <c:v>0</c:v>
                </c:pt>
                <c:pt idx="35">
                  <c:v>0</c:v>
                </c:pt>
                <c:pt idx="36">
                  <c:v>9.5367431640625</c:v>
                </c:pt>
                <c:pt idx="37">
                  <c:v>0</c:v>
                </c:pt>
                <c:pt idx="38">
                  <c:v>0</c:v>
                </c:pt>
                <c:pt idx="39">
                  <c:v>0</c:v>
                </c:pt>
                <c:pt idx="40">
                  <c:v>0</c:v>
                </c:pt>
              </c:numCache>
            </c:numRef>
          </c:val>
          <c:smooth val="0"/>
          <c:extLst>
            <c:ext xmlns:c16="http://schemas.microsoft.com/office/drawing/2014/chart" uri="{C3380CC4-5D6E-409C-BE32-E72D297353CC}">
              <c16:uniqueId val="{00000005-B3AF-6545-8E1D-C2F061DC2AB8}"/>
            </c:ext>
          </c:extLst>
        </c:ser>
        <c:ser>
          <c:idx val="2"/>
          <c:order val="2"/>
          <c:tx>
            <c:strRef>
              <c:f>'Sheet2 (5)'!$D$3:$D$4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(5)'!$D$5:$D$46</c:f>
              <c:numCache>
                <c:formatCode>0.00</c:formatCode>
                <c:ptCount val="41"/>
                <c:pt idx="0">
                  <c:v>0</c:v>
                </c:pt>
                <c:pt idx="1">
                  <c:v>9.5367431640625</c:v>
                </c:pt>
                <c:pt idx="2">
                  <c:v>19.073486328125</c:v>
                </c:pt>
                <c:pt idx="3">
                  <c:v>0</c:v>
                </c:pt>
                <c:pt idx="4">
                  <c:v>28.6102294921875</c:v>
                </c:pt>
                <c:pt idx="5">
                  <c:v>171.661376953125</c:v>
                </c:pt>
                <c:pt idx="6">
                  <c:v>57.220458984375</c:v>
                </c:pt>
                <c:pt idx="7">
                  <c:v>38.14697265625</c:v>
                </c:pt>
                <c:pt idx="8">
                  <c:v>38.14697265625</c:v>
                </c:pt>
                <c:pt idx="9">
                  <c:v>228.8818359375</c:v>
                </c:pt>
                <c:pt idx="10">
                  <c:v>19.073486328125</c:v>
                </c:pt>
                <c:pt idx="11">
                  <c:v>47.6837158203125</c:v>
                </c:pt>
                <c:pt idx="12">
                  <c:v>38.14697265625</c:v>
                </c:pt>
                <c:pt idx="13">
                  <c:v>162.1246337890625</c:v>
                </c:pt>
                <c:pt idx="14">
                  <c:v>38.14697265625</c:v>
                </c:pt>
                <c:pt idx="15">
                  <c:v>57.220458984375</c:v>
                </c:pt>
                <c:pt idx="16">
                  <c:v>57.220458984375</c:v>
                </c:pt>
                <c:pt idx="17">
                  <c:v>190.73486328125</c:v>
                </c:pt>
                <c:pt idx="18">
                  <c:v>0</c:v>
                </c:pt>
                <c:pt idx="19">
                  <c:v>57.220458984375</c:v>
                </c:pt>
                <c:pt idx="20">
                  <c:v>152.587890625</c:v>
                </c:pt>
                <c:pt idx="21">
                  <c:v>104.9041748046875</c:v>
                </c:pt>
                <c:pt idx="22">
                  <c:v>0</c:v>
                </c:pt>
                <c:pt idx="23">
                  <c:v>76.2939453125</c:v>
                </c:pt>
                <c:pt idx="24">
                  <c:v>123.9776611328125</c:v>
                </c:pt>
                <c:pt idx="25">
                  <c:v>19.073486328125</c:v>
                </c:pt>
                <c:pt idx="26">
                  <c:v>38.14697265625</c:v>
                </c:pt>
                <c:pt idx="27">
                  <c:v>123.9776611328125</c:v>
                </c:pt>
                <c:pt idx="28">
                  <c:v>123.9776611328125</c:v>
                </c:pt>
                <c:pt idx="29">
                  <c:v>9.5367431640625</c:v>
                </c:pt>
                <c:pt idx="30">
                  <c:v>133.514404296875</c:v>
                </c:pt>
                <c:pt idx="31">
                  <c:v>143.0511474609375</c:v>
                </c:pt>
                <c:pt idx="32">
                  <c:v>1811.981201171875</c:v>
                </c:pt>
                <c:pt idx="33">
                  <c:v>143.0511474609375</c:v>
                </c:pt>
                <c:pt idx="34">
                  <c:v>257.4920654296875</c:v>
                </c:pt>
                <c:pt idx="35">
                  <c:v>295.6390380859375</c:v>
                </c:pt>
                <c:pt idx="36">
                  <c:v>85.8306884765625</c:v>
                </c:pt>
                <c:pt idx="37">
                  <c:v>47.6837158203125</c:v>
                </c:pt>
                <c:pt idx="38">
                  <c:v>9.5367431640625</c:v>
                </c:pt>
                <c:pt idx="39">
                  <c:v>0</c:v>
                </c:pt>
                <c:pt idx="40">
                  <c:v>9.5367431640625</c:v>
                </c:pt>
              </c:numCache>
            </c:numRef>
          </c:val>
          <c:smooth val="0"/>
          <c:extLst>
            <c:ext xmlns:c16="http://schemas.microsoft.com/office/drawing/2014/chart" uri="{C3380CC4-5D6E-409C-BE32-E72D297353CC}">
              <c16:uniqueId val="{00000006-B3AF-6545-8E1D-C2F061DC2AB8}"/>
            </c:ext>
          </c:extLst>
        </c:ser>
        <c:ser>
          <c:idx val="3"/>
          <c:order val="3"/>
          <c:tx>
            <c:strRef>
              <c:f>'Sheet2 (5)'!$E$3:$E$4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(5)'!$E$5:$E$46</c:f>
              <c:numCache>
                <c:formatCode>0.00</c:formatCode>
                <c:ptCount val="41"/>
                <c:pt idx="0">
                  <c:v>0</c:v>
                </c:pt>
                <c:pt idx="1">
                  <c:v>2.86102294921875</c:v>
                </c:pt>
                <c:pt idx="2">
                  <c:v>1.9073486328125</c:v>
                </c:pt>
                <c:pt idx="3">
                  <c:v>0.95367431640625</c:v>
                </c:pt>
                <c:pt idx="4">
                  <c:v>4.76837158203125</c:v>
                </c:pt>
                <c:pt idx="5">
                  <c:v>0.95367431640625</c:v>
                </c:pt>
                <c:pt idx="6">
                  <c:v>0.95367431640625</c:v>
                </c:pt>
                <c:pt idx="7">
                  <c:v>0</c:v>
                </c:pt>
                <c:pt idx="8">
                  <c:v>0</c:v>
                </c:pt>
                <c:pt idx="9">
                  <c:v>0</c:v>
                </c:pt>
                <c:pt idx="10">
                  <c:v>0.95367431640625</c:v>
                </c:pt>
                <c:pt idx="11">
                  <c:v>0.95367431640625</c:v>
                </c:pt>
                <c:pt idx="12">
                  <c:v>0</c:v>
                </c:pt>
                <c:pt idx="13">
                  <c:v>0.95367431640625</c:v>
                </c:pt>
                <c:pt idx="14">
                  <c:v>0</c:v>
                </c:pt>
                <c:pt idx="15">
                  <c:v>0</c:v>
                </c:pt>
                <c:pt idx="16">
                  <c:v>9.5367431640625</c:v>
                </c:pt>
                <c:pt idx="17">
                  <c:v>0.95367431640625</c:v>
                </c:pt>
                <c:pt idx="18">
                  <c:v>0</c:v>
                </c:pt>
                <c:pt idx="19">
                  <c:v>0.95367431640625</c:v>
                </c:pt>
                <c:pt idx="20">
                  <c:v>0</c:v>
                </c:pt>
                <c:pt idx="21">
                  <c:v>0.95367431640625</c:v>
                </c:pt>
                <c:pt idx="22">
                  <c:v>0</c:v>
                </c:pt>
                <c:pt idx="23">
                  <c:v>0.95367431640625</c:v>
                </c:pt>
                <c:pt idx="24">
                  <c:v>0.95367431640625</c:v>
                </c:pt>
                <c:pt idx="25">
                  <c:v>0</c:v>
                </c:pt>
                <c:pt idx="26">
                  <c:v>0.95367431640625</c:v>
                </c:pt>
                <c:pt idx="27">
                  <c:v>0</c:v>
                </c:pt>
                <c:pt idx="28">
                  <c:v>0.95367431640625</c:v>
                </c:pt>
                <c:pt idx="29">
                  <c:v>0</c:v>
                </c:pt>
                <c:pt idx="30">
                  <c:v>0.95367431640625</c:v>
                </c:pt>
                <c:pt idx="31">
                  <c:v>0</c:v>
                </c:pt>
                <c:pt idx="32">
                  <c:v>0</c:v>
                </c:pt>
                <c:pt idx="33">
                  <c:v>0.95367431640625</c:v>
                </c:pt>
                <c:pt idx="34">
                  <c:v>0</c:v>
                </c:pt>
                <c:pt idx="35">
                  <c:v>0.95367431640625</c:v>
                </c:pt>
                <c:pt idx="36">
                  <c:v>0.95367431640625</c:v>
                </c:pt>
                <c:pt idx="37">
                  <c:v>3.814697265625</c:v>
                </c:pt>
                <c:pt idx="38">
                  <c:v>0.95367431640625</c:v>
                </c:pt>
                <c:pt idx="39">
                  <c:v>0</c:v>
                </c:pt>
                <c:pt idx="40">
                  <c:v>0</c:v>
                </c:pt>
              </c:numCache>
            </c:numRef>
          </c:val>
          <c:smooth val="0"/>
          <c:extLst>
            <c:ext xmlns:c16="http://schemas.microsoft.com/office/drawing/2014/chart" uri="{C3380CC4-5D6E-409C-BE32-E72D297353CC}">
              <c16:uniqueId val="{00000007-B3AF-6545-8E1D-C2F061DC2AB8}"/>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 (6)!PivotTable2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soc-pokec-relationships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(6)'!$B$3:$B$4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 (6)'!$A$5:$A$27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'Sheet2 (6)'!$B$5:$B$27</c:f>
              <c:numCache>
                <c:formatCode>0.00</c:formatCode>
                <c:ptCount val="22"/>
                <c:pt idx="0">
                  <c:v>0</c:v>
                </c:pt>
                <c:pt idx="1">
                  <c:v>0</c:v>
                </c:pt>
                <c:pt idx="2">
                  <c:v>9.5367431640625</c:v>
                </c:pt>
                <c:pt idx="3">
                  <c:v>57.220458984375</c:v>
                </c:pt>
                <c:pt idx="4">
                  <c:v>47.6837158203125</c:v>
                </c:pt>
                <c:pt idx="5">
                  <c:v>57.220458984375</c:v>
                </c:pt>
                <c:pt idx="6">
                  <c:v>0</c:v>
                </c:pt>
                <c:pt idx="7">
                  <c:v>57.220458984375</c:v>
                </c:pt>
                <c:pt idx="8">
                  <c:v>47.6837158203125</c:v>
                </c:pt>
                <c:pt idx="9">
                  <c:v>38.14697265625</c:v>
                </c:pt>
                <c:pt idx="10">
                  <c:v>0</c:v>
                </c:pt>
                <c:pt idx="11">
                  <c:v>57.220458984375</c:v>
                </c:pt>
                <c:pt idx="12">
                  <c:v>47.6837158203125</c:v>
                </c:pt>
                <c:pt idx="13">
                  <c:v>28.6102294921875</c:v>
                </c:pt>
                <c:pt idx="14">
                  <c:v>0</c:v>
                </c:pt>
                <c:pt idx="15">
                  <c:v>19.073486328125</c:v>
                </c:pt>
                <c:pt idx="16">
                  <c:v>19.073486328125</c:v>
                </c:pt>
                <c:pt idx="17">
                  <c:v>9.5367431640625</c:v>
                </c:pt>
                <c:pt idx="18">
                  <c:v>9.5367431640625</c:v>
                </c:pt>
                <c:pt idx="19">
                  <c:v>0</c:v>
                </c:pt>
                <c:pt idx="20">
                  <c:v>0</c:v>
                </c:pt>
                <c:pt idx="21">
                  <c:v>9.5367431640625</c:v>
                </c:pt>
              </c:numCache>
            </c:numRef>
          </c:val>
          <c:smooth val="0"/>
          <c:extLst>
            <c:ext xmlns:c16="http://schemas.microsoft.com/office/drawing/2014/chart" uri="{C3380CC4-5D6E-409C-BE32-E72D297353CC}">
              <c16:uniqueId val="{00000004-4CBF-9C4D-A39E-E0D30B91EC6B}"/>
            </c:ext>
          </c:extLst>
        </c:ser>
        <c:ser>
          <c:idx val="1"/>
          <c:order val="1"/>
          <c:tx>
            <c:strRef>
              <c:f>'Sheet2 (6)'!$C$3:$C$4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 (6)'!$A$5:$A$27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'Sheet2 (6)'!$C$5:$C$27</c:f>
              <c:numCache>
                <c:formatCode>0.00</c:formatCode>
                <c:ptCount val="22"/>
                <c:pt idx="0">
                  <c:v>0</c:v>
                </c:pt>
                <c:pt idx="1">
                  <c:v>0</c:v>
                </c:pt>
                <c:pt idx="2">
                  <c:v>20.9808349609375</c:v>
                </c:pt>
                <c:pt idx="3">
                  <c:v>0</c:v>
                </c:pt>
                <c:pt idx="4">
                  <c:v>0</c:v>
                </c:pt>
                <c:pt idx="5">
                  <c:v>0</c:v>
                </c:pt>
                <c:pt idx="6">
                  <c:v>0</c:v>
                </c:pt>
                <c:pt idx="7">
                  <c:v>0</c:v>
                </c:pt>
                <c:pt idx="8">
                  <c:v>0</c:v>
                </c:pt>
                <c:pt idx="9">
                  <c:v>0</c:v>
                </c:pt>
                <c:pt idx="10">
                  <c:v>0</c:v>
                </c:pt>
                <c:pt idx="11">
                  <c:v>0</c:v>
                </c:pt>
                <c:pt idx="12">
                  <c:v>0</c:v>
                </c:pt>
                <c:pt idx="13">
                  <c:v>0</c:v>
                </c:pt>
                <c:pt idx="14">
                  <c:v>0</c:v>
                </c:pt>
                <c:pt idx="15">
                  <c:v>9.5367431640625</c:v>
                </c:pt>
                <c:pt idx="16">
                  <c:v>0</c:v>
                </c:pt>
                <c:pt idx="17">
                  <c:v>0.95367431640625</c:v>
                </c:pt>
                <c:pt idx="18">
                  <c:v>0</c:v>
                </c:pt>
                <c:pt idx="19">
                  <c:v>0</c:v>
                </c:pt>
                <c:pt idx="20">
                  <c:v>0</c:v>
                </c:pt>
                <c:pt idx="21">
                  <c:v>0</c:v>
                </c:pt>
              </c:numCache>
            </c:numRef>
          </c:val>
          <c:smooth val="0"/>
          <c:extLst>
            <c:ext xmlns:c16="http://schemas.microsoft.com/office/drawing/2014/chart" uri="{C3380CC4-5D6E-409C-BE32-E72D297353CC}">
              <c16:uniqueId val="{00000005-4CBF-9C4D-A39E-E0D30B91EC6B}"/>
            </c:ext>
          </c:extLst>
        </c:ser>
        <c:ser>
          <c:idx val="2"/>
          <c:order val="2"/>
          <c:tx>
            <c:strRef>
              <c:f>'Sheet2 (6)'!$D$3:$D$4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 (6)'!$A$5:$A$27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'Sheet2 (6)'!$D$5:$D$27</c:f>
              <c:numCache>
                <c:formatCode>0.00</c:formatCode>
                <c:ptCount val="22"/>
                <c:pt idx="0">
                  <c:v>0</c:v>
                </c:pt>
                <c:pt idx="1">
                  <c:v>0</c:v>
                </c:pt>
                <c:pt idx="2">
                  <c:v>104.9041748046875</c:v>
                </c:pt>
                <c:pt idx="3">
                  <c:v>0</c:v>
                </c:pt>
                <c:pt idx="4">
                  <c:v>0</c:v>
                </c:pt>
                <c:pt idx="5">
                  <c:v>104.9041748046875</c:v>
                </c:pt>
                <c:pt idx="6">
                  <c:v>162.1246337890625</c:v>
                </c:pt>
                <c:pt idx="7">
                  <c:v>143.0511474609375</c:v>
                </c:pt>
                <c:pt idx="8">
                  <c:v>0</c:v>
                </c:pt>
                <c:pt idx="9">
                  <c:v>0</c:v>
                </c:pt>
                <c:pt idx="10">
                  <c:v>257.4920654296875</c:v>
                </c:pt>
                <c:pt idx="11">
                  <c:v>19.073486328125</c:v>
                </c:pt>
                <c:pt idx="12">
                  <c:v>95.367431640625</c:v>
                </c:pt>
                <c:pt idx="13">
                  <c:v>95.367431640625</c:v>
                </c:pt>
                <c:pt idx="14">
                  <c:v>143.0511474609375</c:v>
                </c:pt>
                <c:pt idx="15">
                  <c:v>9.5367431640625</c:v>
                </c:pt>
                <c:pt idx="16">
                  <c:v>715.2557373046875</c:v>
                </c:pt>
                <c:pt idx="17">
                  <c:v>104.9041748046875</c:v>
                </c:pt>
                <c:pt idx="18">
                  <c:v>38.14697265625</c:v>
                </c:pt>
                <c:pt idx="19">
                  <c:v>19.073486328125</c:v>
                </c:pt>
                <c:pt idx="20">
                  <c:v>9.5367431640625</c:v>
                </c:pt>
                <c:pt idx="21">
                  <c:v>0</c:v>
                </c:pt>
              </c:numCache>
            </c:numRef>
          </c:val>
          <c:smooth val="0"/>
          <c:extLst>
            <c:ext xmlns:c16="http://schemas.microsoft.com/office/drawing/2014/chart" uri="{C3380CC4-5D6E-409C-BE32-E72D297353CC}">
              <c16:uniqueId val="{00000006-4CBF-9C4D-A39E-E0D30B91EC6B}"/>
            </c:ext>
          </c:extLst>
        </c:ser>
        <c:ser>
          <c:idx val="3"/>
          <c:order val="3"/>
          <c:tx>
            <c:strRef>
              <c:f>'Sheet2 (6)'!$E$3:$E$4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 (6)'!$A$5:$A$27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'Sheet2 (6)'!$E$5:$E$27</c:f>
              <c:numCache>
                <c:formatCode>0.00</c:formatCode>
                <c:ptCount val="22"/>
                <c:pt idx="0">
                  <c:v>0</c:v>
                </c:pt>
                <c:pt idx="1">
                  <c:v>2.86102294921875</c:v>
                </c:pt>
                <c:pt idx="2">
                  <c:v>3.814697265625</c:v>
                </c:pt>
                <c:pt idx="3">
                  <c:v>0</c:v>
                </c:pt>
                <c:pt idx="4">
                  <c:v>0</c:v>
                </c:pt>
                <c:pt idx="5">
                  <c:v>0.95367431640625</c:v>
                </c:pt>
                <c:pt idx="6">
                  <c:v>11.444091796875</c:v>
                </c:pt>
                <c:pt idx="7">
                  <c:v>0</c:v>
                </c:pt>
                <c:pt idx="8">
                  <c:v>0</c:v>
                </c:pt>
                <c:pt idx="9">
                  <c:v>0</c:v>
                </c:pt>
                <c:pt idx="10">
                  <c:v>0</c:v>
                </c:pt>
                <c:pt idx="11">
                  <c:v>0</c:v>
                </c:pt>
                <c:pt idx="12">
                  <c:v>0.95367431640625</c:v>
                </c:pt>
                <c:pt idx="13">
                  <c:v>0</c:v>
                </c:pt>
                <c:pt idx="14">
                  <c:v>0.95367431640625</c:v>
                </c:pt>
                <c:pt idx="15">
                  <c:v>0</c:v>
                </c:pt>
                <c:pt idx="16">
                  <c:v>0</c:v>
                </c:pt>
                <c:pt idx="17">
                  <c:v>10.49041748046875</c:v>
                </c:pt>
                <c:pt idx="18">
                  <c:v>0.95367431640625</c:v>
                </c:pt>
                <c:pt idx="19">
                  <c:v>0.95367431640625</c:v>
                </c:pt>
                <c:pt idx="20">
                  <c:v>1.9073486328125</c:v>
                </c:pt>
                <c:pt idx="21">
                  <c:v>0</c:v>
                </c:pt>
              </c:numCache>
            </c:numRef>
          </c:val>
          <c:smooth val="0"/>
          <c:extLst>
            <c:ext xmlns:c16="http://schemas.microsoft.com/office/drawing/2014/chart" uri="{C3380CC4-5D6E-409C-BE32-E72D297353CC}">
              <c16:uniqueId val="{00000007-4CBF-9C4D-A39E-E0D30B91EC6B}"/>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 (3)!PivotTable2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Email-EuAll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(3)'!$B$3:$B$4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 (3)'!$A$5:$A$13</c:f>
              <c:strCache>
                <c:ptCount val="8"/>
                <c:pt idx="0">
                  <c:v>0</c:v>
                </c:pt>
                <c:pt idx="1">
                  <c:v>5</c:v>
                </c:pt>
                <c:pt idx="2">
                  <c:v>10</c:v>
                </c:pt>
                <c:pt idx="3">
                  <c:v>15</c:v>
                </c:pt>
                <c:pt idx="4">
                  <c:v>20</c:v>
                </c:pt>
                <c:pt idx="5">
                  <c:v>25</c:v>
                </c:pt>
                <c:pt idx="6">
                  <c:v>30</c:v>
                </c:pt>
                <c:pt idx="7">
                  <c:v>35</c:v>
                </c:pt>
              </c:strCache>
            </c:strRef>
          </c:cat>
          <c:val>
            <c:numRef>
              <c:f>'Sheet2 (3)'!$B$5:$B$13</c:f>
              <c:numCache>
                <c:formatCode>0.00</c:formatCode>
                <c:ptCount val="8"/>
                <c:pt idx="0">
                  <c:v>0</c:v>
                </c:pt>
                <c:pt idx="1">
                  <c:v>0</c:v>
                </c:pt>
                <c:pt idx="2">
                  <c:v>9.5367431640625</c:v>
                </c:pt>
                <c:pt idx="3">
                  <c:v>0</c:v>
                </c:pt>
                <c:pt idx="4">
                  <c:v>9.5367431640625</c:v>
                </c:pt>
                <c:pt idx="5">
                  <c:v>0</c:v>
                </c:pt>
                <c:pt idx="6">
                  <c:v>0</c:v>
                </c:pt>
                <c:pt idx="7">
                  <c:v>0</c:v>
                </c:pt>
              </c:numCache>
            </c:numRef>
          </c:val>
          <c:smooth val="0"/>
          <c:extLst>
            <c:ext xmlns:c16="http://schemas.microsoft.com/office/drawing/2014/chart" uri="{C3380CC4-5D6E-409C-BE32-E72D297353CC}">
              <c16:uniqueId val="{00000000-1C3C-F04B-86DE-26BD9B02148D}"/>
            </c:ext>
          </c:extLst>
        </c:ser>
        <c:ser>
          <c:idx val="1"/>
          <c:order val="1"/>
          <c:tx>
            <c:strRef>
              <c:f>'Sheet2 (3)'!$C$3:$C$4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 (3)'!$A$5:$A$13</c:f>
              <c:strCache>
                <c:ptCount val="8"/>
                <c:pt idx="0">
                  <c:v>0</c:v>
                </c:pt>
                <c:pt idx="1">
                  <c:v>5</c:v>
                </c:pt>
                <c:pt idx="2">
                  <c:v>10</c:v>
                </c:pt>
                <c:pt idx="3">
                  <c:v>15</c:v>
                </c:pt>
                <c:pt idx="4">
                  <c:v>20</c:v>
                </c:pt>
                <c:pt idx="5">
                  <c:v>25</c:v>
                </c:pt>
                <c:pt idx="6">
                  <c:v>30</c:v>
                </c:pt>
                <c:pt idx="7">
                  <c:v>35</c:v>
                </c:pt>
              </c:strCache>
            </c:strRef>
          </c:cat>
          <c:val>
            <c:numRef>
              <c:f>'Sheet2 (3)'!$C$5:$C$13</c:f>
              <c:numCache>
                <c:formatCode>0.00</c:formatCode>
                <c:ptCount val="8"/>
                <c:pt idx="0">
                  <c:v>0</c:v>
                </c:pt>
                <c:pt idx="1">
                  <c:v>4.76837158203125</c:v>
                </c:pt>
                <c:pt idx="2">
                  <c:v>0</c:v>
                </c:pt>
                <c:pt idx="3">
                  <c:v>0</c:v>
                </c:pt>
                <c:pt idx="4">
                  <c:v>1.9073486328125</c:v>
                </c:pt>
                <c:pt idx="5">
                  <c:v>2.86102294921875</c:v>
                </c:pt>
                <c:pt idx="6">
                  <c:v>0.95367431640625</c:v>
                </c:pt>
                <c:pt idx="7">
                  <c:v>0</c:v>
                </c:pt>
              </c:numCache>
            </c:numRef>
          </c:val>
          <c:smooth val="0"/>
          <c:extLst>
            <c:ext xmlns:c16="http://schemas.microsoft.com/office/drawing/2014/chart" uri="{C3380CC4-5D6E-409C-BE32-E72D297353CC}">
              <c16:uniqueId val="{00000001-1C3C-F04B-86DE-26BD9B02148D}"/>
            </c:ext>
          </c:extLst>
        </c:ser>
        <c:ser>
          <c:idx val="2"/>
          <c:order val="2"/>
          <c:tx>
            <c:strRef>
              <c:f>'Sheet2 (3)'!$D$3:$D$4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 (3)'!$A$5:$A$13</c:f>
              <c:strCache>
                <c:ptCount val="8"/>
                <c:pt idx="0">
                  <c:v>0</c:v>
                </c:pt>
                <c:pt idx="1">
                  <c:v>5</c:v>
                </c:pt>
                <c:pt idx="2">
                  <c:v>10</c:v>
                </c:pt>
                <c:pt idx="3">
                  <c:v>15</c:v>
                </c:pt>
                <c:pt idx="4">
                  <c:v>20</c:v>
                </c:pt>
                <c:pt idx="5">
                  <c:v>25</c:v>
                </c:pt>
                <c:pt idx="6">
                  <c:v>30</c:v>
                </c:pt>
                <c:pt idx="7">
                  <c:v>35</c:v>
                </c:pt>
              </c:strCache>
            </c:strRef>
          </c:cat>
          <c:val>
            <c:numRef>
              <c:f>'Sheet2 (3)'!$D$5:$D$13</c:f>
              <c:numCache>
                <c:formatCode>0.00</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1C3C-F04B-86DE-26BD9B02148D}"/>
            </c:ext>
          </c:extLst>
        </c:ser>
        <c:ser>
          <c:idx val="3"/>
          <c:order val="3"/>
          <c:tx>
            <c:strRef>
              <c:f>'Sheet2 (3)'!$E$3:$E$4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 (3)'!$A$5:$A$13</c:f>
              <c:strCache>
                <c:ptCount val="8"/>
                <c:pt idx="0">
                  <c:v>0</c:v>
                </c:pt>
                <c:pt idx="1">
                  <c:v>5</c:v>
                </c:pt>
                <c:pt idx="2">
                  <c:v>10</c:v>
                </c:pt>
                <c:pt idx="3">
                  <c:v>15</c:v>
                </c:pt>
                <c:pt idx="4">
                  <c:v>20</c:v>
                </c:pt>
                <c:pt idx="5">
                  <c:v>25</c:v>
                </c:pt>
                <c:pt idx="6">
                  <c:v>30</c:v>
                </c:pt>
                <c:pt idx="7">
                  <c:v>35</c:v>
                </c:pt>
              </c:strCache>
            </c:strRef>
          </c:cat>
          <c:val>
            <c:numRef>
              <c:f>'Sheet2 (3)'!$E$5:$E$13</c:f>
              <c:numCache>
                <c:formatCode>0.00</c:formatCode>
                <c:ptCount val="8"/>
                <c:pt idx="0">
                  <c:v>0</c:v>
                </c:pt>
                <c:pt idx="1">
                  <c:v>2.86102294921875</c:v>
                </c:pt>
                <c:pt idx="2">
                  <c:v>1.9073486328125</c:v>
                </c:pt>
                <c:pt idx="3">
                  <c:v>0.95367431640625</c:v>
                </c:pt>
                <c:pt idx="4">
                  <c:v>0.95367431640625</c:v>
                </c:pt>
                <c:pt idx="5">
                  <c:v>1.9073486328125</c:v>
                </c:pt>
                <c:pt idx="6">
                  <c:v>0.95367431640625</c:v>
                </c:pt>
                <c:pt idx="7">
                  <c:v>0</c:v>
                </c:pt>
              </c:numCache>
            </c:numRef>
          </c:val>
          <c:smooth val="0"/>
          <c:extLst>
            <c:ext xmlns:c16="http://schemas.microsoft.com/office/drawing/2014/chart" uri="{C3380CC4-5D6E-409C-BE32-E72D297353CC}">
              <c16:uniqueId val="{00000003-1C3C-F04B-86DE-26BD9B02148D}"/>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 (4)!PivotTable2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cit-Patents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(4)'!$B$3:$B$4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 (4)'!$A$5:$A$21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'Sheet2 (4)'!$B$5:$B$21</c:f>
              <c:numCache>
                <c:formatCode>0.00</c:formatCode>
                <c:ptCount val="16"/>
                <c:pt idx="0">
                  <c:v>0</c:v>
                </c:pt>
                <c:pt idx="1">
                  <c:v>0</c:v>
                </c:pt>
                <c:pt idx="2">
                  <c:v>0</c:v>
                </c:pt>
                <c:pt idx="3">
                  <c:v>85.8306884765625</c:v>
                </c:pt>
                <c:pt idx="4">
                  <c:v>66.7572021484375</c:v>
                </c:pt>
                <c:pt idx="5">
                  <c:v>38.14697265625</c:v>
                </c:pt>
                <c:pt idx="6">
                  <c:v>9.5367431640625</c:v>
                </c:pt>
                <c:pt idx="7">
                  <c:v>66.7572021484375</c:v>
                </c:pt>
                <c:pt idx="8">
                  <c:v>66.7572021484375</c:v>
                </c:pt>
                <c:pt idx="9">
                  <c:v>28.6102294921875</c:v>
                </c:pt>
                <c:pt idx="10">
                  <c:v>19.073486328125</c:v>
                </c:pt>
                <c:pt idx="11">
                  <c:v>19.073486328125</c:v>
                </c:pt>
                <c:pt idx="12">
                  <c:v>9.5367431640625</c:v>
                </c:pt>
                <c:pt idx="13">
                  <c:v>0</c:v>
                </c:pt>
                <c:pt idx="14">
                  <c:v>0</c:v>
                </c:pt>
                <c:pt idx="15">
                  <c:v>0</c:v>
                </c:pt>
              </c:numCache>
            </c:numRef>
          </c:val>
          <c:smooth val="0"/>
          <c:extLst>
            <c:ext xmlns:c16="http://schemas.microsoft.com/office/drawing/2014/chart" uri="{C3380CC4-5D6E-409C-BE32-E72D297353CC}">
              <c16:uniqueId val="{00000000-534D-7444-A090-AF0124BE45D9}"/>
            </c:ext>
          </c:extLst>
        </c:ser>
        <c:ser>
          <c:idx val="1"/>
          <c:order val="1"/>
          <c:tx>
            <c:strRef>
              <c:f>'Sheet2 (4)'!$C$3:$C$4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 (4)'!$A$5:$A$21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'Sheet2 (4)'!$C$5:$C$21</c:f>
              <c:numCache>
                <c:formatCode>0.00</c:formatCode>
                <c:ptCount val="16"/>
                <c:pt idx="0">
                  <c:v>0</c:v>
                </c:pt>
                <c:pt idx="1">
                  <c:v>2.86102294921875</c:v>
                </c:pt>
                <c:pt idx="2">
                  <c:v>0.95367431640625</c:v>
                </c:pt>
                <c:pt idx="3">
                  <c:v>3.814697265625</c:v>
                </c:pt>
                <c:pt idx="4">
                  <c:v>1.9073486328125</c:v>
                </c:pt>
                <c:pt idx="5">
                  <c:v>0</c:v>
                </c:pt>
                <c:pt idx="6">
                  <c:v>1.9073486328125</c:v>
                </c:pt>
                <c:pt idx="7">
                  <c:v>0.95367431640625</c:v>
                </c:pt>
                <c:pt idx="8">
                  <c:v>2.86102294921875</c:v>
                </c:pt>
                <c:pt idx="9">
                  <c:v>9.5367431640625</c:v>
                </c:pt>
                <c:pt idx="10">
                  <c:v>0</c:v>
                </c:pt>
                <c:pt idx="11">
                  <c:v>1.9073486328125</c:v>
                </c:pt>
                <c:pt idx="12">
                  <c:v>1.9073486328125</c:v>
                </c:pt>
                <c:pt idx="13">
                  <c:v>1.9073486328125</c:v>
                </c:pt>
                <c:pt idx="14">
                  <c:v>0.95367431640625</c:v>
                </c:pt>
                <c:pt idx="15">
                  <c:v>0</c:v>
                </c:pt>
              </c:numCache>
            </c:numRef>
          </c:val>
          <c:smooth val="0"/>
          <c:extLst>
            <c:ext xmlns:c16="http://schemas.microsoft.com/office/drawing/2014/chart" uri="{C3380CC4-5D6E-409C-BE32-E72D297353CC}">
              <c16:uniqueId val="{00000001-534D-7444-A090-AF0124BE45D9}"/>
            </c:ext>
          </c:extLst>
        </c:ser>
        <c:ser>
          <c:idx val="2"/>
          <c:order val="2"/>
          <c:tx>
            <c:strRef>
              <c:f>'Sheet2 (4)'!$D$3:$D$4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 (4)'!$A$5:$A$21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'Sheet2 (4)'!$D$5:$D$21</c:f>
              <c:numCache>
                <c:formatCode>0.00</c:formatCode>
                <c:ptCount val="16"/>
                <c:pt idx="0">
                  <c:v>0</c:v>
                </c:pt>
                <c:pt idx="1">
                  <c:v>0</c:v>
                </c:pt>
                <c:pt idx="2">
                  <c:v>0</c:v>
                </c:pt>
                <c:pt idx="3">
                  <c:v>19.073486328125</c:v>
                </c:pt>
                <c:pt idx="4">
                  <c:v>38.14697265625</c:v>
                </c:pt>
                <c:pt idx="5">
                  <c:v>57.220458984375</c:v>
                </c:pt>
                <c:pt idx="6">
                  <c:v>162.1246337890625</c:v>
                </c:pt>
                <c:pt idx="7">
                  <c:v>0</c:v>
                </c:pt>
                <c:pt idx="8">
                  <c:v>85.8306884765625</c:v>
                </c:pt>
                <c:pt idx="9">
                  <c:v>238.4185791015625</c:v>
                </c:pt>
                <c:pt idx="10">
                  <c:v>324.249267578125</c:v>
                </c:pt>
                <c:pt idx="11">
                  <c:v>9.5367431640625</c:v>
                </c:pt>
                <c:pt idx="12">
                  <c:v>9.5367431640625</c:v>
                </c:pt>
                <c:pt idx="13">
                  <c:v>19.073486328125</c:v>
                </c:pt>
                <c:pt idx="14">
                  <c:v>0</c:v>
                </c:pt>
                <c:pt idx="15">
                  <c:v>38.14697265625</c:v>
                </c:pt>
              </c:numCache>
            </c:numRef>
          </c:val>
          <c:smooth val="0"/>
          <c:extLst>
            <c:ext xmlns:c16="http://schemas.microsoft.com/office/drawing/2014/chart" uri="{C3380CC4-5D6E-409C-BE32-E72D297353CC}">
              <c16:uniqueId val="{00000002-534D-7444-A090-AF0124BE45D9}"/>
            </c:ext>
          </c:extLst>
        </c:ser>
        <c:ser>
          <c:idx val="3"/>
          <c:order val="3"/>
          <c:tx>
            <c:strRef>
              <c:f>'Sheet2 (4)'!$E$3:$E$4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 (4)'!$A$5:$A$21</c:f>
              <c:strCach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strCache>
            </c:strRef>
          </c:cat>
          <c:val>
            <c:numRef>
              <c:f>'Sheet2 (4)'!$E$5:$E$21</c:f>
              <c:numCache>
                <c:formatCode>0.00</c:formatCode>
                <c:ptCount val="16"/>
                <c:pt idx="0">
                  <c:v>0</c:v>
                </c:pt>
                <c:pt idx="1">
                  <c:v>6.67572021484375</c:v>
                </c:pt>
                <c:pt idx="2">
                  <c:v>0.95367431640625</c:v>
                </c:pt>
                <c:pt idx="3">
                  <c:v>5.7220458984375</c:v>
                </c:pt>
                <c:pt idx="4">
                  <c:v>2.86102294921875</c:v>
                </c:pt>
                <c:pt idx="5">
                  <c:v>6.67572021484375</c:v>
                </c:pt>
                <c:pt idx="6">
                  <c:v>0</c:v>
                </c:pt>
                <c:pt idx="7">
                  <c:v>0</c:v>
                </c:pt>
                <c:pt idx="8">
                  <c:v>6.67572021484375</c:v>
                </c:pt>
                <c:pt idx="9">
                  <c:v>15.2587890625</c:v>
                </c:pt>
                <c:pt idx="10">
                  <c:v>2.86102294921875</c:v>
                </c:pt>
                <c:pt idx="11">
                  <c:v>0.95367431640625</c:v>
                </c:pt>
                <c:pt idx="12">
                  <c:v>9.5367431640625</c:v>
                </c:pt>
                <c:pt idx="13">
                  <c:v>2.86102294921875</c:v>
                </c:pt>
                <c:pt idx="14">
                  <c:v>0</c:v>
                </c:pt>
                <c:pt idx="15">
                  <c:v>0.95367431640625</c:v>
                </c:pt>
              </c:numCache>
            </c:numRef>
          </c:val>
          <c:smooth val="0"/>
          <c:extLst>
            <c:ext xmlns:c16="http://schemas.microsoft.com/office/drawing/2014/chart" uri="{C3380CC4-5D6E-409C-BE32-E72D297353CC}">
              <c16:uniqueId val="{00000003-534D-7444-A090-AF0124BE45D9}"/>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 (6)!PivotTable2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soc-pokec-relationships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(6)'!$B$3:$B$4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 (6)'!$A$5:$A$27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'Sheet2 (6)'!$B$5:$B$27</c:f>
              <c:numCache>
                <c:formatCode>0.00</c:formatCode>
                <c:ptCount val="22"/>
                <c:pt idx="0">
                  <c:v>0</c:v>
                </c:pt>
                <c:pt idx="1">
                  <c:v>0</c:v>
                </c:pt>
                <c:pt idx="2">
                  <c:v>9.5367431640625</c:v>
                </c:pt>
                <c:pt idx="3">
                  <c:v>57.220458984375</c:v>
                </c:pt>
                <c:pt idx="4">
                  <c:v>47.6837158203125</c:v>
                </c:pt>
                <c:pt idx="5">
                  <c:v>57.220458984375</c:v>
                </c:pt>
                <c:pt idx="6">
                  <c:v>0</c:v>
                </c:pt>
                <c:pt idx="7">
                  <c:v>57.220458984375</c:v>
                </c:pt>
                <c:pt idx="8">
                  <c:v>47.6837158203125</c:v>
                </c:pt>
                <c:pt idx="9">
                  <c:v>38.14697265625</c:v>
                </c:pt>
                <c:pt idx="10">
                  <c:v>0</c:v>
                </c:pt>
                <c:pt idx="11">
                  <c:v>57.220458984375</c:v>
                </c:pt>
                <c:pt idx="12">
                  <c:v>47.6837158203125</c:v>
                </c:pt>
                <c:pt idx="13">
                  <c:v>28.6102294921875</c:v>
                </c:pt>
                <c:pt idx="14">
                  <c:v>0</c:v>
                </c:pt>
                <c:pt idx="15">
                  <c:v>19.073486328125</c:v>
                </c:pt>
                <c:pt idx="16">
                  <c:v>19.073486328125</c:v>
                </c:pt>
                <c:pt idx="17">
                  <c:v>9.5367431640625</c:v>
                </c:pt>
                <c:pt idx="18">
                  <c:v>9.5367431640625</c:v>
                </c:pt>
                <c:pt idx="19">
                  <c:v>0</c:v>
                </c:pt>
                <c:pt idx="20">
                  <c:v>0</c:v>
                </c:pt>
                <c:pt idx="21">
                  <c:v>9.5367431640625</c:v>
                </c:pt>
              </c:numCache>
            </c:numRef>
          </c:val>
          <c:smooth val="0"/>
          <c:extLst>
            <c:ext xmlns:c16="http://schemas.microsoft.com/office/drawing/2014/chart" uri="{C3380CC4-5D6E-409C-BE32-E72D297353CC}">
              <c16:uniqueId val="{00000000-AE10-7047-B338-AF6EBA43A508}"/>
            </c:ext>
          </c:extLst>
        </c:ser>
        <c:ser>
          <c:idx val="1"/>
          <c:order val="1"/>
          <c:tx>
            <c:strRef>
              <c:f>'Sheet2 (6)'!$C$3:$C$4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 (6)'!$A$5:$A$27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'Sheet2 (6)'!$C$5:$C$27</c:f>
              <c:numCache>
                <c:formatCode>0.00</c:formatCode>
                <c:ptCount val="22"/>
                <c:pt idx="0">
                  <c:v>0</c:v>
                </c:pt>
                <c:pt idx="1">
                  <c:v>0</c:v>
                </c:pt>
                <c:pt idx="2">
                  <c:v>20.9808349609375</c:v>
                </c:pt>
                <c:pt idx="3">
                  <c:v>0</c:v>
                </c:pt>
                <c:pt idx="4">
                  <c:v>0</c:v>
                </c:pt>
                <c:pt idx="5">
                  <c:v>0</c:v>
                </c:pt>
                <c:pt idx="6">
                  <c:v>0</c:v>
                </c:pt>
                <c:pt idx="7">
                  <c:v>0</c:v>
                </c:pt>
                <c:pt idx="8">
                  <c:v>0</c:v>
                </c:pt>
                <c:pt idx="9">
                  <c:v>0</c:v>
                </c:pt>
                <c:pt idx="10">
                  <c:v>0</c:v>
                </c:pt>
                <c:pt idx="11">
                  <c:v>0</c:v>
                </c:pt>
                <c:pt idx="12">
                  <c:v>0</c:v>
                </c:pt>
                <c:pt idx="13">
                  <c:v>0</c:v>
                </c:pt>
                <c:pt idx="14">
                  <c:v>0</c:v>
                </c:pt>
                <c:pt idx="15">
                  <c:v>9.5367431640625</c:v>
                </c:pt>
                <c:pt idx="16">
                  <c:v>0</c:v>
                </c:pt>
                <c:pt idx="17">
                  <c:v>0.95367431640625</c:v>
                </c:pt>
                <c:pt idx="18">
                  <c:v>0</c:v>
                </c:pt>
                <c:pt idx="19">
                  <c:v>0</c:v>
                </c:pt>
                <c:pt idx="20">
                  <c:v>0</c:v>
                </c:pt>
                <c:pt idx="21">
                  <c:v>0</c:v>
                </c:pt>
              </c:numCache>
            </c:numRef>
          </c:val>
          <c:smooth val="0"/>
          <c:extLst>
            <c:ext xmlns:c16="http://schemas.microsoft.com/office/drawing/2014/chart" uri="{C3380CC4-5D6E-409C-BE32-E72D297353CC}">
              <c16:uniqueId val="{00000001-AE10-7047-B338-AF6EBA43A508}"/>
            </c:ext>
          </c:extLst>
        </c:ser>
        <c:ser>
          <c:idx val="2"/>
          <c:order val="2"/>
          <c:tx>
            <c:strRef>
              <c:f>'Sheet2 (6)'!$D$3:$D$4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 (6)'!$A$5:$A$27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'Sheet2 (6)'!$D$5:$D$27</c:f>
              <c:numCache>
                <c:formatCode>0.00</c:formatCode>
                <c:ptCount val="22"/>
                <c:pt idx="0">
                  <c:v>0</c:v>
                </c:pt>
                <c:pt idx="1">
                  <c:v>0</c:v>
                </c:pt>
                <c:pt idx="2">
                  <c:v>104.9041748046875</c:v>
                </c:pt>
                <c:pt idx="3">
                  <c:v>0</c:v>
                </c:pt>
                <c:pt idx="4">
                  <c:v>0</c:v>
                </c:pt>
                <c:pt idx="5">
                  <c:v>104.9041748046875</c:v>
                </c:pt>
                <c:pt idx="6">
                  <c:v>162.1246337890625</c:v>
                </c:pt>
                <c:pt idx="7">
                  <c:v>143.0511474609375</c:v>
                </c:pt>
                <c:pt idx="8">
                  <c:v>0</c:v>
                </c:pt>
                <c:pt idx="9">
                  <c:v>0</c:v>
                </c:pt>
                <c:pt idx="10">
                  <c:v>257.4920654296875</c:v>
                </c:pt>
                <c:pt idx="11">
                  <c:v>19.073486328125</c:v>
                </c:pt>
                <c:pt idx="12">
                  <c:v>95.367431640625</c:v>
                </c:pt>
                <c:pt idx="13">
                  <c:v>95.367431640625</c:v>
                </c:pt>
                <c:pt idx="14">
                  <c:v>143.0511474609375</c:v>
                </c:pt>
                <c:pt idx="15">
                  <c:v>9.5367431640625</c:v>
                </c:pt>
                <c:pt idx="16">
                  <c:v>715.2557373046875</c:v>
                </c:pt>
                <c:pt idx="17">
                  <c:v>104.9041748046875</c:v>
                </c:pt>
                <c:pt idx="18">
                  <c:v>38.14697265625</c:v>
                </c:pt>
                <c:pt idx="19">
                  <c:v>19.073486328125</c:v>
                </c:pt>
                <c:pt idx="20">
                  <c:v>9.5367431640625</c:v>
                </c:pt>
                <c:pt idx="21">
                  <c:v>0</c:v>
                </c:pt>
              </c:numCache>
            </c:numRef>
          </c:val>
          <c:smooth val="0"/>
          <c:extLst>
            <c:ext xmlns:c16="http://schemas.microsoft.com/office/drawing/2014/chart" uri="{C3380CC4-5D6E-409C-BE32-E72D297353CC}">
              <c16:uniqueId val="{00000002-AE10-7047-B338-AF6EBA43A508}"/>
            </c:ext>
          </c:extLst>
        </c:ser>
        <c:ser>
          <c:idx val="3"/>
          <c:order val="3"/>
          <c:tx>
            <c:strRef>
              <c:f>'Sheet2 (6)'!$E$3:$E$4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 (6)'!$A$5:$A$27</c:f>
              <c:strCache>
                <c:ptCount val="2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strCache>
            </c:strRef>
          </c:cat>
          <c:val>
            <c:numRef>
              <c:f>'Sheet2 (6)'!$E$5:$E$27</c:f>
              <c:numCache>
                <c:formatCode>0.00</c:formatCode>
                <c:ptCount val="22"/>
                <c:pt idx="0">
                  <c:v>0</c:v>
                </c:pt>
                <c:pt idx="1">
                  <c:v>2.86102294921875</c:v>
                </c:pt>
                <c:pt idx="2">
                  <c:v>3.814697265625</c:v>
                </c:pt>
                <c:pt idx="3">
                  <c:v>0</c:v>
                </c:pt>
                <c:pt idx="4">
                  <c:v>0</c:v>
                </c:pt>
                <c:pt idx="5">
                  <c:v>0.95367431640625</c:v>
                </c:pt>
                <c:pt idx="6">
                  <c:v>11.444091796875</c:v>
                </c:pt>
                <c:pt idx="7">
                  <c:v>0</c:v>
                </c:pt>
                <c:pt idx="8">
                  <c:v>0</c:v>
                </c:pt>
                <c:pt idx="9">
                  <c:v>0</c:v>
                </c:pt>
                <c:pt idx="10">
                  <c:v>0</c:v>
                </c:pt>
                <c:pt idx="11">
                  <c:v>0</c:v>
                </c:pt>
                <c:pt idx="12">
                  <c:v>0.95367431640625</c:v>
                </c:pt>
                <c:pt idx="13">
                  <c:v>0</c:v>
                </c:pt>
                <c:pt idx="14">
                  <c:v>0.95367431640625</c:v>
                </c:pt>
                <c:pt idx="15">
                  <c:v>0</c:v>
                </c:pt>
                <c:pt idx="16">
                  <c:v>0</c:v>
                </c:pt>
                <c:pt idx="17">
                  <c:v>10.49041748046875</c:v>
                </c:pt>
                <c:pt idx="18">
                  <c:v>0.95367431640625</c:v>
                </c:pt>
                <c:pt idx="19">
                  <c:v>0.95367431640625</c:v>
                </c:pt>
                <c:pt idx="20">
                  <c:v>1.9073486328125</c:v>
                </c:pt>
                <c:pt idx="21">
                  <c:v>0</c:v>
                </c:pt>
              </c:numCache>
            </c:numRef>
          </c:val>
          <c:smooth val="0"/>
          <c:extLst>
            <c:ext xmlns:c16="http://schemas.microsoft.com/office/drawing/2014/chart" uri="{C3380CC4-5D6E-409C-BE32-E72D297353CC}">
              <c16:uniqueId val="{00000003-AE10-7047-B338-AF6EBA43A508}"/>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[Hadoop_disk_with_formulas_v2.xlsx]Sheet2 (5)!PivotTable2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soc-LiveJournal1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 (5)'!$B$3:$B$4</c:f>
              <c:strCache>
                <c:ptCount val="1"/>
                <c:pt idx="0">
                  <c:v>datanode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(5)'!$B$5:$B$46</c:f>
              <c:numCache>
                <c:formatCode>0.00</c:formatCode>
                <c:ptCount val="41"/>
                <c:pt idx="0">
                  <c:v>0</c:v>
                </c:pt>
                <c:pt idx="1">
                  <c:v>0</c:v>
                </c:pt>
                <c:pt idx="2">
                  <c:v>57.220458984375</c:v>
                </c:pt>
                <c:pt idx="3">
                  <c:v>66.7572021484375</c:v>
                </c:pt>
                <c:pt idx="4">
                  <c:v>66.7572021484375</c:v>
                </c:pt>
                <c:pt idx="5">
                  <c:v>47.6837158203125</c:v>
                </c:pt>
                <c:pt idx="6">
                  <c:v>28.6102294921875</c:v>
                </c:pt>
                <c:pt idx="7">
                  <c:v>57.220458984375</c:v>
                </c:pt>
                <c:pt idx="8">
                  <c:v>47.6837158203125</c:v>
                </c:pt>
                <c:pt idx="9">
                  <c:v>0</c:v>
                </c:pt>
                <c:pt idx="10">
                  <c:v>28.6102294921875</c:v>
                </c:pt>
                <c:pt idx="11">
                  <c:v>85.8306884765625</c:v>
                </c:pt>
                <c:pt idx="12">
                  <c:v>28.6102294921875</c:v>
                </c:pt>
                <c:pt idx="13">
                  <c:v>0</c:v>
                </c:pt>
                <c:pt idx="14">
                  <c:v>57.220458984375</c:v>
                </c:pt>
                <c:pt idx="15">
                  <c:v>47.6837158203125</c:v>
                </c:pt>
                <c:pt idx="16">
                  <c:v>38.14697265625</c:v>
                </c:pt>
                <c:pt idx="17">
                  <c:v>0</c:v>
                </c:pt>
                <c:pt idx="18">
                  <c:v>57.220458984375</c:v>
                </c:pt>
                <c:pt idx="19">
                  <c:v>57.220458984375</c:v>
                </c:pt>
                <c:pt idx="20">
                  <c:v>28.6102294921875</c:v>
                </c:pt>
                <c:pt idx="21">
                  <c:v>0</c:v>
                </c:pt>
                <c:pt idx="22">
                  <c:v>66.7572021484375</c:v>
                </c:pt>
                <c:pt idx="23">
                  <c:v>66.7572021484375</c:v>
                </c:pt>
                <c:pt idx="24">
                  <c:v>0</c:v>
                </c:pt>
                <c:pt idx="25">
                  <c:v>76.2939453125</c:v>
                </c:pt>
                <c:pt idx="26">
                  <c:v>76.2939453125</c:v>
                </c:pt>
                <c:pt idx="27">
                  <c:v>19.073486328125</c:v>
                </c:pt>
                <c:pt idx="28">
                  <c:v>0</c:v>
                </c:pt>
                <c:pt idx="29">
                  <c:v>76.2939453125</c:v>
                </c:pt>
                <c:pt idx="30">
                  <c:v>76.2939453125</c:v>
                </c:pt>
                <c:pt idx="31">
                  <c:v>0</c:v>
                </c:pt>
                <c:pt idx="32">
                  <c:v>9.5367431640625</c:v>
                </c:pt>
                <c:pt idx="33">
                  <c:v>0</c:v>
                </c:pt>
                <c:pt idx="34">
                  <c:v>9.5367431640625</c:v>
                </c:pt>
                <c:pt idx="35">
                  <c:v>0</c:v>
                </c:pt>
                <c:pt idx="36">
                  <c:v>38.14697265625</c:v>
                </c:pt>
                <c:pt idx="37">
                  <c:v>0</c:v>
                </c:pt>
                <c:pt idx="38">
                  <c:v>9.5367431640625</c:v>
                </c:pt>
                <c:pt idx="39">
                  <c:v>0</c:v>
                </c:pt>
                <c:pt idx="40">
                  <c:v>9.5367431640625</c:v>
                </c:pt>
              </c:numCache>
            </c:numRef>
          </c:val>
          <c:smooth val="0"/>
          <c:extLst>
            <c:ext xmlns:c16="http://schemas.microsoft.com/office/drawing/2014/chart" uri="{C3380CC4-5D6E-409C-BE32-E72D297353CC}">
              <c16:uniqueId val="{00000000-D76C-F24C-A504-EF3133F5BE7A}"/>
            </c:ext>
          </c:extLst>
        </c:ser>
        <c:ser>
          <c:idx val="1"/>
          <c:order val="1"/>
          <c:tx>
            <c:strRef>
              <c:f>'Sheet2 (5)'!$C$3:$C$4</c:f>
              <c:strCache>
                <c:ptCount val="1"/>
                <c:pt idx="0">
                  <c:v>namenode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(5)'!$C$5:$C$46</c:f>
              <c:numCache>
                <c:formatCode>0.00</c:formatCode>
                <c:ptCount val="41"/>
                <c:pt idx="0">
                  <c:v>0</c:v>
                </c:pt>
                <c:pt idx="1">
                  <c:v>19.073486328125</c:v>
                </c:pt>
                <c:pt idx="2">
                  <c:v>0</c:v>
                </c:pt>
                <c:pt idx="3">
                  <c:v>0</c:v>
                </c:pt>
                <c:pt idx="4">
                  <c:v>0</c:v>
                </c:pt>
                <c:pt idx="5">
                  <c:v>0</c:v>
                </c:pt>
                <c:pt idx="6">
                  <c:v>0</c:v>
                </c:pt>
                <c:pt idx="7">
                  <c:v>0</c:v>
                </c:pt>
                <c:pt idx="8">
                  <c:v>0</c:v>
                </c:pt>
                <c:pt idx="9">
                  <c:v>0</c:v>
                </c:pt>
                <c:pt idx="10">
                  <c:v>0</c:v>
                </c:pt>
                <c:pt idx="11">
                  <c:v>2.86102294921875</c:v>
                </c:pt>
                <c:pt idx="12">
                  <c:v>0</c:v>
                </c:pt>
                <c:pt idx="13">
                  <c:v>1.9073486328125</c:v>
                </c:pt>
                <c:pt idx="14">
                  <c:v>0</c:v>
                </c:pt>
                <c:pt idx="15">
                  <c:v>3.814697265625</c:v>
                </c:pt>
                <c:pt idx="16">
                  <c:v>0.95367431640625</c:v>
                </c:pt>
                <c:pt idx="17">
                  <c:v>9.5367431640625</c:v>
                </c:pt>
                <c:pt idx="18">
                  <c:v>0</c:v>
                </c:pt>
                <c:pt idx="19">
                  <c:v>0</c:v>
                </c:pt>
                <c:pt idx="20">
                  <c:v>0</c:v>
                </c:pt>
                <c:pt idx="21">
                  <c:v>0</c:v>
                </c:pt>
                <c:pt idx="22">
                  <c:v>0</c:v>
                </c:pt>
                <c:pt idx="23">
                  <c:v>5.7220458984375</c:v>
                </c:pt>
                <c:pt idx="24">
                  <c:v>0</c:v>
                </c:pt>
                <c:pt idx="25">
                  <c:v>0</c:v>
                </c:pt>
                <c:pt idx="26">
                  <c:v>0</c:v>
                </c:pt>
                <c:pt idx="27">
                  <c:v>0</c:v>
                </c:pt>
                <c:pt idx="28">
                  <c:v>0</c:v>
                </c:pt>
                <c:pt idx="29">
                  <c:v>0</c:v>
                </c:pt>
                <c:pt idx="30">
                  <c:v>0</c:v>
                </c:pt>
                <c:pt idx="31">
                  <c:v>0</c:v>
                </c:pt>
                <c:pt idx="32">
                  <c:v>0</c:v>
                </c:pt>
                <c:pt idx="33">
                  <c:v>0</c:v>
                </c:pt>
                <c:pt idx="34">
                  <c:v>0</c:v>
                </c:pt>
                <c:pt idx="35">
                  <c:v>0</c:v>
                </c:pt>
                <c:pt idx="36">
                  <c:v>9.5367431640625</c:v>
                </c:pt>
                <c:pt idx="37">
                  <c:v>0</c:v>
                </c:pt>
                <c:pt idx="38">
                  <c:v>0</c:v>
                </c:pt>
                <c:pt idx="39">
                  <c:v>0</c:v>
                </c:pt>
                <c:pt idx="40">
                  <c:v>0</c:v>
                </c:pt>
              </c:numCache>
            </c:numRef>
          </c:val>
          <c:smooth val="0"/>
          <c:extLst>
            <c:ext xmlns:c16="http://schemas.microsoft.com/office/drawing/2014/chart" uri="{C3380CC4-5D6E-409C-BE32-E72D297353CC}">
              <c16:uniqueId val="{00000001-D76C-F24C-A504-EF3133F5BE7A}"/>
            </c:ext>
          </c:extLst>
        </c:ser>
        <c:ser>
          <c:idx val="2"/>
          <c:order val="2"/>
          <c:tx>
            <c:strRef>
              <c:f>'Sheet2 (5)'!$D$3:$D$4</c:f>
              <c:strCache>
                <c:ptCount val="1"/>
                <c:pt idx="0">
                  <c:v>nodemanager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(5)'!$D$5:$D$46</c:f>
              <c:numCache>
                <c:formatCode>0.00</c:formatCode>
                <c:ptCount val="41"/>
                <c:pt idx="0">
                  <c:v>0</c:v>
                </c:pt>
                <c:pt idx="1">
                  <c:v>9.5367431640625</c:v>
                </c:pt>
                <c:pt idx="2">
                  <c:v>19.073486328125</c:v>
                </c:pt>
                <c:pt idx="3">
                  <c:v>0</c:v>
                </c:pt>
                <c:pt idx="4">
                  <c:v>28.6102294921875</c:v>
                </c:pt>
                <c:pt idx="5">
                  <c:v>171.661376953125</c:v>
                </c:pt>
                <c:pt idx="6">
                  <c:v>57.220458984375</c:v>
                </c:pt>
                <c:pt idx="7">
                  <c:v>38.14697265625</c:v>
                </c:pt>
                <c:pt idx="8">
                  <c:v>38.14697265625</c:v>
                </c:pt>
                <c:pt idx="9">
                  <c:v>228.8818359375</c:v>
                </c:pt>
                <c:pt idx="10">
                  <c:v>19.073486328125</c:v>
                </c:pt>
                <c:pt idx="11">
                  <c:v>47.6837158203125</c:v>
                </c:pt>
                <c:pt idx="12">
                  <c:v>38.14697265625</c:v>
                </c:pt>
                <c:pt idx="13">
                  <c:v>162.1246337890625</c:v>
                </c:pt>
                <c:pt idx="14">
                  <c:v>38.14697265625</c:v>
                </c:pt>
                <c:pt idx="15">
                  <c:v>57.220458984375</c:v>
                </c:pt>
                <c:pt idx="16">
                  <c:v>57.220458984375</c:v>
                </c:pt>
                <c:pt idx="17">
                  <c:v>190.73486328125</c:v>
                </c:pt>
                <c:pt idx="18">
                  <c:v>0</c:v>
                </c:pt>
                <c:pt idx="19">
                  <c:v>57.220458984375</c:v>
                </c:pt>
                <c:pt idx="20">
                  <c:v>152.587890625</c:v>
                </c:pt>
                <c:pt idx="21">
                  <c:v>104.9041748046875</c:v>
                </c:pt>
                <c:pt idx="22">
                  <c:v>0</c:v>
                </c:pt>
                <c:pt idx="23">
                  <c:v>76.2939453125</c:v>
                </c:pt>
                <c:pt idx="24">
                  <c:v>123.9776611328125</c:v>
                </c:pt>
                <c:pt idx="25">
                  <c:v>19.073486328125</c:v>
                </c:pt>
                <c:pt idx="26">
                  <c:v>38.14697265625</c:v>
                </c:pt>
                <c:pt idx="27">
                  <c:v>123.9776611328125</c:v>
                </c:pt>
                <c:pt idx="28">
                  <c:v>123.9776611328125</c:v>
                </c:pt>
                <c:pt idx="29">
                  <c:v>9.5367431640625</c:v>
                </c:pt>
                <c:pt idx="30">
                  <c:v>133.514404296875</c:v>
                </c:pt>
                <c:pt idx="31">
                  <c:v>143.0511474609375</c:v>
                </c:pt>
                <c:pt idx="32">
                  <c:v>1811.981201171875</c:v>
                </c:pt>
                <c:pt idx="33">
                  <c:v>143.0511474609375</c:v>
                </c:pt>
                <c:pt idx="34">
                  <c:v>257.4920654296875</c:v>
                </c:pt>
                <c:pt idx="35">
                  <c:v>295.6390380859375</c:v>
                </c:pt>
                <c:pt idx="36">
                  <c:v>85.8306884765625</c:v>
                </c:pt>
                <c:pt idx="37">
                  <c:v>47.6837158203125</c:v>
                </c:pt>
                <c:pt idx="38">
                  <c:v>9.5367431640625</c:v>
                </c:pt>
                <c:pt idx="39">
                  <c:v>0</c:v>
                </c:pt>
                <c:pt idx="40">
                  <c:v>9.5367431640625</c:v>
                </c:pt>
              </c:numCache>
            </c:numRef>
          </c:val>
          <c:smooth val="0"/>
          <c:extLst>
            <c:ext xmlns:c16="http://schemas.microsoft.com/office/drawing/2014/chart" uri="{C3380CC4-5D6E-409C-BE32-E72D297353CC}">
              <c16:uniqueId val="{00000002-D76C-F24C-A504-EF3133F5BE7A}"/>
            </c:ext>
          </c:extLst>
        </c:ser>
        <c:ser>
          <c:idx val="3"/>
          <c:order val="3"/>
          <c:tx>
            <c:strRef>
              <c:f>'Sheet2 (5)'!$E$3:$E$4</c:f>
              <c:strCache>
                <c:ptCount val="1"/>
                <c:pt idx="0">
                  <c:v>resourcemanager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 (5)'!$A$5:$A$46</c:f>
              <c:strCache>
                <c:ptCount val="41"/>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strCache>
            </c:strRef>
          </c:cat>
          <c:val>
            <c:numRef>
              <c:f>'Sheet2 (5)'!$E$5:$E$46</c:f>
              <c:numCache>
                <c:formatCode>0.00</c:formatCode>
                <c:ptCount val="41"/>
                <c:pt idx="0">
                  <c:v>0</c:v>
                </c:pt>
                <c:pt idx="1">
                  <c:v>2.86102294921875</c:v>
                </c:pt>
                <c:pt idx="2">
                  <c:v>1.9073486328125</c:v>
                </c:pt>
                <c:pt idx="3">
                  <c:v>0.95367431640625</c:v>
                </c:pt>
                <c:pt idx="4">
                  <c:v>4.76837158203125</c:v>
                </c:pt>
                <c:pt idx="5">
                  <c:v>0.95367431640625</c:v>
                </c:pt>
                <c:pt idx="6">
                  <c:v>0.95367431640625</c:v>
                </c:pt>
                <c:pt idx="7">
                  <c:v>0</c:v>
                </c:pt>
                <c:pt idx="8">
                  <c:v>0</c:v>
                </c:pt>
                <c:pt idx="9">
                  <c:v>0</c:v>
                </c:pt>
                <c:pt idx="10">
                  <c:v>0.95367431640625</c:v>
                </c:pt>
                <c:pt idx="11">
                  <c:v>0.95367431640625</c:v>
                </c:pt>
                <c:pt idx="12">
                  <c:v>0</c:v>
                </c:pt>
                <c:pt idx="13">
                  <c:v>0.95367431640625</c:v>
                </c:pt>
                <c:pt idx="14">
                  <c:v>0</c:v>
                </c:pt>
                <c:pt idx="15">
                  <c:v>0</c:v>
                </c:pt>
                <c:pt idx="16">
                  <c:v>9.5367431640625</c:v>
                </c:pt>
                <c:pt idx="17">
                  <c:v>0.95367431640625</c:v>
                </c:pt>
                <c:pt idx="18">
                  <c:v>0</c:v>
                </c:pt>
                <c:pt idx="19">
                  <c:v>0.95367431640625</c:v>
                </c:pt>
                <c:pt idx="20">
                  <c:v>0</c:v>
                </c:pt>
                <c:pt idx="21">
                  <c:v>0.95367431640625</c:v>
                </c:pt>
                <c:pt idx="22">
                  <c:v>0</c:v>
                </c:pt>
                <c:pt idx="23">
                  <c:v>0.95367431640625</c:v>
                </c:pt>
                <c:pt idx="24">
                  <c:v>0.95367431640625</c:v>
                </c:pt>
                <c:pt idx="25">
                  <c:v>0</c:v>
                </c:pt>
                <c:pt idx="26">
                  <c:v>0.95367431640625</c:v>
                </c:pt>
                <c:pt idx="27">
                  <c:v>0</c:v>
                </c:pt>
                <c:pt idx="28">
                  <c:v>0.95367431640625</c:v>
                </c:pt>
                <c:pt idx="29">
                  <c:v>0</c:v>
                </c:pt>
                <c:pt idx="30">
                  <c:v>0.95367431640625</c:v>
                </c:pt>
                <c:pt idx="31">
                  <c:v>0</c:v>
                </c:pt>
                <c:pt idx="32">
                  <c:v>0</c:v>
                </c:pt>
                <c:pt idx="33">
                  <c:v>0.95367431640625</c:v>
                </c:pt>
                <c:pt idx="34">
                  <c:v>0</c:v>
                </c:pt>
                <c:pt idx="35">
                  <c:v>0.95367431640625</c:v>
                </c:pt>
                <c:pt idx="36">
                  <c:v>0.95367431640625</c:v>
                </c:pt>
                <c:pt idx="37">
                  <c:v>3.814697265625</c:v>
                </c:pt>
                <c:pt idx="38">
                  <c:v>0.95367431640625</c:v>
                </c:pt>
                <c:pt idx="39">
                  <c:v>0</c:v>
                </c:pt>
                <c:pt idx="40">
                  <c:v>0</c:v>
                </c:pt>
              </c:numCache>
            </c:numRef>
          </c:val>
          <c:smooth val="0"/>
          <c:extLst>
            <c:ext xmlns:c16="http://schemas.microsoft.com/office/drawing/2014/chart" uri="{C3380CC4-5D6E-409C-BE32-E72D297353CC}">
              <c16:uniqueId val="{00000003-D76C-F24C-A504-EF3133F5BE7A}"/>
            </c:ext>
          </c:extLst>
        </c:ser>
        <c:dLbls>
          <c:showLegendKey val="0"/>
          <c:showVal val="0"/>
          <c:showCatName val="0"/>
          <c:showSerName val="0"/>
          <c:showPercent val="0"/>
          <c:showBubbleSize val="0"/>
        </c:dLbls>
        <c:marker val="1"/>
        <c:smooth val="0"/>
        <c:axId val="266965375"/>
        <c:axId val="266967167"/>
      </c:lineChart>
      <c:catAx>
        <c:axId val="26696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7167"/>
        <c:crosses val="autoZero"/>
        <c:auto val="1"/>
        <c:lblAlgn val="ctr"/>
        <c:lblOffset val="100"/>
        <c:noMultiLvlLbl val="0"/>
      </c:catAx>
      <c:valAx>
        <c:axId val="266967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5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673100</xdr:colOff>
      <xdr:row>6</xdr:row>
      <xdr:rowOff>107950</xdr:rowOff>
    </xdr:from>
    <xdr:to>
      <xdr:col>13</xdr:col>
      <xdr:colOff>431800</xdr:colOff>
      <xdr:row>24</xdr:row>
      <xdr:rowOff>127000</xdr:rowOff>
    </xdr:to>
    <xdr:graphicFrame macro="">
      <xdr:nvGraphicFramePr>
        <xdr:cNvPr id="2" name="Chart 1">
          <a:extLst>
            <a:ext uri="{FF2B5EF4-FFF2-40B4-BE49-F238E27FC236}">
              <a16:creationId xmlns:a16="http://schemas.microsoft.com/office/drawing/2014/main" id="{2EEEAD83-FE4D-EAE6-6B47-AD171DB37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673100</xdr:colOff>
      <xdr:row>6</xdr:row>
      <xdr:rowOff>107950</xdr:rowOff>
    </xdr:from>
    <xdr:to>
      <xdr:col>13</xdr:col>
      <xdr:colOff>431800</xdr:colOff>
      <xdr:row>24</xdr:row>
      <xdr:rowOff>127000</xdr:rowOff>
    </xdr:to>
    <xdr:graphicFrame macro="">
      <xdr:nvGraphicFramePr>
        <xdr:cNvPr id="2" name="Chart 1">
          <a:extLst>
            <a:ext uri="{FF2B5EF4-FFF2-40B4-BE49-F238E27FC236}">
              <a16:creationId xmlns:a16="http://schemas.microsoft.com/office/drawing/2014/main" id="{0ABFD157-B809-1B4C-BC67-D70E25903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254000</xdr:colOff>
      <xdr:row>5</xdr:row>
      <xdr:rowOff>44450</xdr:rowOff>
    </xdr:from>
    <xdr:to>
      <xdr:col>15</xdr:col>
      <xdr:colOff>12700</xdr:colOff>
      <xdr:row>23</xdr:row>
      <xdr:rowOff>63500</xdr:rowOff>
    </xdr:to>
    <xdr:graphicFrame macro="">
      <xdr:nvGraphicFramePr>
        <xdr:cNvPr id="2" name="Chart 1">
          <a:extLst>
            <a:ext uri="{FF2B5EF4-FFF2-40B4-BE49-F238E27FC236}">
              <a16:creationId xmlns:a16="http://schemas.microsoft.com/office/drawing/2014/main" id="{B665133F-557C-8846-ABC3-A6A66A1CB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381000</xdr:colOff>
      <xdr:row>12</xdr:row>
      <xdr:rowOff>25400</xdr:rowOff>
    </xdr:from>
    <xdr:to>
      <xdr:col>7</xdr:col>
      <xdr:colOff>558800</xdr:colOff>
      <xdr:row>25</xdr:row>
      <xdr:rowOff>3172</xdr:rowOff>
    </xdr:to>
    <mc:AlternateContent xmlns:mc="http://schemas.openxmlformats.org/markup-compatibility/2006">
      <mc:Choice xmlns:a14="http://schemas.microsoft.com/office/drawing/2010/main" Requires="a14">
        <xdr:graphicFrame macro="">
          <xdr:nvGraphicFramePr>
            <xdr:cNvPr id="3" name="dataset">
              <a:extLst>
                <a:ext uri="{FF2B5EF4-FFF2-40B4-BE49-F238E27FC236}">
                  <a16:creationId xmlns:a16="http://schemas.microsoft.com/office/drawing/2014/main" id="{4217AF09-8224-2F3D-DBA9-861F33AA8837}"/>
                </a:ext>
              </a:extLst>
            </xdr:cNvPr>
            <xdr:cNvGraphicFramePr/>
          </xdr:nvGraphicFramePr>
          <xdr:xfrm>
            <a:off x="0" y="0"/>
            <a:ext cx="0" cy="0"/>
          </xdr:xfrm>
          <a:graphic>
            <a:graphicData uri="http://schemas.microsoft.com/office/drawing/2010/slicer">
              <sle:slicer xmlns:sle="http://schemas.microsoft.com/office/drawing/2010/slicer" name="dataset"/>
            </a:graphicData>
          </a:graphic>
        </xdr:graphicFrame>
      </mc:Choice>
      <mc:Fallback>
        <xdr:sp macro="" textlink="">
          <xdr:nvSpPr>
            <xdr:cNvPr id="0" name=""/>
            <xdr:cNvSpPr>
              <a:spLocks noTextEdit="1"/>
            </xdr:cNvSpPr>
          </xdr:nvSpPr>
          <xdr:spPr>
            <a:xfrm>
              <a:off x="6311900" y="2463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8</xdr:col>
      <xdr:colOff>254000</xdr:colOff>
      <xdr:row>5</xdr:row>
      <xdr:rowOff>44450</xdr:rowOff>
    </xdr:from>
    <xdr:to>
      <xdr:col>15</xdr:col>
      <xdr:colOff>12700</xdr:colOff>
      <xdr:row>23</xdr:row>
      <xdr:rowOff>63500</xdr:rowOff>
    </xdr:to>
    <xdr:graphicFrame macro="">
      <xdr:nvGraphicFramePr>
        <xdr:cNvPr id="2" name="Chart 1">
          <a:extLst>
            <a:ext uri="{FF2B5EF4-FFF2-40B4-BE49-F238E27FC236}">
              <a16:creationId xmlns:a16="http://schemas.microsoft.com/office/drawing/2014/main" id="{6512BDF0-AB92-FF4B-A441-A5B79FE3F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381000</xdr:colOff>
      <xdr:row>12</xdr:row>
      <xdr:rowOff>25400</xdr:rowOff>
    </xdr:from>
    <xdr:to>
      <xdr:col>7</xdr:col>
      <xdr:colOff>558800</xdr:colOff>
      <xdr:row>25</xdr:row>
      <xdr:rowOff>3172</xdr:rowOff>
    </xdr:to>
    <mc:AlternateContent xmlns:mc="http://schemas.openxmlformats.org/markup-compatibility/2006">
      <mc:Choice xmlns:a14="http://schemas.microsoft.com/office/drawing/2010/main" Requires="a14">
        <xdr:graphicFrame macro="">
          <xdr:nvGraphicFramePr>
            <xdr:cNvPr id="3" name="dataset 1">
              <a:extLst>
                <a:ext uri="{FF2B5EF4-FFF2-40B4-BE49-F238E27FC236}">
                  <a16:creationId xmlns:a16="http://schemas.microsoft.com/office/drawing/2014/main" id="{B19451A5-87F1-B843-A870-49EBC27DD073}"/>
                </a:ext>
              </a:extLst>
            </xdr:cNvPr>
            <xdr:cNvGraphicFramePr/>
          </xdr:nvGraphicFramePr>
          <xdr:xfrm>
            <a:off x="0" y="0"/>
            <a:ext cx="0" cy="0"/>
          </xdr:xfrm>
          <a:graphic>
            <a:graphicData uri="http://schemas.microsoft.com/office/drawing/2010/slicer">
              <sle:slicer xmlns:sle="http://schemas.microsoft.com/office/drawing/2010/slicer" name="dataset 1"/>
            </a:graphicData>
          </a:graphic>
        </xdr:graphicFrame>
      </mc:Choice>
      <mc:Fallback>
        <xdr:sp macro="" textlink="">
          <xdr:nvSpPr>
            <xdr:cNvPr id="0" name=""/>
            <xdr:cNvSpPr>
              <a:spLocks noTextEdit="1"/>
            </xdr:cNvSpPr>
          </xdr:nvSpPr>
          <xdr:spPr>
            <a:xfrm>
              <a:off x="6311900" y="2463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254000</xdr:colOff>
      <xdr:row>5</xdr:row>
      <xdr:rowOff>44450</xdr:rowOff>
    </xdr:from>
    <xdr:to>
      <xdr:col>15</xdr:col>
      <xdr:colOff>12700</xdr:colOff>
      <xdr:row>23</xdr:row>
      <xdr:rowOff>63500</xdr:rowOff>
    </xdr:to>
    <xdr:graphicFrame macro="">
      <xdr:nvGraphicFramePr>
        <xdr:cNvPr id="2" name="Chart 1">
          <a:extLst>
            <a:ext uri="{FF2B5EF4-FFF2-40B4-BE49-F238E27FC236}">
              <a16:creationId xmlns:a16="http://schemas.microsoft.com/office/drawing/2014/main" id="{7F2B1444-52DE-3741-9271-06EC26EFE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381000</xdr:colOff>
      <xdr:row>12</xdr:row>
      <xdr:rowOff>25400</xdr:rowOff>
    </xdr:from>
    <xdr:to>
      <xdr:col>7</xdr:col>
      <xdr:colOff>558800</xdr:colOff>
      <xdr:row>25</xdr:row>
      <xdr:rowOff>3172</xdr:rowOff>
    </xdr:to>
    <mc:AlternateContent xmlns:mc="http://schemas.openxmlformats.org/markup-compatibility/2006">
      <mc:Choice xmlns:a14="http://schemas.microsoft.com/office/drawing/2010/main" Requires="a14">
        <xdr:graphicFrame macro="">
          <xdr:nvGraphicFramePr>
            <xdr:cNvPr id="3" name="dataset 2">
              <a:extLst>
                <a:ext uri="{FF2B5EF4-FFF2-40B4-BE49-F238E27FC236}">
                  <a16:creationId xmlns:a16="http://schemas.microsoft.com/office/drawing/2014/main" id="{81E36593-3F4A-7F41-9A70-E111C78AB5FF}"/>
                </a:ext>
              </a:extLst>
            </xdr:cNvPr>
            <xdr:cNvGraphicFramePr/>
          </xdr:nvGraphicFramePr>
          <xdr:xfrm>
            <a:off x="0" y="0"/>
            <a:ext cx="0" cy="0"/>
          </xdr:xfrm>
          <a:graphic>
            <a:graphicData uri="http://schemas.microsoft.com/office/drawing/2010/slicer">
              <sle:slicer xmlns:sle="http://schemas.microsoft.com/office/drawing/2010/slicer" name="dataset 2"/>
            </a:graphicData>
          </a:graphic>
        </xdr:graphicFrame>
      </mc:Choice>
      <mc:Fallback>
        <xdr:sp macro="" textlink="">
          <xdr:nvSpPr>
            <xdr:cNvPr id="0" name=""/>
            <xdr:cNvSpPr>
              <a:spLocks noTextEdit="1"/>
            </xdr:cNvSpPr>
          </xdr:nvSpPr>
          <xdr:spPr>
            <a:xfrm>
              <a:off x="6426200" y="2463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254000</xdr:colOff>
      <xdr:row>5</xdr:row>
      <xdr:rowOff>44450</xdr:rowOff>
    </xdr:from>
    <xdr:to>
      <xdr:col>15</xdr:col>
      <xdr:colOff>12700</xdr:colOff>
      <xdr:row>23</xdr:row>
      <xdr:rowOff>63500</xdr:rowOff>
    </xdr:to>
    <xdr:graphicFrame macro="">
      <xdr:nvGraphicFramePr>
        <xdr:cNvPr id="2" name="Chart 1">
          <a:extLst>
            <a:ext uri="{FF2B5EF4-FFF2-40B4-BE49-F238E27FC236}">
              <a16:creationId xmlns:a16="http://schemas.microsoft.com/office/drawing/2014/main" id="{D3B2F669-21F9-D74E-894C-80B205E9D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381000</xdr:colOff>
      <xdr:row>12</xdr:row>
      <xdr:rowOff>25400</xdr:rowOff>
    </xdr:from>
    <xdr:to>
      <xdr:col>7</xdr:col>
      <xdr:colOff>558800</xdr:colOff>
      <xdr:row>25</xdr:row>
      <xdr:rowOff>3172</xdr:rowOff>
    </xdr:to>
    <mc:AlternateContent xmlns:mc="http://schemas.openxmlformats.org/markup-compatibility/2006">
      <mc:Choice xmlns:a14="http://schemas.microsoft.com/office/drawing/2010/main" Requires="a14">
        <xdr:graphicFrame macro="">
          <xdr:nvGraphicFramePr>
            <xdr:cNvPr id="3" name="dataset 3">
              <a:extLst>
                <a:ext uri="{FF2B5EF4-FFF2-40B4-BE49-F238E27FC236}">
                  <a16:creationId xmlns:a16="http://schemas.microsoft.com/office/drawing/2014/main" id="{2BF29806-3EE4-9941-B3A1-92DE938CA1F1}"/>
                </a:ext>
              </a:extLst>
            </xdr:cNvPr>
            <xdr:cNvGraphicFramePr/>
          </xdr:nvGraphicFramePr>
          <xdr:xfrm>
            <a:off x="0" y="0"/>
            <a:ext cx="0" cy="0"/>
          </xdr:xfrm>
          <a:graphic>
            <a:graphicData uri="http://schemas.microsoft.com/office/drawing/2010/slicer">
              <sle:slicer xmlns:sle="http://schemas.microsoft.com/office/drawing/2010/slicer" name="dataset 3"/>
            </a:graphicData>
          </a:graphic>
        </xdr:graphicFrame>
      </mc:Choice>
      <mc:Fallback>
        <xdr:sp macro="" textlink="">
          <xdr:nvSpPr>
            <xdr:cNvPr id="0" name=""/>
            <xdr:cNvSpPr>
              <a:spLocks noTextEdit="1"/>
            </xdr:cNvSpPr>
          </xdr:nvSpPr>
          <xdr:spPr>
            <a:xfrm>
              <a:off x="6883400" y="2463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0</xdr:colOff>
      <xdr:row>42</xdr:row>
      <xdr:rowOff>101600</xdr:rowOff>
    </xdr:to>
    <xdr:grpSp>
      <xdr:nvGrpSpPr>
        <xdr:cNvPr id="6" name="Group 5">
          <a:extLst>
            <a:ext uri="{FF2B5EF4-FFF2-40B4-BE49-F238E27FC236}">
              <a16:creationId xmlns:a16="http://schemas.microsoft.com/office/drawing/2014/main" id="{7E31C0ED-F5AA-2E29-B427-0CF91FEFCC60}"/>
            </a:ext>
          </a:extLst>
        </xdr:cNvPr>
        <xdr:cNvGrpSpPr/>
      </xdr:nvGrpSpPr>
      <xdr:grpSpPr>
        <a:xfrm>
          <a:off x="0" y="0"/>
          <a:ext cx="8255000" cy="8636000"/>
          <a:chOff x="0" y="0"/>
          <a:chExt cx="8255000" cy="8636000"/>
        </a:xfrm>
      </xdr:grpSpPr>
      <xdr:graphicFrame macro="">
        <xdr:nvGraphicFramePr>
          <xdr:cNvPr id="2" name="Chart 1">
            <a:extLst>
              <a:ext uri="{FF2B5EF4-FFF2-40B4-BE49-F238E27FC236}">
                <a16:creationId xmlns:a16="http://schemas.microsoft.com/office/drawing/2014/main" id="{A6128251-086C-EB4F-A7AD-4B91948F9A01}"/>
              </a:ext>
            </a:extLst>
          </xdr:cNvPr>
          <xdr:cNvGraphicFramePr>
            <a:graphicFrameLocks/>
          </xdr:cNvGraphicFramePr>
        </xdr:nvGraphicFramePr>
        <xdr:xfrm>
          <a:off x="0" y="0"/>
          <a:ext cx="4140200" cy="32639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4E311BB3-811A-E248-A4ED-6E005A017B98}"/>
              </a:ext>
            </a:extLst>
          </xdr:cNvPr>
          <xdr:cNvGraphicFramePr>
            <a:graphicFrameLocks/>
          </xdr:cNvGraphicFramePr>
        </xdr:nvGraphicFramePr>
        <xdr:xfrm>
          <a:off x="4140200" y="12700"/>
          <a:ext cx="4114800" cy="32639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E3A02230-C937-0947-BDDD-E683451FB005}"/>
              </a:ext>
            </a:extLst>
          </xdr:cNvPr>
          <xdr:cNvGraphicFramePr>
            <a:graphicFrameLocks/>
          </xdr:cNvGraphicFramePr>
        </xdr:nvGraphicFramePr>
        <xdr:xfrm>
          <a:off x="0" y="3276600"/>
          <a:ext cx="8229600" cy="25527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A1877129-AE63-D548-8B51-70C1BE7F610A}"/>
              </a:ext>
            </a:extLst>
          </xdr:cNvPr>
          <xdr:cNvGraphicFramePr>
            <a:graphicFrameLocks/>
          </xdr:cNvGraphicFramePr>
        </xdr:nvGraphicFramePr>
        <xdr:xfrm>
          <a:off x="0" y="5842000"/>
          <a:ext cx="8229600" cy="2794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litha Lakshan" refreshedDate="46022.546968518516" createdVersion="8" refreshedVersion="8" minRefreshableVersion="3" recordCount="348" xr:uid="{4C5166C5-9433-CD46-96A5-6999BA86861B}">
  <cacheSource type="worksheet">
    <worksheetSource ref="A1:L349" sheet="hadoop memoery"/>
  </cacheSource>
  <cacheFields count="12">
    <cacheField name="dataset" numFmtId="0">
      <sharedItems count="4">
        <s v="Email-EuAll"/>
        <s v="cit-Patents"/>
        <s v="soc-LiveJournal1"/>
        <s v="soc-pokec-relationships"/>
      </sharedItems>
    </cacheField>
    <cacheField name="timestamp" numFmtId="0">
      <sharedItems containsSemiMixedTypes="0" containsString="0" containsNumber="1" containsInteger="1" minValue="1767073394" maxValue="1767074076"/>
    </cacheField>
    <cacheField name="container" numFmtId="0">
      <sharedItems count="4">
        <s v="namenode"/>
        <s v="datanode"/>
        <s v="resourcemanager"/>
        <s v="nodemanager"/>
      </sharedItems>
    </cacheField>
    <cacheField name="blk_io" numFmtId="0">
      <sharedItems/>
    </cacheField>
    <cacheField name="blk_read_mib" numFmtId="2">
      <sharedItems containsSemiMixedTypes="0" containsString="0" containsNumber="1" minValue="206.94732666015625" maxValue="5855.560302734375"/>
    </cacheField>
    <cacheField name="blk_write_mib" numFmtId="2">
      <sharedItems containsSemiMixedTypes="0" containsString="0" containsNumber="1" minValue="289.9169921875" maxValue="10967.254638671875"/>
    </cacheField>
    <cacheField name="blk_total_mib" numFmtId="2">
      <sharedItems containsSemiMixedTypes="0" containsString="0" containsNumber="1" minValue="597.0001220703125" maxValue="16822.81494140625"/>
    </cacheField>
    <cacheField name="elapsed_s" numFmtId="1">
      <sharedItems containsSemiMixedTypes="0" containsString="0" containsNumber="1" containsInteger="1" minValue="0" maxValue="200" count="41">
        <n v="0"/>
        <n v="5"/>
        <n v="10"/>
        <n v="15"/>
        <n v="20"/>
        <n v="25"/>
        <n v="30"/>
        <n v="35"/>
        <n v="40"/>
        <n v="45"/>
        <n v="50"/>
        <n v="55"/>
        <n v="60"/>
        <n v="65"/>
        <n v="70"/>
        <n v="75"/>
        <n v="80"/>
        <n v="85"/>
        <n v="90"/>
        <n v="95"/>
        <n v="100"/>
        <n v="105"/>
        <n v="110"/>
        <n v="115"/>
        <n v="120"/>
        <n v="125"/>
        <n v="130"/>
        <n v="135"/>
        <n v="140"/>
        <n v="145"/>
        <n v="150"/>
        <n v="155"/>
        <n v="160"/>
        <n v="165"/>
        <n v="170"/>
        <n v="175"/>
        <n v="180"/>
        <n v="185"/>
        <n v="190"/>
        <n v="195"/>
        <n v="200"/>
      </sharedItems>
    </cacheField>
    <cacheField name="blk_read_mib_delta" numFmtId="2">
      <sharedItems containsSemiMixedTypes="0" containsString="0" containsNumber="1" minValue="0" maxValue="944.1375732421875"/>
    </cacheField>
    <cacheField name="blk_write_mib_delta" numFmtId="2">
      <sharedItems containsSemiMixedTypes="0" containsString="0" containsNumber="1" minValue="0" maxValue="867.8436279296875"/>
    </cacheField>
    <cacheField name="blk_total_mib_delta" numFmtId="2">
      <sharedItems containsSemiMixedTypes="0" containsString="0" containsNumber="1" minValue="0" maxValue="1811.981201171875"/>
    </cacheField>
    <cacheField name="blk_total_mib_job" numFmtId="2">
      <sharedItems containsSemiMixedTypes="0" containsString="0" containsNumber="1" minValue="597.0001220703125" maxValue="16822.81494140625"/>
    </cacheField>
  </cacheFields>
  <extLst>
    <ext xmlns:x14="http://schemas.microsoft.com/office/spreadsheetml/2009/9/main" uri="{725AE2AE-9491-48be-B2B4-4EB974FC3084}">
      <x14:pivotCacheDefinition pivotCacheId="633897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
  <r>
    <x v="0"/>
    <n v="1767073394"/>
    <x v="0"/>
    <s v="788MB / 304MB"/>
    <n v="751.495361328125"/>
    <n v="289.9169921875"/>
    <n v="1041.412353515625"/>
    <x v="0"/>
    <n v="0"/>
    <n v="0"/>
    <n v="0"/>
    <n v="1041.412353515625"/>
  </r>
  <r>
    <x v="0"/>
    <n v="1767073394"/>
    <x v="1"/>
    <s v="3.82GB / 4.33GB"/>
    <n v="3643.035888671875"/>
    <n v="4129.4097900390625"/>
    <n v="7772.4456787109375"/>
    <x v="0"/>
    <n v="0"/>
    <n v="0"/>
    <n v="0"/>
    <n v="7772.4456787109375"/>
  </r>
  <r>
    <x v="0"/>
    <n v="1767073394"/>
    <x v="2"/>
    <s v="217MB / 409MB"/>
    <n v="206.94732666015625"/>
    <n v="390.05279541015625"/>
    <n v="597.0001220703125"/>
    <x v="0"/>
    <n v="0"/>
    <n v="0"/>
    <n v="0"/>
    <n v="597.0001220703125"/>
  </r>
  <r>
    <x v="0"/>
    <n v="1767073394"/>
    <x v="3"/>
    <s v="2.75GB / 6.48GB"/>
    <n v="2622.6043701171875"/>
    <n v="6179.8095703125"/>
    <n v="8802.4139404296875"/>
    <x v="0"/>
    <n v="0"/>
    <n v="0"/>
    <n v="0"/>
    <n v="8802.4139404296875"/>
  </r>
  <r>
    <x v="0"/>
    <n v="1767073401"/>
    <x v="0"/>
    <s v="793MB / 304MB"/>
    <n v="756.26373291015625"/>
    <n v="289.9169921875"/>
    <n v="1046.1807250976562"/>
    <x v="1"/>
    <n v="4.76837158203125"/>
    <n v="0"/>
    <n v="4.76837158203125"/>
    <n v="1046.1807250976562"/>
  </r>
  <r>
    <x v="0"/>
    <n v="1767073401"/>
    <x v="1"/>
    <s v="3.82GB / 4.33GB"/>
    <n v="3643.035888671875"/>
    <n v="4129.4097900390625"/>
    <n v="7772.4456787109375"/>
    <x v="1"/>
    <n v="0"/>
    <n v="0"/>
    <n v="0"/>
    <n v="7772.4456787109375"/>
  </r>
  <r>
    <x v="0"/>
    <n v="1767073401"/>
    <x v="2"/>
    <s v="220MB / 409MB"/>
    <n v="209.808349609375"/>
    <n v="390.05279541015625"/>
    <n v="599.86114501953125"/>
    <x v="1"/>
    <n v="2.86102294921875"/>
    <n v="0"/>
    <n v="2.86102294921875"/>
    <n v="599.86114501953125"/>
  </r>
  <r>
    <x v="0"/>
    <n v="1767073401"/>
    <x v="3"/>
    <s v="2.75GB / 6.48GB"/>
    <n v="2622.6043701171875"/>
    <n v="6179.8095703125"/>
    <n v="8802.4139404296875"/>
    <x v="1"/>
    <n v="0"/>
    <n v="0"/>
    <n v="0"/>
    <n v="8802.4139404296875"/>
  </r>
  <r>
    <x v="0"/>
    <n v="1767073409"/>
    <x v="0"/>
    <s v="793MB / 304MB"/>
    <n v="756.26373291015625"/>
    <n v="289.9169921875"/>
    <n v="1046.1807250976562"/>
    <x v="2"/>
    <n v="0"/>
    <n v="0"/>
    <n v="0"/>
    <n v="1046.1807250976562"/>
  </r>
  <r>
    <x v="0"/>
    <n v="1767073409"/>
    <x v="1"/>
    <s v="3.82GB / 4.34GB"/>
    <n v="3643.035888671875"/>
    <n v="4138.946533203125"/>
    <n v="7781.982421875"/>
    <x v="2"/>
    <n v="0"/>
    <n v="9.5367431640625"/>
    <n v="9.5367431640625"/>
    <n v="7781.982421875"/>
  </r>
  <r>
    <x v="0"/>
    <n v="1767073409"/>
    <x v="2"/>
    <s v="222MB / 409MB"/>
    <n v="211.7156982421875"/>
    <n v="390.05279541015625"/>
    <n v="601.76849365234375"/>
    <x v="2"/>
    <n v="1.9073486328125"/>
    <n v="0"/>
    <n v="1.9073486328125"/>
    <n v="601.76849365234375"/>
  </r>
  <r>
    <x v="0"/>
    <n v="1767073409"/>
    <x v="3"/>
    <s v="2.75GB / 6.48GB"/>
    <n v="2622.6043701171875"/>
    <n v="6179.8095703125"/>
    <n v="8802.4139404296875"/>
    <x v="2"/>
    <n v="0"/>
    <n v="0"/>
    <n v="0"/>
    <n v="8802.4139404296875"/>
  </r>
  <r>
    <x v="0"/>
    <n v="1767073416"/>
    <x v="0"/>
    <s v="793MB / 304MB"/>
    <n v="756.26373291015625"/>
    <n v="289.9169921875"/>
    <n v="1046.1807250976562"/>
    <x v="3"/>
    <n v="0"/>
    <n v="0"/>
    <n v="0"/>
    <n v="1046.1807250976562"/>
  </r>
  <r>
    <x v="0"/>
    <n v="1767073416"/>
    <x v="1"/>
    <s v="3.82GB / 4.34GB"/>
    <n v="3643.035888671875"/>
    <n v="4138.946533203125"/>
    <n v="7781.982421875"/>
    <x v="3"/>
    <n v="0"/>
    <n v="0"/>
    <n v="0"/>
    <n v="7781.982421875"/>
  </r>
  <r>
    <x v="0"/>
    <n v="1767073416"/>
    <x v="2"/>
    <s v="223MB / 409MB"/>
    <n v="212.66937255859375"/>
    <n v="390.05279541015625"/>
    <n v="602.72216796875"/>
    <x v="3"/>
    <n v="0.95367431640625"/>
    <n v="0"/>
    <n v="0.95367431640625"/>
    <n v="602.72216796875"/>
  </r>
  <r>
    <x v="0"/>
    <n v="1767073416"/>
    <x v="3"/>
    <s v="2.75GB / 6.48GB"/>
    <n v="2622.6043701171875"/>
    <n v="6179.8095703125"/>
    <n v="8802.4139404296875"/>
    <x v="3"/>
    <n v="0"/>
    <n v="0"/>
    <n v="0"/>
    <n v="8802.4139404296875"/>
  </r>
  <r>
    <x v="0"/>
    <n v="1767073424"/>
    <x v="0"/>
    <s v="795MB / 304MB"/>
    <n v="758.17108154296875"/>
    <n v="289.9169921875"/>
    <n v="1048.0880737304688"/>
    <x v="4"/>
    <n v="1.9073486328125"/>
    <n v="0"/>
    <n v="1.9073486328125"/>
    <n v="1048.0880737304688"/>
  </r>
  <r>
    <x v="0"/>
    <n v="1767073424"/>
    <x v="1"/>
    <s v="3.83GB / 4.34GB"/>
    <n v="3652.5726318359375"/>
    <n v="4138.946533203125"/>
    <n v="7791.5191650390625"/>
    <x v="4"/>
    <n v="9.5367431640625"/>
    <n v="0"/>
    <n v="9.5367431640625"/>
    <n v="7791.5191650390625"/>
  </r>
  <r>
    <x v="0"/>
    <n v="1767073424"/>
    <x v="2"/>
    <s v="224MB / 409MB"/>
    <n v="213.623046875"/>
    <n v="390.05279541015625"/>
    <n v="603.67584228515625"/>
    <x v="4"/>
    <n v="0.95367431640625"/>
    <n v="0"/>
    <n v="0.95367431640625"/>
    <n v="603.67584228515625"/>
  </r>
  <r>
    <x v="0"/>
    <n v="1767073424"/>
    <x v="3"/>
    <s v="2.75GB / 6.48GB"/>
    <n v="2622.6043701171875"/>
    <n v="6179.8095703125"/>
    <n v="8802.4139404296875"/>
    <x v="4"/>
    <n v="0"/>
    <n v="0"/>
    <n v="0"/>
    <n v="8802.4139404296875"/>
  </r>
  <r>
    <x v="0"/>
    <n v="1767073431"/>
    <x v="0"/>
    <s v="798MB / 304MB"/>
    <n v="761.0321044921875"/>
    <n v="289.9169921875"/>
    <n v="1050.9490966796875"/>
    <x v="5"/>
    <n v="2.86102294921875"/>
    <n v="0"/>
    <n v="2.86102294921875"/>
    <n v="1050.9490966796875"/>
  </r>
  <r>
    <x v="0"/>
    <n v="1767073431"/>
    <x v="1"/>
    <s v="3.83GB / 4.34GB"/>
    <n v="3652.5726318359375"/>
    <n v="4138.946533203125"/>
    <n v="7791.5191650390625"/>
    <x v="5"/>
    <n v="0"/>
    <n v="0"/>
    <n v="0"/>
    <n v="7791.5191650390625"/>
  </r>
  <r>
    <x v="0"/>
    <n v="1767073431"/>
    <x v="2"/>
    <s v="226MB / 409MB"/>
    <n v="215.5303955078125"/>
    <n v="390.05279541015625"/>
    <n v="605.58319091796875"/>
    <x v="5"/>
    <n v="1.9073486328125"/>
    <n v="0"/>
    <n v="1.9073486328125"/>
    <n v="605.58319091796875"/>
  </r>
  <r>
    <x v="0"/>
    <n v="1767073431"/>
    <x v="3"/>
    <s v="2.75GB / 6.48GB"/>
    <n v="2622.6043701171875"/>
    <n v="6179.8095703125"/>
    <n v="8802.4139404296875"/>
    <x v="5"/>
    <n v="0"/>
    <n v="0"/>
    <n v="0"/>
    <n v="8802.4139404296875"/>
  </r>
  <r>
    <x v="0"/>
    <n v="1767073439"/>
    <x v="0"/>
    <s v="799MB / 304MB"/>
    <n v="761.98577880859375"/>
    <n v="289.9169921875"/>
    <n v="1051.9027709960938"/>
    <x v="6"/>
    <n v="0.95367431640625"/>
    <n v="0"/>
    <n v="0.95367431640625"/>
    <n v="1051.9027709960938"/>
  </r>
  <r>
    <x v="0"/>
    <n v="1767073439"/>
    <x v="1"/>
    <s v="3.83GB / 4.34GB"/>
    <n v="3652.5726318359375"/>
    <n v="4138.946533203125"/>
    <n v="7791.5191650390625"/>
    <x v="6"/>
    <n v="0"/>
    <n v="0"/>
    <n v="0"/>
    <n v="7791.5191650390625"/>
  </r>
  <r>
    <x v="0"/>
    <n v="1767073439"/>
    <x v="2"/>
    <s v="227MB / 409MB"/>
    <n v="216.48406982421875"/>
    <n v="390.05279541015625"/>
    <n v="606.536865234375"/>
    <x v="6"/>
    <n v="0.95367431640625"/>
    <n v="0"/>
    <n v="0.95367431640625"/>
    <n v="606.536865234375"/>
  </r>
  <r>
    <x v="0"/>
    <n v="1767073439"/>
    <x v="3"/>
    <s v="2.75GB / 6.48GB"/>
    <n v="2622.6043701171875"/>
    <n v="6179.8095703125"/>
    <n v="8802.4139404296875"/>
    <x v="6"/>
    <n v="0"/>
    <n v="0"/>
    <n v="0"/>
    <n v="8802.4139404296875"/>
  </r>
  <r>
    <x v="0"/>
    <n v="1767073446"/>
    <x v="0"/>
    <s v="799MB / 304MB"/>
    <n v="761.98577880859375"/>
    <n v="289.9169921875"/>
    <n v="1051.9027709960938"/>
    <x v="7"/>
    <n v="0"/>
    <n v="0"/>
    <n v="0"/>
    <n v="1051.9027709960938"/>
  </r>
  <r>
    <x v="0"/>
    <n v="1767073446"/>
    <x v="1"/>
    <s v="3.83GB / 4.34GB"/>
    <n v="3652.5726318359375"/>
    <n v="4138.946533203125"/>
    <n v="7791.5191650390625"/>
    <x v="7"/>
    <n v="0"/>
    <n v="0"/>
    <n v="0"/>
    <n v="7791.5191650390625"/>
  </r>
  <r>
    <x v="0"/>
    <n v="1767073446"/>
    <x v="2"/>
    <s v="227MB / 409MB"/>
    <n v="216.48406982421875"/>
    <n v="390.05279541015625"/>
    <n v="606.536865234375"/>
    <x v="7"/>
    <n v="0"/>
    <n v="0"/>
    <n v="0"/>
    <n v="606.536865234375"/>
  </r>
  <r>
    <x v="0"/>
    <n v="1767073446"/>
    <x v="3"/>
    <s v="2.75GB / 6.48GB"/>
    <n v="2622.6043701171875"/>
    <n v="6179.8095703125"/>
    <n v="8802.4139404296875"/>
    <x v="7"/>
    <n v="0"/>
    <n v="0"/>
    <n v="0"/>
    <n v="8802.4139404296875"/>
  </r>
  <r>
    <x v="1"/>
    <n v="1767073464"/>
    <x v="0"/>
    <s v="805MB / 304MB"/>
    <n v="767.70782470703125"/>
    <n v="289.9169921875"/>
    <n v="1057.6248168945312"/>
    <x v="0"/>
    <n v="0"/>
    <n v="0"/>
    <n v="0"/>
    <n v="1057.6248168945312"/>
  </r>
  <r>
    <x v="1"/>
    <n v="1767073464"/>
    <x v="1"/>
    <s v="3.84GB / 4.61GB"/>
    <n v="3662.109375"/>
    <n v="4396.4385986328125"/>
    <n v="8058.5479736328125"/>
    <x v="0"/>
    <n v="0"/>
    <n v="0"/>
    <n v="0"/>
    <n v="8058.5479736328125"/>
  </r>
  <r>
    <x v="1"/>
    <n v="1767073464"/>
    <x v="2"/>
    <s v="228MB / 409MB"/>
    <n v="217.437744140625"/>
    <n v="390.05279541015625"/>
    <n v="607.49053955078125"/>
    <x v="0"/>
    <n v="0"/>
    <n v="0"/>
    <n v="0"/>
    <n v="607.49053955078125"/>
  </r>
  <r>
    <x v="1"/>
    <n v="1767073464"/>
    <x v="3"/>
    <s v="2.75GB / 6.48GB"/>
    <n v="2622.6043701171875"/>
    <n v="6179.8095703125"/>
    <n v="8802.4139404296875"/>
    <x v="0"/>
    <n v="0"/>
    <n v="0"/>
    <n v="0"/>
    <n v="8802.4139404296875"/>
  </r>
  <r>
    <x v="1"/>
    <n v="1767073471"/>
    <x v="0"/>
    <s v="807MB / 305MB"/>
    <n v="769.61517333984375"/>
    <n v="290.87066650390625"/>
    <n v="1060.48583984375"/>
    <x v="1"/>
    <n v="1.9073486328125"/>
    <n v="0.95367431640625"/>
    <n v="2.86102294921875"/>
    <n v="1060.48583984375"/>
  </r>
  <r>
    <x v="1"/>
    <n v="1767073471"/>
    <x v="1"/>
    <s v="3.84GB / 4.61GB"/>
    <n v="3662.109375"/>
    <n v="4396.4385986328125"/>
    <n v="8058.5479736328125"/>
    <x v="1"/>
    <n v="0"/>
    <n v="0"/>
    <n v="0"/>
    <n v="8058.5479736328125"/>
  </r>
  <r>
    <x v="1"/>
    <n v="1767073471"/>
    <x v="2"/>
    <s v="235MB / 409MB"/>
    <n v="224.11346435546875"/>
    <n v="390.05279541015625"/>
    <n v="614.166259765625"/>
    <x v="1"/>
    <n v="6.67572021484375"/>
    <n v="0"/>
    <n v="6.67572021484375"/>
    <n v="614.166259765625"/>
  </r>
  <r>
    <x v="1"/>
    <n v="1767073471"/>
    <x v="3"/>
    <s v="2.75GB / 6.48GB"/>
    <n v="2622.6043701171875"/>
    <n v="6179.8095703125"/>
    <n v="8802.4139404296875"/>
    <x v="1"/>
    <n v="0"/>
    <n v="0"/>
    <n v="0"/>
    <n v="8802.4139404296875"/>
  </r>
  <r>
    <x v="1"/>
    <n v="1767073479"/>
    <x v="0"/>
    <s v="808MB / 305MB"/>
    <n v="770.56884765625"/>
    <n v="290.87066650390625"/>
    <n v="1061.4395141601562"/>
    <x v="2"/>
    <n v="0.95367431640625"/>
    <n v="0"/>
    <n v="0.95367431640625"/>
    <n v="1061.4395141601562"/>
  </r>
  <r>
    <x v="1"/>
    <n v="1767073479"/>
    <x v="1"/>
    <s v="3.84GB / 4.61GB"/>
    <n v="3662.109375"/>
    <n v="4396.4385986328125"/>
    <n v="8058.5479736328125"/>
    <x v="2"/>
    <n v="0"/>
    <n v="0"/>
    <n v="0"/>
    <n v="8058.5479736328125"/>
  </r>
  <r>
    <x v="1"/>
    <n v="1767073479"/>
    <x v="2"/>
    <s v="236MB / 409MB"/>
    <n v="225.067138671875"/>
    <n v="390.05279541015625"/>
    <n v="615.11993408203125"/>
    <x v="2"/>
    <n v="0.95367431640625"/>
    <n v="0"/>
    <n v="0.95367431640625"/>
    <n v="615.11993408203125"/>
  </r>
  <r>
    <x v="1"/>
    <n v="1767073479"/>
    <x v="3"/>
    <s v="2.75GB / 6.48GB"/>
    <n v="2622.6043701171875"/>
    <n v="6179.8095703125"/>
    <n v="8802.4139404296875"/>
    <x v="2"/>
    <n v="0"/>
    <n v="0"/>
    <n v="0"/>
    <n v="8802.4139404296875"/>
  </r>
  <r>
    <x v="1"/>
    <n v="1767073486"/>
    <x v="0"/>
    <s v="808MB / 309MB"/>
    <n v="770.56884765625"/>
    <n v="294.68536376953125"/>
    <n v="1065.2542114257812"/>
    <x v="3"/>
    <n v="0"/>
    <n v="3.814697265625"/>
    <n v="3.814697265625"/>
    <n v="1065.2542114257812"/>
  </r>
  <r>
    <x v="1"/>
    <n v="1767073486"/>
    <x v="1"/>
    <s v="3.91GB / 4.63GB"/>
    <n v="3728.8665771484375"/>
    <n v="4415.5120849609375"/>
    <n v="8144.378662109375"/>
    <x v="3"/>
    <n v="66.7572021484375"/>
    <n v="19.073486328125"/>
    <n v="85.8306884765625"/>
    <n v="8144.378662109375"/>
  </r>
  <r>
    <x v="1"/>
    <n v="1767073486"/>
    <x v="2"/>
    <s v="236MB / 415MB"/>
    <n v="225.067138671875"/>
    <n v="395.77484130859375"/>
    <n v="620.84197998046875"/>
    <x v="3"/>
    <n v="0"/>
    <n v="5.7220458984375"/>
    <n v="5.7220458984375"/>
    <n v="620.84197998046875"/>
  </r>
  <r>
    <x v="1"/>
    <n v="1767073486"/>
    <x v="3"/>
    <s v="2.75GB / 6.5GB"/>
    <n v="2622.6043701171875"/>
    <n v="6198.883056640625"/>
    <n v="8821.4874267578125"/>
    <x v="3"/>
    <n v="0"/>
    <n v="19.073486328125"/>
    <n v="19.073486328125"/>
    <n v="8821.4874267578125"/>
  </r>
  <r>
    <x v="1"/>
    <n v="1767073494"/>
    <x v="0"/>
    <s v="808MB / 311MB"/>
    <n v="770.56884765625"/>
    <n v="296.59271240234375"/>
    <n v="1067.1615600585938"/>
    <x v="4"/>
    <n v="0"/>
    <n v="1.9073486328125"/>
    <n v="1.9073486328125"/>
    <n v="1067.1615600585938"/>
  </r>
  <r>
    <x v="1"/>
    <n v="1767073494"/>
    <x v="1"/>
    <s v="3.96GB / 4.65GB"/>
    <n v="3776.55029296875"/>
    <n v="4434.5855712890625"/>
    <n v="8211.1358642578125"/>
    <x v="4"/>
    <n v="47.6837158203125"/>
    <n v="19.073486328125"/>
    <n v="66.7572021484375"/>
    <n v="8211.1358642578125"/>
  </r>
  <r>
    <x v="1"/>
    <n v="1767073494"/>
    <x v="2"/>
    <s v="237MB / 417MB"/>
    <n v="226.02081298828125"/>
    <n v="397.68218994140625"/>
    <n v="623.7030029296875"/>
    <x v="4"/>
    <n v="0.95367431640625"/>
    <n v="1.9073486328125"/>
    <n v="2.86102294921875"/>
    <n v="623.7030029296875"/>
  </r>
  <r>
    <x v="1"/>
    <n v="1767073494"/>
    <x v="3"/>
    <s v="2.75GB / 6.54GB"/>
    <n v="2622.6043701171875"/>
    <n v="6237.030029296875"/>
    <n v="8859.6343994140625"/>
    <x v="4"/>
    <n v="0"/>
    <n v="38.14697265625"/>
    <n v="38.14697265625"/>
    <n v="8859.6343994140625"/>
  </r>
  <r>
    <x v="1"/>
    <n v="1767073501"/>
    <x v="0"/>
    <s v="808MB / 311MB"/>
    <n v="770.56884765625"/>
    <n v="296.59271240234375"/>
    <n v="1067.1615600585938"/>
    <x v="5"/>
    <n v="0"/>
    <n v="0"/>
    <n v="0"/>
    <n v="1067.1615600585938"/>
  </r>
  <r>
    <x v="1"/>
    <n v="1767073501"/>
    <x v="1"/>
    <s v="3.99GB / 4.66GB"/>
    <n v="3805.1605224609375"/>
    <n v="4444.122314453125"/>
    <n v="8249.2828369140625"/>
    <x v="5"/>
    <n v="28.6102294921875"/>
    <n v="9.5367431640625"/>
    <n v="38.14697265625"/>
    <n v="8249.2828369140625"/>
  </r>
  <r>
    <x v="1"/>
    <n v="1767073501"/>
    <x v="2"/>
    <s v="237MB / 424MB"/>
    <n v="226.02081298828125"/>
    <n v="404.35791015625"/>
    <n v="630.37872314453125"/>
    <x v="5"/>
    <n v="0"/>
    <n v="6.67572021484375"/>
    <n v="6.67572021484375"/>
    <n v="630.37872314453125"/>
  </r>
  <r>
    <x v="1"/>
    <n v="1767073501"/>
    <x v="3"/>
    <s v="2.75GB / 6.6GB"/>
    <n v="2622.6043701171875"/>
    <n v="6294.25048828125"/>
    <n v="8916.8548583984375"/>
    <x v="5"/>
    <n v="0"/>
    <n v="57.220458984375"/>
    <n v="57.220458984375"/>
    <n v="8916.8548583984375"/>
  </r>
  <r>
    <x v="1"/>
    <n v="1767073509"/>
    <x v="0"/>
    <s v="810MB / 311MB"/>
    <n v="772.4761962890625"/>
    <n v="296.59271240234375"/>
    <n v="1069.0689086914062"/>
    <x v="6"/>
    <n v="1.9073486328125"/>
    <n v="0"/>
    <n v="1.9073486328125"/>
    <n v="1069.0689086914062"/>
  </r>
  <r>
    <x v="1"/>
    <n v="1767073509"/>
    <x v="1"/>
    <s v="3.99GB / 4.67GB"/>
    <n v="3805.1605224609375"/>
    <n v="4453.6590576171875"/>
    <n v="8258.819580078125"/>
    <x v="6"/>
    <n v="0"/>
    <n v="9.5367431640625"/>
    <n v="9.5367431640625"/>
    <n v="8258.819580078125"/>
  </r>
  <r>
    <x v="1"/>
    <n v="1767073509"/>
    <x v="2"/>
    <s v="237MB / 424MB"/>
    <n v="226.02081298828125"/>
    <n v="404.35791015625"/>
    <n v="630.37872314453125"/>
    <x v="6"/>
    <n v="0"/>
    <n v="0"/>
    <n v="0"/>
    <n v="630.37872314453125"/>
  </r>
  <r>
    <x v="1"/>
    <n v="1767073509"/>
    <x v="3"/>
    <s v="2.8GB / 6.72GB"/>
    <n v="2670.2880859375"/>
    <n v="6408.69140625"/>
    <n v="9078.9794921875"/>
    <x v="6"/>
    <n v="47.6837158203125"/>
    <n v="114.44091796875"/>
    <n v="162.1246337890625"/>
    <n v="9078.9794921875"/>
  </r>
  <r>
    <x v="1"/>
    <n v="1767073516"/>
    <x v="0"/>
    <s v="810MB / 312MB"/>
    <n v="772.4761962890625"/>
    <n v="297.54638671875"/>
    <n v="1070.0225830078125"/>
    <x v="7"/>
    <n v="0"/>
    <n v="0.95367431640625"/>
    <n v="0.95367431640625"/>
    <n v="1070.0225830078125"/>
  </r>
  <r>
    <x v="1"/>
    <n v="1767073516"/>
    <x v="1"/>
    <s v="4.06GB / 4.67GB"/>
    <n v="3871.9177246093745"/>
    <n v="4453.6590576171875"/>
    <n v="8325.5767822265625"/>
    <x v="7"/>
    <n v="66.757202148437045"/>
    <n v="0"/>
    <n v="66.7572021484375"/>
    <n v="8325.5767822265625"/>
  </r>
  <r>
    <x v="1"/>
    <n v="1767073516"/>
    <x v="2"/>
    <s v="237MB / 424MB"/>
    <n v="226.02081298828125"/>
    <n v="404.35791015625"/>
    <n v="630.37872314453125"/>
    <x v="7"/>
    <n v="0"/>
    <n v="0"/>
    <n v="0"/>
    <n v="630.37872314453125"/>
  </r>
  <r>
    <x v="1"/>
    <n v="1767073516"/>
    <x v="3"/>
    <s v="2.8GB / 6.72GB"/>
    <n v="2670.2880859375"/>
    <n v="6408.69140625"/>
    <n v="9078.9794921875"/>
    <x v="7"/>
    <n v="0"/>
    <n v="0"/>
    <n v="0"/>
    <n v="9078.9794921875"/>
  </r>
  <r>
    <x v="1"/>
    <n v="1767073523"/>
    <x v="0"/>
    <s v="810MB / 315MB"/>
    <n v="772.4761962890625"/>
    <n v="300.40740966796875"/>
    <n v="1072.8836059570312"/>
    <x v="8"/>
    <n v="0"/>
    <n v="2.86102294921875"/>
    <n v="2.86102294921875"/>
    <n v="1072.8836059570312"/>
  </r>
  <r>
    <x v="1"/>
    <n v="1767073523"/>
    <x v="1"/>
    <s v="4.12GB / 4.68GB"/>
    <n v="3929.13818359375"/>
    <n v="4463.19580078125"/>
    <n v="8392.333984375"/>
    <x v="8"/>
    <n v="57.220458984375455"/>
    <n v="9.5367431640625"/>
    <n v="66.7572021484375"/>
    <n v="8392.333984375"/>
  </r>
  <r>
    <x v="1"/>
    <n v="1767073523"/>
    <x v="2"/>
    <s v="237MB / 431MB"/>
    <n v="226.02081298828125"/>
    <n v="411.03363037109375"/>
    <n v="637.054443359375"/>
    <x v="8"/>
    <n v="0"/>
    <n v="6.67572021484375"/>
    <n v="6.67572021484375"/>
    <n v="637.054443359375"/>
  </r>
  <r>
    <x v="1"/>
    <n v="1767073523"/>
    <x v="3"/>
    <s v="2.8GB / 6.81GB"/>
    <n v="2670.2880859375"/>
    <n v="6494.5220947265625"/>
    <n v="9164.8101806640625"/>
    <x v="8"/>
    <n v="0"/>
    <n v="85.8306884765625"/>
    <n v="85.8306884765625"/>
    <n v="9164.8101806640625"/>
  </r>
  <r>
    <x v="1"/>
    <n v="1767073530"/>
    <x v="0"/>
    <s v="811MB / 324MB"/>
    <n v="773.42987060546875"/>
    <n v="308.990478515625"/>
    <n v="1082.4203491210938"/>
    <x v="9"/>
    <n v="0.95367431640625"/>
    <n v="8.58306884765625"/>
    <n v="9.5367431640625"/>
    <n v="1082.4203491210938"/>
  </r>
  <r>
    <x v="1"/>
    <n v="1767073530"/>
    <x v="1"/>
    <s v="4.14GB / 4.69GB"/>
    <n v="3948.2116699218745"/>
    <n v="4472.7325439453125"/>
    <n v="8420.9442138671875"/>
    <x v="9"/>
    <n v="19.073486328124545"/>
    <n v="9.5367431640625"/>
    <n v="28.6102294921875"/>
    <n v="8420.9442138671875"/>
  </r>
  <r>
    <x v="1"/>
    <n v="1767073530"/>
    <x v="2"/>
    <s v="240MB / 444MB"/>
    <n v="228.8818359375"/>
    <n v="423.431396484375"/>
    <n v="652.313232421875"/>
    <x v="9"/>
    <n v="2.86102294921875"/>
    <n v="12.39776611328125"/>
    <n v="15.2587890625"/>
    <n v="652.313232421875"/>
  </r>
  <r>
    <x v="1"/>
    <n v="1767073530"/>
    <x v="3"/>
    <s v="2.87GB / 6.99GB"/>
    <n v="2737.0452880859375"/>
    <n v="6666.1834716796875"/>
    <n v="9403.228759765625"/>
    <x v="9"/>
    <n v="66.7572021484375"/>
    <n v="171.661376953125"/>
    <n v="238.4185791015625"/>
    <n v="9403.228759765625"/>
  </r>
  <r>
    <x v="1"/>
    <n v="1767073538"/>
    <x v="0"/>
    <s v="811MB / 324MB"/>
    <n v="773.42987060546875"/>
    <n v="308.990478515625"/>
    <n v="1082.4203491210938"/>
    <x v="10"/>
    <n v="0"/>
    <n v="0"/>
    <n v="0"/>
    <n v="1082.4203491210938"/>
  </r>
  <r>
    <x v="1"/>
    <n v="1767073538"/>
    <x v="1"/>
    <s v="4.14GB / 4.71GB"/>
    <n v="3948.2116699218745"/>
    <n v="4491.8060302734375"/>
    <n v="8440.0177001953125"/>
    <x v="10"/>
    <n v="0"/>
    <n v="19.073486328125"/>
    <n v="19.073486328125"/>
    <n v="8440.0177001953125"/>
  </r>
  <r>
    <x v="1"/>
    <n v="1767073538"/>
    <x v="2"/>
    <s v="243MB / 444MB"/>
    <n v="231.74285888671875"/>
    <n v="423.431396484375"/>
    <n v="655.17425537109375"/>
    <x v="10"/>
    <n v="2.86102294921875"/>
    <n v="0"/>
    <n v="2.86102294921875"/>
    <n v="655.17425537109375"/>
  </r>
  <r>
    <x v="1"/>
    <n v="1767073538"/>
    <x v="3"/>
    <s v="3GB / 7.2GB"/>
    <n v="2861.02294921875"/>
    <n v="6866.455078125"/>
    <n v="9727.47802734375"/>
    <x v="10"/>
    <n v="123.9776611328125"/>
    <n v="200.2716064453125"/>
    <n v="324.249267578125"/>
    <n v="9727.47802734375"/>
  </r>
  <r>
    <x v="1"/>
    <n v="1767073545"/>
    <x v="0"/>
    <s v="813MB / 324MB"/>
    <n v="775.33721923828125"/>
    <n v="308.990478515625"/>
    <n v="1084.3276977539062"/>
    <x v="11"/>
    <n v="1.9073486328125"/>
    <n v="0"/>
    <n v="1.9073486328125"/>
    <n v="1084.3276977539062"/>
  </r>
  <r>
    <x v="1"/>
    <n v="1767073545"/>
    <x v="1"/>
    <s v="4.14GB / 4.73GB"/>
    <n v="3948.2116699218745"/>
    <n v="4510.8795166015625"/>
    <n v="8459.0911865234375"/>
    <x v="11"/>
    <n v="0"/>
    <n v="19.073486328125"/>
    <n v="19.073486328125"/>
    <n v="8459.0911865234375"/>
  </r>
  <r>
    <x v="1"/>
    <n v="1767073545"/>
    <x v="2"/>
    <s v="244MB / 444MB"/>
    <n v="232.696533203125"/>
    <n v="423.431396484375"/>
    <n v="656.1279296875"/>
    <x v="11"/>
    <n v="0.95367431640625"/>
    <n v="0"/>
    <n v="0.95367431640625"/>
    <n v="656.1279296875"/>
  </r>
  <r>
    <x v="1"/>
    <n v="1767073545"/>
    <x v="3"/>
    <s v="3.01GB / 7.2GB"/>
    <n v="2870.5596923828125"/>
    <n v="6866.455078125"/>
    <n v="9737.0147705078125"/>
    <x v="11"/>
    <n v="9.5367431640625"/>
    <n v="0"/>
    <n v="9.5367431640625"/>
    <n v="9737.0147705078125"/>
  </r>
  <r>
    <x v="1"/>
    <n v="1767073553"/>
    <x v="0"/>
    <s v="815MB / 324MB"/>
    <n v="777.24456787109375"/>
    <n v="308.990478515625"/>
    <n v="1086.2350463867188"/>
    <x v="12"/>
    <n v="1.9073486328125"/>
    <n v="0"/>
    <n v="1.9073486328125"/>
    <n v="1086.2350463867188"/>
  </r>
  <r>
    <x v="1"/>
    <n v="1767073553"/>
    <x v="1"/>
    <s v="4.15GB / 4.73GB"/>
    <n v="3957.748413085938"/>
    <n v="4510.8795166015625"/>
    <n v="8468.6279296875"/>
    <x v="12"/>
    <n v="9.5367431640634095"/>
    <n v="0"/>
    <n v="9.5367431640625"/>
    <n v="8468.6279296875"/>
  </r>
  <r>
    <x v="1"/>
    <n v="1767073553"/>
    <x v="2"/>
    <s v="254MB / 444MB"/>
    <n v="242.2332763671875"/>
    <n v="423.431396484375"/>
    <n v="665.6646728515625"/>
    <x v="12"/>
    <n v="9.5367431640625"/>
    <n v="0"/>
    <n v="9.5367431640625"/>
    <n v="665.6646728515625"/>
  </r>
  <r>
    <x v="1"/>
    <n v="1767073553"/>
    <x v="3"/>
    <s v="3.02GB / 7.2GB"/>
    <n v="2880.096435546875"/>
    <n v="6866.455078125"/>
    <n v="9746.551513671875"/>
    <x v="12"/>
    <n v="9.5367431640625"/>
    <n v="0"/>
    <n v="9.5367431640625"/>
    <n v="9746.551513671875"/>
  </r>
  <r>
    <x v="1"/>
    <n v="1767073560"/>
    <x v="0"/>
    <s v="817MB / 324MB"/>
    <n v="779.15191650390625"/>
    <n v="308.990478515625"/>
    <n v="1088.1423950195312"/>
    <x v="13"/>
    <n v="1.9073486328125"/>
    <n v="0"/>
    <n v="1.9073486328125"/>
    <n v="1088.1423950195312"/>
  </r>
  <r>
    <x v="1"/>
    <n v="1767073560"/>
    <x v="1"/>
    <s v="4.15GB / 4.73GB"/>
    <n v="3957.748413085938"/>
    <n v="4510.8795166015625"/>
    <n v="8468.6279296875"/>
    <x v="13"/>
    <n v="0"/>
    <n v="0"/>
    <n v="0"/>
    <n v="8468.6279296875"/>
  </r>
  <r>
    <x v="1"/>
    <n v="1767073560"/>
    <x v="2"/>
    <s v="257MB / 444MB"/>
    <n v="245.09429931640625"/>
    <n v="423.431396484375"/>
    <n v="668.52569580078125"/>
    <x v="13"/>
    <n v="2.86102294921875"/>
    <n v="0"/>
    <n v="2.86102294921875"/>
    <n v="668.52569580078125"/>
  </r>
  <r>
    <x v="1"/>
    <n v="1767073560"/>
    <x v="3"/>
    <s v="3.04GB / 7.2GB"/>
    <n v="2899.169921875"/>
    <n v="6866.455078125"/>
    <n v="9765.625"/>
    <x v="13"/>
    <n v="19.073486328125"/>
    <n v="0"/>
    <n v="19.073486328125"/>
    <n v="9765.625"/>
  </r>
  <r>
    <x v="1"/>
    <n v="1767073568"/>
    <x v="0"/>
    <s v="818MB / 324MB"/>
    <n v="780.1055908203125"/>
    <n v="308.990478515625"/>
    <n v="1089.0960693359375"/>
    <x v="14"/>
    <n v="0.95367431640625"/>
    <n v="0"/>
    <n v="0.95367431640625"/>
    <n v="1089.0960693359375"/>
  </r>
  <r>
    <x v="1"/>
    <n v="1767073568"/>
    <x v="1"/>
    <s v="4.15GB / 4.73GB"/>
    <n v="3957.748413085938"/>
    <n v="4510.8795166015625"/>
    <n v="8468.6279296875"/>
    <x v="14"/>
    <n v="0"/>
    <n v="0"/>
    <n v="0"/>
    <n v="8468.6279296875"/>
  </r>
  <r>
    <x v="1"/>
    <n v="1767073568"/>
    <x v="2"/>
    <s v="257MB / 444MB"/>
    <n v="245.09429931640625"/>
    <n v="423.431396484375"/>
    <n v="668.52569580078125"/>
    <x v="14"/>
    <n v="0"/>
    <n v="0"/>
    <n v="0"/>
    <n v="668.52569580078125"/>
  </r>
  <r>
    <x v="1"/>
    <n v="1767073568"/>
    <x v="3"/>
    <s v="3.04GB / 7.2GB"/>
    <n v="2899.169921875"/>
    <n v="6866.455078125"/>
    <n v="9765.625"/>
    <x v="14"/>
    <n v="0"/>
    <n v="0"/>
    <n v="0"/>
    <n v="9765.625"/>
  </r>
  <r>
    <x v="1"/>
    <n v="1767073575"/>
    <x v="0"/>
    <s v="818MB / 324MB"/>
    <n v="780.1055908203125"/>
    <n v="308.990478515625"/>
    <n v="1089.0960693359375"/>
    <x v="15"/>
    <n v="0"/>
    <n v="0"/>
    <n v="0"/>
    <n v="1089.0960693359375"/>
  </r>
  <r>
    <x v="1"/>
    <n v="1767073575"/>
    <x v="1"/>
    <s v="4.15GB / 4.73GB"/>
    <n v="3957.748413085938"/>
    <n v="4510.8795166015625"/>
    <n v="8468.6279296875"/>
    <x v="15"/>
    <n v="0"/>
    <n v="0"/>
    <n v="0"/>
    <n v="8468.6279296875"/>
  </r>
  <r>
    <x v="1"/>
    <n v="1767073575"/>
    <x v="2"/>
    <s v="258MB / 444MB"/>
    <n v="246.0479736328125"/>
    <n v="423.431396484375"/>
    <n v="669.4793701171875"/>
    <x v="15"/>
    <n v="0.95367431640625"/>
    <n v="0"/>
    <n v="0.95367431640625"/>
    <n v="669.4793701171875"/>
  </r>
  <r>
    <x v="1"/>
    <n v="1767073575"/>
    <x v="3"/>
    <s v="3.04GB / 7.24GB"/>
    <n v="2899.169921875"/>
    <n v="6904.60205078125"/>
    <n v="9803.77197265625"/>
    <x v="15"/>
    <n v="0"/>
    <n v="38.14697265625"/>
    <n v="38.14697265625"/>
    <n v="9803.77197265625"/>
  </r>
  <r>
    <x v="2"/>
    <n v="1767073603"/>
    <x v="0"/>
    <s v="1.1GB / 340MB"/>
    <n v="1049.041748046875"/>
    <n v="324.249267578125"/>
    <n v="1373.291015625"/>
    <x v="0"/>
    <n v="0"/>
    <n v="0"/>
    <n v="0"/>
    <n v="1373.291015625"/>
  </r>
  <r>
    <x v="2"/>
    <n v="1767073603"/>
    <x v="1"/>
    <s v="4.2GB / 5.79GB"/>
    <n v="4005.43212890625"/>
    <n v="5521.7742919921875"/>
    <n v="9527.2064208984375"/>
    <x v="0"/>
    <n v="0"/>
    <n v="0"/>
    <n v="0"/>
    <n v="9527.2064208984375"/>
  </r>
  <r>
    <x v="2"/>
    <n v="1767073603"/>
    <x v="2"/>
    <s v="259MB / 447MB"/>
    <n v="247.00164794921875"/>
    <n v="426.29241943359375"/>
    <n v="673.2940673828125"/>
    <x v="0"/>
    <n v="0"/>
    <n v="0"/>
    <n v="0"/>
    <n v="673.2940673828125"/>
  </r>
  <r>
    <x v="2"/>
    <n v="1767073603"/>
    <x v="3"/>
    <s v="3.04GB / 7.27GB"/>
    <n v="2899.169921875"/>
    <n v="6933.2122802734375"/>
    <n v="9832.3822021484375"/>
    <x v="0"/>
    <n v="0"/>
    <n v="0"/>
    <n v="0"/>
    <n v="9832.3822021484375"/>
  </r>
  <r>
    <x v="2"/>
    <n v="1767073611"/>
    <x v="0"/>
    <s v="1.12GB / 340MB"/>
    <n v="1068.115234375"/>
    <n v="324.249267578125"/>
    <n v="1392.364501953125"/>
    <x v="1"/>
    <n v="19.073486328125"/>
    <n v="0"/>
    <n v="19.073486328125"/>
    <n v="1392.364501953125"/>
  </r>
  <r>
    <x v="2"/>
    <n v="1767073611"/>
    <x v="1"/>
    <s v="4.2GB / 5.79GB"/>
    <n v="4005.43212890625"/>
    <n v="5521.7742919921875"/>
    <n v="9527.2064208984375"/>
    <x v="1"/>
    <n v="0"/>
    <n v="0"/>
    <n v="0"/>
    <n v="9527.2064208984375"/>
  </r>
  <r>
    <x v="2"/>
    <n v="1767073611"/>
    <x v="2"/>
    <s v="262MB / 447MB"/>
    <n v="249.8626708984375"/>
    <n v="426.29241943359375"/>
    <n v="676.15509033203125"/>
    <x v="1"/>
    <n v="2.86102294921875"/>
    <n v="0"/>
    <n v="2.86102294921875"/>
    <n v="676.15509033203125"/>
  </r>
  <r>
    <x v="2"/>
    <n v="1767073611"/>
    <x v="3"/>
    <s v="3.05GB / 7.27GB"/>
    <n v="2908.7066650390625"/>
    <n v="6933.2122802734375"/>
    <n v="9841.9189453125"/>
    <x v="1"/>
    <n v="9.5367431640625"/>
    <n v="0"/>
    <n v="9.5367431640625"/>
    <n v="9841.9189453125"/>
  </r>
  <r>
    <x v="2"/>
    <n v="1767073618"/>
    <x v="0"/>
    <s v="1.12GB / 340MB"/>
    <n v="1068.115234375"/>
    <n v="324.249267578125"/>
    <n v="1392.364501953125"/>
    <x v="2"/>
    <n v="0"/>
    <n v="0"/>
    <n v="0"/>
    <n v="1392.364501953125"/>
  </r>
  <r>
    <x v="2"/>
    <n v="1767073618"/>
    <x v="1"/>
    <s v="4.2GB / 5.85GB"/>
    <n v="4005.43212890625"/>
    <n v="5578.9947509765625"/>
    <n v="9584.4268798828125"/>
    <x v="2"/>
    <n v="0"/>
    <n v="57.220458984375"/>
    <n v="57.220458984375"/>
    <n v="9584.4268798828125"/>
  </r>
  <r>
    <x v="2"/>
    <n v="1767073618"/>
    <x v="2"/>
    <s v="264MB / 447MB"/>
    <n v="251.77001953125"/>
    <n v="426.29241943359375"/>
    <n v="678.06243896484375"/>
    <x v="2"/>
    <n v="1.9073486328125"/>
    <n v="0"/>
    <n v="1.9073486328125"/>
    <n v="678.06243896484375"/>
  </r>
  <r>
    <x v="2"/>
    <n v="1767073618"/>
    <x v="3"/>
    <s v="3.07GB / 7.27GB"/>
    <n v="2927.7801513671875"/>
    <n v="6933.2122802734375"/>
    <n v="9860.992431640625"/>
    <x v="2"/>
    <n v="19.073486328125"/>
    <n v="0"/>
    <n v="19.073486328125"/>
    <n v="9860.992431640625"/>
  </r>
  <r>
    <x v="2"/>
    <n v="1767073626"/>
    <x v="0"/>
    <s v="1.12GB / 340MB"/>
    <n v="1068.115234375"/>
    <n v="324.249267578125"/>
    <n v="1392.364501953125"/>
    <x v="3"/>
    <n v="0"/>
    <n v="0"/>
    <n v="0"/>
    <n v="1392.364501953125"/>
  </r>
  <r>
    <x v="2"/>
    <n v="1767073626"/>
    <x v="1"/>
    <s v="4.27GB / 5.85GB"/>
    <n v="4072.189331054687"/>
    <n v="5578.9947509765625"/>
    <n v="9651.18408203125"/>
    <x v="3"/>
    <n v="66.757202148437045"/>
    <n v="0"/>
    <n v="66.7572021484375"/>
    <n v="9651.18408203125"/>
  </r>
  <r>
    <x v="2"/>
    <n v="1767073626"/>
    <x v="2"/>
    <s v="265MB / 447MB"/>
    <n v="252.72369384765625"/>
    <n v="426.29241943359375"/>
    <n v="679.01611328125"/>
    <x v="3"/>
    <n v="0.95367431640625"/>
    <n v="0"/>
    <n v="0.95367431640625"/>
    <n v="679.01611328125"/>
  </r>
  <r>
    <x v="2"/>
    <n v="1767073626"/>
    <x v="3"/>
    <s v="3.07GB / 7.27GB"/>
    <n v="2927.7801513671875"/>
    <n v="6933.2122802734375"/>
    <n v="9860.992431640625"/>
    <x v="3"/>
    <n v="0"/>
    <n v="0"/>
    <n v="0"/>
    <n v="9860.992431640625"/>
  </r>
  <r>
    <x v="2"/>
    <n v="1767073633"/>
    <x v="0"/>
    <s v="1.12GB / 340MB"/>
    <n v="1068.115234375"/>
    <n v="324.249267578125"/>
    <n v="1392.364501953125"/>
    <x v="4"/>
    <n v="0"/>
    <n v="0"/>
    <n v="0"/>
    <n v="1392.364501953125"/>
  </r>
  <r>
    <x v="2"/>
    <n v="1767073633"/>
    <x v="1"/>
    <s v="4.32GB / 5.87GB"/>
    <n v="4119.873046875"/>
    <n v="5598.0682373046875"/>
    <n v="9717.9412841796875"/>
    <x v="4"/>
    <n v="47.683715820312955"/>
    <n v="19.073486328125"/>
    <n v="66.7572021484375"/>
    <n v="9717.9412841796875"/>
  </r>
  <r>
    <x v="2"/>
    <n v="1767073633"/>
    <x v="2"/>
    <s v="265MB / 452MB"/>
    <n v="252.72369384765625"/>
    <n v="431.060791015625"/>
    <n v="683.78448486328125"/>
    <x v="4"/>
    <n v="0"/>
    <n v="4.76837158203125"/>
    <n v="4.76837158203125"/>
    <n v="683.78448486328125"/>
  </r>
  <r>
    <x v="2"/>
    <n v="1767073633"/>
    <x v="3"/>
    <s v="3.07GB / 7.3GB"/>
    <n v="2927.7801513671875"/>
    <n v="6961.822509765625"/>
    <n v="9889.6026611328125"/>
    <x v="4"/>
    <n v="0"/>
    <n v="28.6102294921875"/>
    <n v="28.6102294921875"/>
    <n v="9889.6026611328125"/>
  </r>
  <r>
    <x v="2"/>
    <n v="1767073641"/>
    <x v="0"/>
    <s v="1.12GB / 340MB"/>
    <n v="1068.115234375"/>
    <n v="324.249267578125"/>
    <n v="1392.364501953125"/>
    <x v="5"/>
    <n v="0"/>
    <n v="0"/>
    <n v="0"/>
    <n v="1392.364501953125"/>
  </r>
  <r>
    <x v="2"/>
    <n v="1767073641"/>
    <x v="1"/>
    <s v="4.35GB / 5.89GB"/>
    <n v="4148.4832763671875"/>
    <n v="5617.1417236328125"/>
    <n v="9765.625"/>
    <x v="5"/>
    <n v="28.6102294921875"/>
    <n v="19.073486328125"/>
    <n v="47.6837158203125"/>
    <n v="9765.625"/>
  </r>
  <r>
    <x v="2"/>
    <n v="1767073641"/>
    <x v="2"/>
    <s v="265MB / 453MB"/>
    <n v="252.72369384765625"/>
    <n v="432.01446533203125"/>
    <n v="684.7381591796875"/>
    <x v="5"/>
    <n v="0"/>
    <n v="0.95367431640625"/>
    <n v="0.95367431640625"/>
    <n v="684.7381591796875"/>
  </r>
  <r>
    <x v="2"/>
    <n v="1767073641"/>
    <x v="3"/>
    <s v="3.09GB / 7.46GB"/>
    <n v="2946.8536376953125"/>
    <n v="7114.410400390625"/>
    <n v="10061.264038085938"/>
    <x v="5"/>
    <n v="19.073486328125"/>
    <n v="152.587890625"/>
    <n v="171.661376953125"/>
    <n v="10061.264038085938"/>
  </r>
  <r>
    <x v="2"/>
    <n v="1767073648"/>
    <x v="0"/>
    <s v="1.12GB / 340MB"/>
    <n v="1068.115234375"/>
    <n v="324.249267578125"/>
    <n v="1392.364501953125"/>
    <x v="6"/>
    <n v="0"/>
    <n v="0"/>
    <n v="0"/>
    <n v="1392.364501953125"/>
  </r>
  <r>
    <x v="2"/>
    <n v="1767073648"/>
    <x v="1"/>
    <s v="4.38GB / 5.89GB"/>
    <n v="4177.093505859375"/>
    <n v="5617.1417236328125"/>
    <n v="9794.2352294921875"/>
    <x v="6"/>
    <n v="28.6102294921875"/>
    <n v="0"/>
    <n v="28.6102294921875"/>
    <n v="9794.2352294921875"/>
  </r>
  <r>
    <x v="2"/>
    <n v="1767073648"/>
    <x v="2"/>
    <s v="266MB / 453MB"/>
    <n v="253.6773681640625"/>
    <n v="432.01446533203125"/>
    <n v="685.69183349609375"/>
    <x v="6"/>
    <n v="0.95367431640625"/>
    <n v="0"/>
    <n v="0.95367431640625"/>
    <n v="685.69183349609375"/>
  </r>
  <r>
    <x v="2"/>
    <n v="1767073648"/>
    <x v="3"/>
    <s v="3.12GB / 7.49GB"/>
    <n v="2975.4638671875"/>
    <n v="7143.0206298828125"/>
    <n v="10118.484497070312"/>
    <x v="6"/>
    <n v="28.6102294921875"/>
    <n v="28.6102294921875"/>
    <n v="57.220458984375"/>
    <n v="10118.484497070312"/>
  </r>
  <r>
    <x v="2"/>
    <n v="1767073656"/>
    <x v="0"/>
    <s v="1.12GB / 340MB"/>
    <n v="1068.115234375"/>
    <n v="324.249267578125"/>
    <n v="1392.364501953125"/>
    <x v="7"/>
    <n v="0"/>
    <n v="0"/>
    <n v="0"/>
    <n v="1392.364501953125"/>
  </r>
  <r>
    <x v="2"/>
    <n v="1767073656"/>
    <x v="1"/>
    <s v="4.44GB / 5.89GB"/>
    <n v="4234.31396484375"/>
    <n v="5617.1417236328125"/>
    <n v="9851.4556884765625"/>
    <x v="7"/>
    <n v="57.220458984375"/>
    <n v="0"/>
    <n v="57.220458984375"/>
    <n v="9851.4556884765625"/>
  </r>
  <r>
    <x v="2"/>
    <n v="1767073656"/>
    <x v="2"/>
    <s v="266MB / 453MB"/>
    <n v="253.6773681640625"/>
    <n v="432.01446533203125"/>
    <n v="685.69183349609375"/>
    <x v="7"/>
    <n v="0"/>
    <n v="0"/>
    <n v="0"/>
    <n v="685.69183349609375"/>
  </r>
  <r>
    <x v="2"/>
    <n v="1767073656"/>
    <x v="3"/>
    <s v="3.13GB / 7.52GB"/>
    <n v="2985.0006103515625"/>
    <n v="7171.630859375"/>
    <n v="10156.631469726562"/>
    <x v="7"/>
    <n v="9.5367431640625"/>
    <n v="28.6102294921875"/>
    <n v="38.14697265625"/>
    <n v="10156.631469726562"/>
  </r>
  <r>
    <x v="2"/>
    <n v="1767073662"/>
    <x v="0"/>
    <s v="1.12GB / 340MB"/>
    <n v="1068.115234375"/>
    <n v="324.249267578125"/>
    <n v="1392.364501953125"/>
    <x v="8"/>
    <n v="0"/>
    <n v="0"/>
    <n v="0"/>
    <n v="1392.364501953125"/>
  </r>
  <r>
    <x v="2"/>
    <n v="1767073662"/>
    <x v="1"/>
    <s v="4.49GB / 5.89GB"/>
    <n v="4281.9976806640625"/>
    <n v="5617.1417236328125"/>
    <n v="9899.139404296875"/>
    <x v="8"/>
    <n v="47.6837158203125"/>
    <n v="0"/>
    <n v="47.6837158203125"/>
    <n v="9899.139404296875"/>
  </r>
  <r>
    <x v="2"/>
    <n v="1767073662"/>
    <x v="2"/>
    <s v="266MB / 453MB"/>
    <n v="253.6773681640625"/>
    <n v="432.01446533203125"/>
    <n v="685.69183349609375"/>
    <x v="8"/>
    <n v="0"/>
    <n v="0"/>
    <n v="0"/>
    <n v="685.69183349609375"/>
  </r>
  <r>
    <x v="2"/>
    <n v="1767073662"/>
    <x v="3"/>
    <s v="3.13GB / 7.56GB"/>
    <n v="2985.0006103515625"/>
    <n v="7209.77783203125"/>
    <n v="10194.778442382812"/>
    <x v="8"/>
    <n v="0"/>
    <n v="38.14697265625"/>
    <n v="38.14697265625"/>
    <n v="10194.778442382812"/>
  </r>
  <r>
    <x v="2"/>
    <n v="1767073670"/>
    <x v="0"/>
    <s v="1.12GB / 340MB"/>
    <n v="1068.115234375"/>
    <n v="324.249267578125"/>
    <n v="1392.364501953125"/>
    <x v="9"/>
    <n v="0"/>
    <n v="0"/>
    <n v="0"/>
    <n v="1392.364501953125"/>
  </r>
  <r>
    <x v="2"/>
    <n v="1767073670"/>
    <x v="1"/>
    <s v="4.49GB / 5.89GB"/>
    <n v="4281.9976806640625"/>
    <n v="5617.1417236328125"/>
    <n v="9899.139404296875"/>
    <x v="9"/>
    <n v="0"/>
    <n v="0"/>
    <n v="0"/>
    <n v="9899.139404296875"/>
  </r>
  <r>
    <x v="2"/>
    <n v="1767073670"/>
    <x v="2"/>
    <s v="266MB / 453MB"/>
    <n v="253.6773681640625"/>
    <n v="432.01446533203125"/>
    <n v="685.69183349609375"/>
    <x v="9"/>
    <n v="0"/>
    <n v="0"/>
    <n v="0"/>
    <n v="685.69183349609375"/>
  </r>
  <r>
    <x v="2"/>
    <n v="1767073670"/>
    <x v="3"/>
    <s v="3.18GB / 7.75GB"/>
    <n v="3032.684326171875"/>
    <n v="7390.9759521484375"/>
    <n v="10423.660278320312"/>
    <x v="9"/>
    <n v="47.6837158203125"/>
    <n v="181.1981201171875"/>
    <n v="228.8818359375"/>
    <n v="10423.660278320312"/>
  </r>
  <r>
    <x v="2"/>
    <n v="1767073677"/>
    <x v="0"/>
    <s v="1.12GB / 340MB"/>
    <n v="1068.115234375"/>
    <n v="324.249267578125"/>
    <n v="1392.364501953125"/>
    <x v="10"/>
    <n v="0"/>
    <n v="0"/>
    <n v="0"/>
    <n v="1392.364501953125"/>
  </r>
  <r>
    <x v="2"/>
    <n v="1767073677"/>
    <x v="1"/>
    <s v="4.52GB / 5.89GB"/>
    <n v="4310.60791015625"/>
    <n v="5617.1417236328125"/>
    <n v="9927.7496337890625"/>
    <x v="10"/>
    <n v="28.6102294921875"/>
    <n v="0"/>
    <n v="28.6102294921875"/>
    <n v="9927.7496337890625"/>
  </r>
  <r>
    <x v="2"/>
    <n v="1767073677"/>
    <x v="2"/>
    <s v="267MB / 453MB"/>
    <n v="254.63104248046875"/>
    <n v="432.01446533203125"/>
    <n v="686.6455078125"/>
    <x v="10"/>
    <n v="0.95367431640625"/>
    <n v="0"/>
    <n v="0.95367431640625"/>
    <n v="686.6455078125"/>
  </r>
  <r>
    <x v="2"/>
    <n v="1767073677"/>
    <x v="3"/>
    <s v="3.2GB / 7.75GB"/>
    <n v="3051.7578125"/>
    <n v="7390.9759521484375"/>
    <n v="10442.733764648438"/>
    <x v="10"/>
    <n v="19.073486328125"/>
    <n v="0"/>
    <n v="19.073486328125"/>
    <n v="10442.733764648438"/>
  </r>
  <r>
    <x v="2"/>
    <n v="1767073684"/>
    <x v="0"/>
    <s v="1.12GB / 343MB"/>
    <n v="1068.115234375"/>
    <n v="327.11029052734375"/>
    <n v="1395.2255249023438"/>
    <x v="11"/>
    <n v="0"/>
    <n v="2.86102294921875"/>
    <n v="2.86102294921875"/>
    <n v="1395.2255249023438"/>
  </r>
  <r>
    <x v="2"/>
    <n v="1767073684"/>
    <x v="1"/>
    <s v="4.6GB / 5.9GB"/>
    <n v="4386.90185546875"/>
    <n v="5626.678466796875"/>
    <n v="10013.580322265625"/>
    <x v="11"/>
    <n v="76.2939453125"/>
    <n v="9.5367431640625"/>
    <n v="85.8306884765625"/>
    <n v="10013.580322265625"/>
  </r>
  <r>
    <x v="2"/>
    <n v="1767073684"/>
    <x v="2"/>
    <s v="268MB / 453MB"/>
    <n v="255.584716796875"/>
    <n v="432.01446533203125"/>
    <n v="687.59918212890625"/>
    <x v="11"/>
    <n v="0.95367431640625"/>
    <n v="0"/>
    <n v="0.95367431640625"/>
    <n v="687.59918212890625"/>
  </r>
  <r>
    <x v="2"/>
    <n v="1767073684"/>
    <x v="3"/>
    <s v="3.2GB / 7.8GB"/>
    <n v="3051.7578125"/>
    <n v="7438.65966796875"/>
    <n v="10490.41748046875"/>
    <x v="11"/>
    <n v="0"/>
    <n v="47.6837158203125"/>
    <n v="47.6837158203125"/>
    <n v="10490.41748046875"/>
  </r>
  <r>
    <x v="2"/>
    <n v="1767073692"/>
    <x v="0"/>
    <s v="1.12GB / 343MB"/>
    <n v="1068.115234375"/>
    <n v="327.11029052734375"/>
    <n v="1395.2255249023438"/>
    <x v="12"/>
    <n v="0"/>
    <n v="0"/>
    <n v="0"/>
    <n v="1395.2255249023438"/>
  </r>
  <r>
    <x v="2"/>
    <n v="1767073692"/>
    <x v="1"/>
    <s v="4.63GB / 5.9GB"/>
    <n v="4415.5120849609375"/>
    <n v="5626.678466796875"/>
    <n v="10042.190551757812"/>
    <x v="12"/>
    <n v="28.6102294921875"/>
    <n v="0"/>
    <n v="28.6102294921875"/>
    <n v="10042.190551757812"/>
  </r>
  <r>
    <x v="2"/>
    <n v="1767073692"/>
    <x v="2"/>
    <s v="268MB / 453MB"/>
    <n v="255.584716796875"/>
    <n v="432.01446533203125"/>
    <n v="687.59918212890625"/>
    <x v="12"/>
    <n v="0"/>
    <n v="0"/>
    <n v="0"/>
    <n v="687.59918212890625"/>
  </r>
  <r>
    <x v="2"/>
    <n v="1767073692"/>
    <x v="3"/>
    <s v="3.2GB / 7.84GB"/>
    <n v="3051.7578125"/>
    <n v="7476.806640625"/>
    <n v="10528.564453125"/>
    <x v="12"/>
    <n v="0"/>
    <n v="38.14697265625"/>
    <n v="38.14697265625"/>
    <n v="10528.564453125"/>
  </r>
  <r>
    <x v="2"/>
    <n v="1767073699"/>
    <x v="0"/>
    <s v="1.12GB / 345MB"/>
    <n v="1068.115234375"/>
    <n v="329.01763916015625"/>
    <n v="1397.1328735351562"/>
    <x v="13"/>
    <n v="0"/>
    <n v="1.9073486328125"/>
    <n v="1.9073486328125"/>
    <n v="1397.1328735351562"/>
  </r>
  <r>
    <x v="2"/>
    <n v="1767073699"/>
    <x v="1"/>
    <s v="4.63GB / 5.9GB"/>
    <n v="4415.5120849609375"/>
    <n v="5626.678466796875"/>
    <n v="10042.190551757812"/>
    <x v="13"/>
    <n v="0"/>
    <n v="0"/>
    <n v="0"/>
    <n v="10042.190551757812"/>
  </r>
  <r>
    <x v="2"/>
    <n v="1767073699"/>
    <x v="2"/>
    <s v="269MB / 453MB"/>
    <n v="256.53839111328125"/>
    <n v="432.01446533203125"/>
    <n v="688.5528564453125"/>
    <x v="13"/>
    <n v="0.95367431640625"/>
    <n v="0"/>
    <n v="0.95367431640625"/>
    <n v="688.5528564453125"/>
  </r>
  <r>
    <x v="2"/>
    <n v="1767073699"/>
    <x v="3"/>
    <s v="3.22GB / 7.99GB"/>
    <n v="3070.831298828125"/>
    <n v="7619.8577880859375"/>
    <n v="10690.689086914062"/>
    <x v="13"/>
    <n v="19.073486328125"/>
    <n v="143.0511474609375"/>
    <n v="162.1246337890625"/>
    <n v="10690.689086914062"/>
  </r>
  <r>
    <x v="2"/>
    <n v="1767073706"/>
    <x v="0"/>
    <s v="1.12GB / 345MB"/>
    <n v="1068.115234375"/>
    <n v="329.01763916015625"/>
    <n v="1397.1328735351562"/>
    <x v="14"/>
    <n v="0"/>
    <n v="0"/>
    <n v="0"/>
    <n v="1397.1328735351562"/>
  </r>
  <r>
    <x v="2"/>
    <n v="1767073706"/>
    <x v="1"/>
    <s v="4.69GB / 5.9GB"/>
    <n v="4472.7325439453125"/>
    <n v="5626.678466796875"/>
    <n v="10099.411010742188"/>
    <x v="14"/>
    <n v="57.220458984375"/>
    <n v="0"/>
    <n v="57.220458984375"/>
    <n v="10099.411010742188"/>
  </r>
  <r>
    <x v="2"/>
    <n v="1767073706"/>
    <x v="2"/>
    <s v="269MB / 453MB"/>
    <n v="256.53839111328125"/>
    <n v="432.01446533203125"/>
    <n v="688.5528564453125"/>
    <x v="14"/>
    <n v="0"/>
    <n v="0"/>
    <n v="0"/>
    <n v="688.5528564453125"/>
  </r>
  <r>
    <x v="2"/>
    <n v="1767073706"/>
    <x v="3"/>
    <s v="3.26GB / 7.99GB"/>
    <n v="3108.978271484375"/>
    <n v="7619.8577880859375"/>
    <n v="10728.836059570312"/>
    <x v="14"/>
    <n v="38.14697265625"/>
    <n v="0"/>
    <n v="38.14697265625"/>
    <n v="10728.836059570312"/>
  </r>
  <r>
    <x v="2"/>
    <n v="1767073712"/>
    <x v="0"/>
    <s v="1.12GB / 349MB"/>
    <n v="1068.115234375"/>
    <n v="332.83233642578125"/>
    <n v="1400.9475708007812"/>
    <x v="15"/>
    <n v="0"/>
    <n v="3.814697265625"/>
    <n v="3.814697265625"/>
    <n v="1400.9475708007812"/>
  </r>
  <r>
    <x v="2"/>
    <n v="1767073712"/>
    <x v="1"/>
    <s v="4.74GB / 5.9GB"/>
    <n v="4520.416259765625"/>
    <n v="5626.678466796875"/>
    <n v="10147.0947265625"/>
    <x v="15"/>
    <n v="47.6837158203125"/>
    <n v="0"/>
    <n v="47.6837158203125"/>
    <n v="10147.0947265625"/>
  </r>
  <r>
    <x v="2"/>
    <n v="1767073712"/>
    <x v="2"/>
    <s v="269MB / 453MB"/>
    <n v="256.53839111328125"/>
    <n v="432.01446533203125"/>
    <n v="688.5528564453125"/>
    <x v="15"/>
    <n v="0"/>
    <n v="0"/>
    <n v="0"/>
    <n v="688.5528564453125"/>
  </r>
  <r>
    <x v="2"/>
    <n v="1767073712"/>
    <x v="3"/>
    <s v="3.26GB / 8.05GB"/>
    <n v="3108.978271484375"/>
    <n v="7677.0782470703134"/>
    <n v="10786.056518554688"/>
    <x v="15"/>
    <n v="0"/>
    <n v="57.220458984375909"/>
    <n v="57.220458984375"/>
    <n v="10786.056518554688"/>
  </r>
  <r>
    <x v="2"/>
    <n v="1767073720"/>
    <x v="0"/>
    <s v="1.12GB / 350MB"/>
    <n v="1068.115234375"/>
    <n v="333.7860107421875"/>
    <n v="1401.9012451171875"/>
    <x v="16"/>
    <n v="0"/>
    <n v="0.95367431640625"/>
    <n v="0.95367431640625"/>
    <n v="1401.9012451171875"/>
  </r>
  <r>
    <x v="2"/>
    <n v="1767073720"/>
    <x v="1"/>
    <s v="4.78GB / 5.9GB"/>
    <n v="4558.563232421875"/>
    <n v="5626.678466796875"/>
    <n v="10185.24169921875"/>
    <x v="16"/>
    <n v="38.14697265625"/>
    <n v="0"/>
    <n v="38.14697265625"/>
    <n v="10185.24169921875"/>
  </r>
  <r>
    <x v="2"/>
    <n v="1767073720"/>
    <x v="2"/>
    <s v="279MB / 453MB"/>
    <n v="266.07513427734375"/>
    <n v="432.01446533203125"/>
    <n v="698.089599609375"/>
    <x v="16"/>
    <n v="9.5367431640625"/>
    <n v="0"/>
    <n v="9.5367431640625"/>
    <n v="698.089599609375"/>
  </r>
  <r>
    <x v="2"/>
    <n v="1767073720"/>
    <x v="3"/>
    <s v="3.26GB / 8.11GB"/>
    <n v="3108.978271484375"/>
    <n v="7734.2987060546866"/>
    <n v="10843.276977539062"/>
    <x v="16"/>
    <n v="0"/>
    <n v="57.220458984373181"/>
    <n v="57.220458984375"/>
    <n v="10843.276977539062"/>
  </r>
  <r>
    <x v="2"/>
    <n v="1767073727"/>
    <x v="0"/>
    <s v="1.13GB / 350MB"/>
    <n v="1077.6519775390625"/>
    <n v="333.7860107421875"/>
    <n v="1411.43798828125"/>
    <x v="17"/>
    <n v="9.5367431640625"/>
    <n v="0"/>
    <n v="9.5367431640625"/>
    <n v="1411.43798828125"/>
  </r>
  <r>
    <x v="2"/>
    <n v="1767073727"/>
    <x v="1"/>
    <s v="4.78GB / 5.9GB"/>
    <n v="4558.563232421875"/>
    <n v="5626.678466796875"/>
    <n v="10185.24169921875"/>
    <x v="17"/>
    <n v="0"/>
    <n v="0"/>
    <n v="0"/>
    <n v="10185.24169921875"/>
  </r>
  <r>
    <x v="2"/>
    <n v="1767073727"/>
    <x v="2"/>
    <s v="280MB / 453MB"/>
    <n v="267.02880859375"/>
    <n v="432.01446533203125"/>
    <n v="699.04327392578125"/>
    <x v="17"/>
    <n v="0.95367431640625"/>
    <n v="0"/>
    <n v="0.95367431640625"/>
    <n v="699.04327392578125"/>
  </r>
  <r>
    <x v="2"/>
    <n v="1767073727"/>
    <x v="3"/>
    <s v="3.34GB / 8.23GB"/>
    <n v="3185.272216796875"/>
    <n v="7848.7396240234375"/>
    <n v="11034.011840820312"/>
    <x v="17"/>
    <n v="76.2939453125"/>
    <n v="114.44091796875091"/>
    <n v="190.73486328125"/>
    <n v="11034.011840820312"/>
  </r>
  <r>
    <x v="2"/>
    <n v="1767073734"/>
    <x v="0"/>
    <s v="1.13GB / 350MB"/>
    <n v="1077.6519775390625"/>
    <n v="333.7860107421875"/>
    <n v="1411.43798828125"/>
    <x v="18"/>
    <n v="0"/>
    <n v="0"/>
    <n v="0"/>
    <n v="1411.43798828125"/>
  </r>
  <r>
    <x v="2"/>
    <n v="1767073734"/>
    <x v="1"/>
    <s v="4.84GB / 5.9GB"/>
    <n v="4615.78369140625"/>
    <n v="5626.678466796875"/>
    <n v="10242.462158203125"/>
    <x v="18"/>
    <n v="57.220458984375"/>
    <n v="0"/>
    <n v="57.220458984375"/>
    <n v="10242.462158203125"/>
  </r>
  <r>
    <x v="2"/>
    <n v="1767073734"/>
    <x v="2"/>
    <s v="280MB / 453MB"/>
    <n v="267.02880859375"/>
    <n v="432.01446533203125"/>
    <n v="699.04327392578125"/>
    <x v="18"/>
    <n v="0"/>
    <n v="0"/>
    <n v="0"/>
    <n v="699.04327392578125"/>
  </r>
  <r>
    <x v="2"/>
    <n v="1767073734"/>
    <x v="3"/>
    <s v="3.34GB / 8.23GB"/>
    <n v="3185.272216796875"/>
    <n v="7848.7396240234375"/>
    <n v="11034.011840820312"/>
    <x v="18"/>
    <n v="0"/>
    <n v="0"/>
    <n v="0"/>
    <n v="11034.011840820312"/>
  </r>
  <r>
    <x v="2"/>
    <n v="1767073742"/>
    <x v="0"/>
    <s v="1.13GB / 350MB"/>
    <n v="1077.6519775390625"/>
    <n v="333.7860107421875"/>
    <n v="1411.43798828125"/>
    <x v="19"/>
    <n v="0"/>
    <n v="0"/>
    <n v="0"/>
    <n v="1411.43798828125"/>
  </r>
  <r>
    <x v="2"/>
    <n v="1767073742"/>
    <x v="1"/>
    <s v="4.89GB / 5.91GB"/>
    <n v="4663.4674072265625"/>
    <n v="5636.2152099609375"/>
    <n v="10299.6826171875"/>
    <x v="19"/>
    <n v="47.6837158203125"/>
    <n v="9.5367431640625"/>
    <n v="57.220458984375"/>
    <n v="10299.6826171875"/>
  </r>
  <r>
    <x v="2"/>
    <n v="1767073742"/>
    <x v="2"/>
    <s v="281MB / 453MB"/>
    <n v="267.98248291015625"/>
    <n v="432.01446533203125"/>
    <n v="699.9969482421875"/>
    <x v="19"/>
    <n v="0.95367431640625"/>
    <n v="0"/>
    <n v="0.95367431640625"/>
    <n v="699.9969482421875"/>
  </r>
  <r>
    <x v="2"/>
    <n v="1767073742"/>
    <x v="3"/>
    <s v="3.36GB / 8.27GB"/>
    <n v="3204.345703125"/>
    <n v="7886.8865966796875"/>
    <n v="11091.232299804688"/>
    <x v="19"/>
    <n v="19.073486328125"/>
    <n v="38.14697265625"/>
    <n v="57.220458984375"/>
    <n v="11091.232299804688"/>
  </r>
  <r>
    <x v="2"/>
    <n v="1767073750"/>
    <x v="0"/>
    <s v="1.13GB / 350MB"/>
    <n v="1077.6519775390625"/>
    <n v="333.7860107421875"/>
    <n v="1411.43798828125"/>
    <x v="20"/>
    <n v="0"/>
    <n v="0"/>
    <n v="0"/>
    <n v="1411.43798828125"/>
  </r>
  <r>
    <x v="2"/>
    <n v="1767073750"/>
    <x v="1"/>
    <s v="4.92GB / 5.91GB"/>
    <n v="4692.07763671875"/>
    <n v="5636.2152099609375"/>
    <n v="10328.292846679688"/>
    <x v="20"/>
    <n v="28.6102294921875"/>
    <n v="0"/>
    <n v="28.6102294921875"/>
    <n v="10328.292846679688"/>
  </r>
  <r>
    <x v="2"/>
    <n v="1767073750"/>
    <x v="2"/>
    <s v="281MB / 453MB"/>
    <n v="267.98248291015625"/>
    <n v="432.01446533203125"/>
    <n v="699.9969482421875"/>
    <x v="20"/>
    <n v="0"/>
    <n v="0"/>
    <n v="0"/>
    <n v="699.9969482421875"/>
  </r>
  <r>
    <x v="2"/>
    <n v="1767073750"/>
    <x v="3"/>
    <s v="3.36GB / 8.43GB"/>
    <n v="3204.345703125"/>
    <n v="8039.4744873046875"/>
    <n v="11243.820190429688"/>
    <x v="20"/>
    <n v="0"/>
    <n v="152.587890625"/>
    <n v="152.587890625"/>
    <n v="11243.820190429688"/>
  </r>
  <r>
    <x v="2"/>
    <n v="1767073757"/>
    <x v="0"/>
    <s v="1.13GB / 350MB"/>
    <n v="1077.6519775390625"/>
    <n v="333.7860107421875"/>
    <n v="1411.43798828125"/>
    <x v="21"/>
    <n v="0"/>
    <n v="0"/>
    <n v="0"/>
    <n v="1411.43798828125"/>
  </r>
  <r>
    <x v="2"/>
    <n v="1767073757"/>
    <x v="1"/>
    <s v="4.92GB / 5.91GB"/>
    <n v="4692.07763671875"/>
    <n v="5636.2152099609375"/>
    <n v="10328.292846679688"/>
    <x v="21"/>
    <n v="0"/>
    <n v="0"/>
    <n v="0"/>
    <n v="10328.292846679688"/>
  </r>
  <r>
    <x v="2"/>
    <n v="1767073757"/>
    <x v="2"/>
    <s v="282MB / 453MB"/>
    <n v="268.9361572265625"/>
    <n v="432.01446533203125"/>
    <n v="700.95062255859375"/>
    <x v="21"/>
    <n v="0.95367431640625"/>
    <n v="0"/>
    <n v="0.95367431640625"/>
    <n v="700.95062255859375"/>
  </r>
  <r>
    <x v="2"/>
    <n v="1767073757"/>
    <x v="3"/>
    <s v="3.39GB / 8.51GB"/>
    <n v="3232.9559326171875"/>
    <n v="8115.7684326171875"/>
    <n v="11348.724365234375"/>
    <x v="21"/>
    <n v="28.6102294921875"/>
    <n v="76.2939453125"/>
    <n v="104.9041748046875"/>
    <n v="11348.724365234375"/>
  </r>
  <r>
    <x v="2"/>
    <n v="1767073764"/>
    <x v="0"/>
    <s v="1.13GB / 350MB"/>
    <n v="1077.6519775390625"/>
    <n v="333.7860107421875"/>
    <n v="1411.43798828125"/>
    <x v="22"/>
    <n v="0"/>
    <n v="0"/>
    <n v="0"/>
    <n v="1411.43798828125"/>
  </r>
  <r>
    <x v="2"/>
    <n v="1767073764"/>
    <x v="1"/>
    <s v="4.99GB / 5.91GB"/>
    <n v="4758.8348388671875"/>
    <n v="5636.2152099609375"/>
    <n v="10395.050048828125"/>
    <x v="22"/>
    <n v="66.7572021484375"/>
    <n v="0"/>
    <n v="66.7572021484375"/>
    <n v="10395.050048828125"/>
  </r>
  <r>
    <x v="2"/>
    <n v="1767073764"/>
    <x v="2"/>
    <s v="282MB / 453MB"/>
    <n v="268.9361572265625"/>
    <n v="432.01446533203125"/>
    <n v="700.95062255859375"/>
    <x v="22"/>
    <n v="0"/>
    <n v="0"/>
    <n v="0"/>
    <n v="700.95062255859375"/>
  </r>
  <r>
    <x v="2"/>
    <n v="1767073764"/>
    <x v="3"/>
    <s v="3.39GB / 8.51GB"/>
    <n v="3232.9559326171875"/>
    <n v="8115.7684326171875"/>
    <n v="11348.724365234375"/>
    <x v="22"/>
    <n v="0"/>
    <n v="0"/>
    <n v="0"/>
    <n v="11348.724365234375"/>
  </r>
  <r>
    <x v="2"/>
    <n v="1767073772"/>
    <x v="0"/>
    <s v="1.13GB / 356MB"/>
    <n v="1077.6519775390625"/>
    <n v="339.508056640625"/>
    <n v="1417.1600341796875"/>
    <x v="23"/>
    <n v="0"/>
    <n v="5.7220458984375"/>
    <n v="5.7220458984375"/>
    <n v="1417.1600341796875"/>
  </r>
  <r>
    <x v="2"/>
    <n v="1767073772"/>
    <x v="1"/>
    <s v="5.06GB / 5.91GB"/>
    <n v="4825.592041015625"/>
    <n v="5636.2152099609375"/>
    <n v="10461.807250976562"/>
    <x v="23"/>
    <n v="66.7572021484375"/>
    <n v="0"/>
    <n v="66.7572021484375"/>
    <n v="10461.807250976562"/>
  </r>
  <r>
    <x v="2"/>
    <n v="1767073772"/>
    <x v="2"/>
    <s v="282MB / 454MB"/>
    <n v="268.9361572265625"/>
    <n v="432.9681396484375"/>
    <n v="701.904296875"/>
    <x v="23"/>
    <n v="0"/>
    <n v="0.95367431640625"/>
    <n v="0.95367431640625"/>
    <n v="701.904296875"/>
  </r>
  <r>
    <x v="2"/>
    <n v="1767073772"/>
    <x v="3"/>
    <s v="3.39GB / 8.59GB"/>
    <n v="3232.9559326171875"/>
    <n v="8192.0623779296875"/>
    <n v="11425.018310546875"/>
    <x v="23"/>
    <n v="0"/>
    <n v="76.2939453125"/>
    <n v="76.2939453125"/>
    <n v="11425.018310546875"/>
  </r>
  <r>
    <x v="2"/>
    <n v="1767073779"/>
    <x v="0"/>
    <s v="1.13GB / 356MB"/>
    <n v="1077.6519775390625"/>
    <n v="339.508056640625"/>
    <n v="1417.1600341796875"/>
    <x v="24"/>
    <n v="0"/>
    <n v="0"/>
    <n v="0"/>
    <n v="1417.1600341796875"/>
  </r>
  <r>
    <x v="2"/>
    <n v="1767073779"/>
    <x v="1"/>
    <s v="5.06GB / 5.91GB"/>
    <n v="4825.592041015625"/>
    <n v="5636.2152099609375"/>
    <n v="10461.807250976562"/>
    <x v="24"/>
    <n v="0"/>
    <n v="0"/>
    <n v="0"/>
    <n v="10461.807250976562"/>
  </r>
  <r>
    <x v="2"/>
    <n v="1767073779"/>
    <x v="2"/>
    <s v="283MB / 454MB"/>
    <n v="269.88983154296875"/>
    <n v="432.9681396484375"/>
    <n v="702.85797119140625"/>
    <x v="24"/>
    <n v="0.95367431640625"/>
    <n v="0"/>
    <n v="0.95367431640625"/>
    <n v="702.85797119140625"/>
  </r>
  <r>
    <x v="2"/>
    <n v="1767073779"/>
    <x v="3"/>
    <s v="3.4GB / 8.71GB"/>
    <n v="3242.49267578125"/>
    <n v="8306.5032958984375"/>
    <n v="11548.995971679688"/>
    <x v="24"/>
    <n v="9.5367431640625"/>
    <n v="114.44091796875"/>
    <n v="123.9776611328125"/>
    <n v="11548.995971679688"/>
  </r>
  <r>
    <x v="2"/>
    <n v="1767073787"/>
    <x v="0"/>
    <s v="1.13GB / 356MB"/>
    <n v="1077.6519775390625"/>
    <n v="339.508056640625"/>
    <n v="1417.1600341796875"/>
    <x v="25"/>
    <n v="0"/>
    <n v="0"/>
    <n v="0"/>
    <n v="1417.1600341796875"/>
  </r>
  <r>
    <x v="2"/>
    <n v="1767073787"/>
    <x v="1"/>
    <s v="5.14GB / 5.91GB"/>
    <n v="4901.885986328125"/>
    <n v="5636.2152099609375"/>
    <n v="10538.101196289062"/>
    <x v="25"/>
    <n v="76.2939453125"/>
    <n v="0"/>
    <n v="76.2939453125"/>
    <n v="10538.101196289062"/>
  </r>
  <r>
    <x v="2"/>
    <n v="1767073787"/>
    <x v="2"/>
    <s v="283MB / 454MB"/>
    <n v="269.88983154296875"/>
    <n v="432.9681396484375"/>
    <n v="702.85797119140625"/>
    <x v="25"/>
    <n v="0"/>
    <n v="0"/>
    <n v="0"/>
    <n v="702.85797119140625"/>
  </r>
  <r>
    <x v="2"/>
    <n v="1767073787"/>
    <x v="3"/>
    <s v="3.42GB / 8.71GB"/>
    <n v="3261.566162109375"/>
    <n v="8306.5032958984375"/>
    <n v="11568.069458007812"/>
    <x v="25"/>
    <n v="19.073486328125"/>
    <n v="0"/>
    <n v="19.073486328125"/>
    <n v="11568.069458007812"/>
  </r>
  <r>
    <x v="2"/>
    <n v="1767073794"/>
    <x v="0"/>
    <s v="1.13GB / 356MB"/>
    <n v="1077.6519775390625"/>
    <n v="339.508056640625"/>
    <n v="1417.1600341796875"/>
    <x v="26"/>
    <n v="0"/>
    <n v="0"/>
    <n v="0"/>
    <n v="1417.1600341796875"/>
  </r>
  <r>
    <x v="2"/>
    <n v="1767073794"/>
    <x v="1"/>
    <s v="5.2GB / 5.93GB"/>
    <n v="4959.1064453125"/>
    <n v="5655.2886962890625"/>
    <n v="10614.395141601562"/>
    <x v="26"/>
    <n v="57.220458984375"/>
    <n v="19.073486328125"/>
    <n v="76.2939453125"/>
    <n v="10614.395141601562"/>
  </r>
  <r>
    <x v="2"/>
    <n v="1767073794"/>
    <x v="2"/>
    <s v="284MB / 454MB"/>
    <n v="270.843505859375"/>
    <n v="432.9681396484375"/>
    <n v="703.8116455078125"/>
    <x v="26"/>
    <n v="0.95367431640625"/>
    <n v="0"/>
    <n v="0.95367431640625"/>
    <n v="703.8116455078125"/>
  </r>
  <r>
    <x v="2"/>
    <n v="1767073794"/>
    <x v="3"/>
    <s v="3.43GB / 8.74GB"/>
    <n v="3271.1029052734375"/>
    <n v="8335.113525390625"/>
    <n v="11606.216430664062"/>
    <x v="26"/>
    <n v="9.5367431640625"/>
    <n v="28.6102294921875"/>
    <n v="38.14697265625"/>
    <n v="11606.216430664062"/>
  </r>
  <r>
    <x v="2"/>
    <n v="1767073802"/>
    <x v="0"/>
    <s v="1.13GB / 356MB"/>
    <n v="1077.6519775390625"/>
    <n v="339.508056640625"/>
    <n v="1417.1600341796875"/>
    <x v="27"/>
    <n v="0"/>
    <n v="0"/>
    <n v="0"/>
    <n v="1417.1600341796875"/>
  </r>
  <r>
    <x v="2"/>
    <n v="1767073802"/>
    <x v="1"/>
    <s v="5.22GB / 5.93GB"/>
    <n v="4978.179931640625"/>
    <n v="5655.2886962890625"/>
    <n v="10633.468627929688"/>
    <x v="27"/>
    <n v="19.073486328125"/>
    <n v="0"/>
    <n v="19.073486328125"/>
    <n v="10633.468627929688"/>
  </r>
  <r>
    <x v="2"/>
    <n v="1767073802"/>
    <x v="2"/>
    <s v="284MB / 454MB"/>
    <n v="270.843505859375"/>
    <n v="432.9681396484375"/>
    <n v="703.8116455078125"/>
    <x v="27"/>
    <n v="0"/>
    <n v="0"/>
    <n v="0"/>
    <n v="703.8116455078125"/>
  </r>
  <r>
    <x v="2"/>
    <n v="1767073802"/>
    <x v="3"/>
    <s v="3.43GB / 8.87GB"/>
    <n v="3271.1029052734375"/>
    <n v="8459.0911865234375"/>
    <n v="11730.194091796875"/>
    <x v="27"/>
    <n v="0"/>
    <n v="123.9776611328125"/>
    <n v="123.9776611328125"/>
    <n v="11730.194091796875"/>
  </r>
  <r>
    <x v="2"/>
    <n v="1767073810"/>
    <x v="0"/>
    <s v="1.13GB / 356MB"/>
    <n v="1077.6519775390625"/>
    <n v="339.508056640625"/>
    <n v="1417.1600341796875"/>
    <x v="28"/>
    <n v="0"/>
    <n v="0"/>
    <n v="0"/>
    <n v="1417.1600341796875"/>
  </r>
  <r>
    <x v="2"/>
    <n v="1767073810"/>
    <x v="1"/>
    <s v="5.22GB / 5.93GB"/>
    <n v="4978.179931640625"/>
    <n v="5655.2886962890625"/>
    <n v="10633.468627929688"/>
    <x v="28"/>
    <n v="0"/>
    <n v="0"/>
    <n v="0"/>
    <n v="10633.468627929688"/>
  </r>
  <r>
    <x v="2"/>
    <n v="1767073810"/>
    <x v="2"/>
    <s v="285MB / 454MB"/>
    <n v="271.79718017578125"/>
    <n v="432.9681396484375"/>
    <n v="704.76531982421875"/>
    <x v="28"/>
    <n v="0.95367431640625"/>
    <n v="0"/>
    <n v="0.95367431640625"/>
    <n v="704.76531982421875"/>
  </r>
  <r>
    <x v="2"/>
    <n v="1767073810"/>
    <x v="3"/>
    <s v="3.49GB / 8.94GB"/>
    <n v="3328.3233642578125"/>
    <n v="8525.848388671875"/>
    <n v="11854.171752929688"/>
    <x v="28"/>
    <n v="57.220458984375"/>
    <n v="66.7572021484375"/>
    <n v="123.9776611328125"/>
    <n v="11854.171752929688"/>
  </r>
  <r>
    <x v="2"/>
    <n v="1767073817"/>
    <x v="0"/>
    <s v="1.13GB / 356MB"/>
    <n v="1077.6519775390625"/>
    <n v="339.508056640625"/>
    <n v="1417.1600341796875"/>
    <x v="29"/>
    <n v="0"/>
    <n v="0"/>
    <n v="0"/>
    <n v="1417.1600341796875"/>
  </r>
  <r>
    <x v="2"/>
    <n v="1767073817"/>
    <x v="1"/>
    <s v="5.3GB / 5.93GB"/>
    <n v="5054.473876953125"/>
    <n v="5655.2886962890625"/>
    <n v="10709.762573242188"/>
    <x v="29"/>
    <n v="76.2939453125"/>
    <n v="0"/>
    <n v="76.2939453125"/>
    <n v="10709.762573242188"/>
  </r>
  <r>
    <x v="2"/>
    <n v="1767073817"/>
    <x v="2"/>
    <s v="285MB / 454MB"/>
    <n v="271.79718017578125"/>
    <n v="432.9681396484375"/>
    <n v="704.76531982421875"/>
    <x v="29"/>
    <n v="0"/>
    <n v="0"/>
    <n v="0"/>
    <n v="704.76531982421875"/>
  </r>
  <r>
    <x v="2"/>
    <n v="1767073817"/>
    <x v="3"/>
    <s v="3.5GB / 8.94GB"/>
    <n v="3337.860107421875"/>
    <n v="8525.848388671875"/>
    <n v="11863.70849609375"/>
    <x v="29"/>
    <n v="9.5367431640625"/>
    <n v="0"/>
    <n v="9.5367431640625"/>
    <n v="11863.70849609375"/>
  </r>
  <r>
    <x v="2"/>
    <n v="1767073824"/>
    <x v="0"/>
    <s v="1.13GB / 356MB"/>
    <n v="1077.6519775390625"/>
    <n v="339.508056640625"/>
    <n v="1417.1600341796875"/>
    <x v="30"/>
    <n v="0"/>
    <n v="0"/>
    <n v="0"/>
    <n v="1417.1600341796875"/>
  </r>
  <r>
    <x v="2"/>
    <n v="1767073824"/>
    <x v="1"/>
    <s v="5.37GB / 5.94GB"/>
    <n v="5121.2310791015625"/>
    <n v="5664.825439453125"/>
    <n v="10786.056518554688"/>
    <x v="30"/>
    <n v="66.7572021484375"/>
    <n v="9.5367431640625"/>
    <n v="76.2939453125"/>
    <n v="10786.056518554688"/>
  </r>
  <r>
    <x v="2"/>
    <n v="1767073824"/>
    <x v="2"/>
    <s v="286MB / 454MB"/>
    <n v="272.7508544921875"/>
    <n v="432.9681396484375"/>
    <n v="705.718994140625"/>
    <x v="30"/>
    <n v="0.95367431640625"/>
    <n v="0"/>
    <n v="0.95367431640625"/>
    <n v="705.718994140625"/>
  </r>
  <r>
    <x v="2"/>
    <n v="1767073824"/>
    <x v="3"/>
    <s v="3.51GB / 9.07GB"/>
    <n v="3347.3968505859375"/>
    <n v="8649.8260498046875"/>
    <n v="11997.222900390625"/>
    <x v="30"/>
    <n v="9.5367431640625"/>
    <n v="123.9776611328125"/>
    <n v="133.514404296875"/>
    <n v="11997.222900390625"/>
  </r>
  <r>
    <x v="2"/>
    <n v="1767073832"/>
    <x v="0"/>
    <s v="1.13GB / 356MB"/>
    <n v="1077.6519775390625"/>
    <n v="339.508056640625"/>
    <n v="1417.1600341796875"/>
    <x v="31"/>
    <n v="0"/>
    <n v="0"/>
    <n v="0"/>
    <n v="1417.1600341796875"/>
  </r>
  <r>
    <x v="2"/>
    <n v="1767073832"/>
    <x v="1"/>
    <s v="5.37GB / 5.94GB"/>
    <n v="5121.2310791015625"/>
    <n v="5664.825439453125"/>
    <n v="10786.056518554688"/>
    <x v="31"/>
    <n v="0"/>
    <n v="0"/>
    <n v="0"/>
    <n v="10786.056518554688"/>
  </r>
  <r>
    <x v="2"/>
    <n v="1767073832"/>
    <x v="2"/>
    <s v="286MB / 454MB"/>
    <n v="272.7508544921875"/>
    <n v="432.9681396484375"/>
    <n v="705.718994140625"/>
    <x v="31"/>
    <n v="0"/>
    <n v="0"/>
    <n v="0"/>
    <n v="705.718994140625"/>
  </r>
  <r>
    <x v="2"/>
    <n v="1767073832"/>
    <x v="3"/>
    <s v="3.54GB / 9.19GB"/>
    <n v="3376.007080078125"/>
    <n v="8764.2669677734375"/>
    <n v="12140.274047851562"/>
    <x v="31"/>
    <n v="28.6102294921875"/>
    <n v="114.44091796875"/>
    <n v="143.0511474609375"/>
    <n v="12140.274047851562"/>
  </r>
  <r>
    <x v="2"/>
    <n v="1767073839"/>
    <x v="0"/>
    <s v="1.13GB / 356MB"/>
    <n v="1077.6519775390625"/>
    <n v="339.508056640625"/>
    <n v="1417.1600341796875"/>
    <x v="32"/>
    <n v="0"/>
    <n v="0"/>
    <n v="0"/>
    <n v="1417.1600341796875"/>
  </r>
  <r>
    <x v="2"/>
    <n v="1767073839"/>
    <x v="1"/>
    <s v="5.38GB / 5.94GB"/>
    <n v="5130.767822265625"/>
    <n v="5664.825439453125"/>
    <n v="10795.59326171875"/>
    <x v="32"/>
    <n v="9.5367431640625"/>
    <n v="0"/>
    <n v="9.5367431640625"/>
    <n v="10795.59326171875"/>
  </r>
  <r>
    <x v="2"/>
    <n v="1767073839"/>
    <x v="2"/>
    <s v="286MB / 454MB"/>
    <n v="272.7508544921875"/>
    <n v="432.9681396484375"/>
    <n v="705.718994140625"/>
    <x v="32"/>
    <n v="0"/>
    <n v="0"/>
    <n v="0"/>
    <n v="705.718994140625"/>
  </r>
  <r>
    <x v="2"/>
    <n v="1767073839"/>
    <x v="3"/>
    <s v="4.53GB / 10.1GB"/>
    <n v="4320.1446533203125"/>
    <n v="9632.110595703125"/>
    <n v="13952.255249023438"/>
    <x v="32"/>
    <n v="944.1375732421875"/>
    <n v="867.8436279296875"/>
    <n v="1811.981201171875"/>
    <n v="13952.255249023438"/>
  </r>
  <r>
    <x v="2"/>
    <n v="1767073847"/>
    <x v="0"/>
    <s v="1.13GB / 356MB"/>
    <n v="1077.6519775390625"/>
    <n v="339.508056640625"/>
    <n v="1417.1600341796875"/>
    <x v="33"/>
    <n v="0"/>
    <n v="0"/>
    <n v="0"/>
    <n v="1417.1600341796875"/>
  </r>
  <r>
    <x v="2"/>
    <n v="1767073847"/>
    <x v="1"/>
    <s v="5.38GB / 5.94GB"/>
    <n v="5130.767822265625"/>
    <n v="5664.825439453125"/>
    <n v="10795.59326171875"/>
    <x v="33"/>
    <n v="0"/>
    <n v="0"/>
    <n v="0"/>
    <n v="10795.59326171875"/>
  </r>
  <r>
    <x v="2"/>
    <n v="1767073847"/>
    <x v="2"/>
    <s v="287MB / 454MB"/>
    <n v="273.70452880859375"/>
    <n v="432.9681396484375"/>
    <n v="706.67266845703125"/>
    <x v="33"/>
    <n v="0.95367431640625"/>
    <n v="0"/>
    <n v="0.95367431640625"/>
    <n v="706.67266845703125"/>
  </r>
  <r>
    <x v="2"/>
    <n v="1767073847"/>
    <x v="3"/>
    <s v="4.68GB / 10.1GB"/>
    <n v="4463.19580078125"/>
    <n v="9632.110595703125"/>
    <n v="14095.306396484375"/>
    <x v="33"/>
    <n v="143.0511474609375"/>
    <n v="0"/>
    <n v="143.0511474609375"/>
    <n v="14095.306396484375"/>
  </r>
  <r>
    <x v="2"/>
    <n v="1767073854"/>
    <x v="0"/>
    <s v="1.13GB / 356MB"/>
    <n v="1077.6519775390625"/>
    <n v="339.508056640625"/>
    <n v="1417.1600341796875"/>
    <x v="34"/>
    <n v="0"/>
    <n v="0"/>
    <n v="0"/>
    <n v="1417.1600341796875"/>
  </r>
  <r>
    <x v="2"/>
    <n v="1767073854"/>
    <x v="1"/>
    <s v="5.38GB / 5.95GB"/>
    <n v="5130.767822265625"/>
    <n v="5674.3621826171875"/>
    <n v="10805.130004882812"/>
    <x v="34"/>
    <n v="0"/>
    <n v="9.5367431640625"/>
    <n v="9.5367431640625"/>
    <n v="10805.130004882812"/>
  </r>
  <r>
    <x v="2"/>
    <n v="1767073854"/>
    <x v="2"/>
    <s v="287MB / 454MB"/>
    <n v="273.70452880859375"/>
    <n v="432.9681396484375"/>
    <n v="706.67266845703125"/>
    <x v="34"/>
    <n v="0"/>
    <n v="0"/>
    <n v="0"/>
    <n v="706.67266845703125"/>
  </r>
  <r>
    <x v="2"/>
    <n v="1767073854"/>
    <x v="3"/>
    <s v="4.95GB / 10.1GB"/>
    <n v="4720.6878662109375"/>
    <n v="9632.110595703125"/>
    <n v="14352.798461914062"/>
    <x v="34"/>
    <n v="257.4920654296875"/>
    <n v="0"/>
    <n v="257.4920654296875"/>
    <n v="14352.798461914062"/>
  </r>
  <r>
    <x v="2"/>
    <n v="1767073862"/>
    <x v="0"/>
    <s v="1.13GB / 356MB"/>
    <n v="1077.6519775390625"/>
    <n v="339.508056640625"/>
    <n v="1417.1600341796875"/>
    <x v="35"/>
    <n v="0"/>
    <n v="0"/>
    <n v="0"/>
    <n v="1417.1600341796875"/>
  </r>
  <r>
    <x v="2"/>
    <n v="1767073862"/>
    <x v="1"/>
    <s v="5.38GB / 5.95GB"/>
    <n v="5130.767822265625"/>
    <n v="5674.3621826171875"/>
    <n v="10805.130004882812"/>
    <x v="35"/>
    <n v="0"/>
    <n v="0"/>
    <n v="0"/>
    <n v="10805.130004882812"/>
  </r>
  <r>
    <x v="2"/>
    <n v="1767073862"/>
    <x v="2"/>
    <s v="287MB / 455MB"/>
    <n v="273.70452880859375"/>
    <n v="433.92181396484375"/>
    <n v="707.6263427734375"/>
    <x v="35"/>
    <n v="0"/>
    <n v="0.95367431640625"/>
    <n v="0.95367431640625"/>
    <n v="707.6263427734375"/>
  </r>
  <r>
    <x v="2"/>
    <n v="1767073862"/>
    <x v="3"/>
    <s v="5.16GB / 10.2GB"/>
    <n v="4920.95947265625"/>
    <n v="9727.47802734375"/>
    <n v="14648.4375"/>
    <x v="35"/>
    <n v="200.2716064453125"/>
    <n v="95.367431640625"/>
    <n v="295.6390380859375"/>
    <n v="14648.4375"/>
  </r>
  <r>
    <x v="2"/>
    <n v="1767073869"/>
    <x v="0"/>
    <s v="1.14GB / 356MB"/>
    <n v="1087.188720703125"/>
    <n v="339.508056640625"/>
    <n v="1426.69677734375"/>
    <x v="36"/>
    <n v="9.5367431640625"/>
    <n v="0"/>
    <n v="9.5367431640625"/>
    <n v="1426.69677734375"/>
  </r>
  <r>
    <x v="2"/>
    <n v="1767073869"/>
    <x v="1"/>
    <s v="5.39GB / 5.98GB"/>
    <n v="5140.3045654296875"/>
    <n v="5702.972412109375"/>
    <n v="10843.276977539062"/>
    <x v="36"/>
    <n v="9.5367431640625"/>
    <n v="28.6102294921875"/>
    <n v="38.14697265625"/>
    <n v="10843.276977539062"/>
  </r>
  <r>
    <x v="2"/>
    <n v="1767073869"/>
    <x v="2"/>
    <s v="288MB / 455MB"/>
    <n v="274.658203125"/>
    <n v="433.92181396484375"/>
    <n v="708.58001708984375"/>
    <x v="36"/>
    <n v="0.95367431640625"/>
    <n v="0"/>
    <n v="0.95367431640625"/>
    <n v="708.58001708984375"/>
  </r>
  <r>
    <x v="2"/>
    <n v="1767073869"/>
    <x v="3"/>
    <s v="5.25GB / 10.2GB"/>
    <n v="5006.7901611328125"/>
    <n v="9727.47802734375"/>
    <n v="14734.268188476562"/>
    <x v="36"/>
    <n v="85.8306884765625"/>
    <n v="0"/>
    <n v="85.8306884765625"/>
    <n v="14734.268188476562"/>
  </r>
  <r>
    <x v="2"/>
    <n v="1767073876"/>
    <x v="0"/>
    <s v="1.14GB / 356MB"/>
    <n v="1087.188720703125"/>
    <n v="339.508056640625"/>
    <n v="1426.69677734375"/>
    <x v="37"/>
    <n v="0"/>
    <n v="0"/>
    <n v="0"/>
    <n v="1426.69677734375"/>
  </r>
  <r>
    <x v="2"/>
    <n v="1767073876"/>
    <x v="1"/>
    <s v="5.39GB / 5.98GB"/>
    <n v="5140.3045654296875"/>
    <n v="5702.972412109375"/>
    <n v="10843.276977539062"/>
    <x v="37"/>
    <n v="0"/>
    <n v="0"/>
    <n v="0"/>
    <n v="10843.276977539062"/>
  </r>
  <r>
    <x v="2"/>
    <n v="1767073876"/>
    <x v="2"/>
    <s v="292MB / 455MB"/>
    <n v="278.472900390625"/>
    <n v="433.92181396484375"/>
    <n v="712.39471435546875"/>
    <x v="37"/>
    <n v="3.814697265625"/>
    <n v="0"/>
    <n v="3.814697265625"/>
    <n v="712.39471435546875"/>
  </r>
  <r>
    <x v="2"/>
    <n v="1767073876"/>
    <x v="3"/>
    <s v="5.3GB / 10.2GB"/>
    <n v="5054.473876953125"/>
    <n v="9727.47802734375"/>
    <n v="14781.951904296875"/>
    <x v="37"/>
    <n v="47.6837158203125"/>
    <n v="0"/>
    <n v="47.6837158203125"/>
    <n v="14781.951904296875"/>
  </r>
  <r>
    <x v="2"/>
    <n v="1767073883"/>
    <x v="0"/>
    <s v="1.14GB / 356MB"/>
    <n v="1087.188720703125"/>
    <n v="339.508056640625"/>
    <n v="1426.69677734375"/>
    <x v="38"/>
    <n v="0"/>
    <n v="0"/>
    <n v="0"/>
    <n v="1426.69677734375"/>
  </r>
  <r>
    <x v="2"/>
    <n v="1767073883"/>
    <x v="1"/>
    <s v="5.4GB / 5.98GB"/>
    <n v="5149.84130859375"/>
    <n v="5702.972412109375"/>
    <n v="10852.813720703125"/>
    <x v="38"/>
    <n v="9.5367431640625"/>
    <n v="0"/>
    <n v="9.5367431640625"/>
    <n v="10852.813720703125"/>
  </r>
  <r>
    <x v="2"/>
    <n v="1767073883"/>
    <x v="2"/>
    <s v="293MB / 455MB"/>
    <n v="279.42657470703125"/>
    <n v="433.92181396484375"/>
    <n v="713.348388671875"/>
    <x v="38"/>
    <n v="0.95367431640625"/>
    <n v="0"/>
    <n v="0.95367431640625"/>
    <n v="713.348388671875"/>
  </r>
  <r>
    <x v="2"/>
    <n v="1767073883"/>
    <x v="3"/>
    <s v="5.31GB / 10.2GB"/>
    <n v="5064.0106201171875"/>
    <n v="9727.47802734375"/>
    <n v="14791.488647460938"/>
    <x v="38"/>
    <n v="9.5367431640625"/>
    <n v="0"/>
    <n v="9.5367431640625"/>
    <n v="14791.488647460938"/>
  </r>
  <r>
    <x v="2"/>
    <n v="1767073891"/>
    <x v="0"/>
    <s v="1.14GB / 356MB"/>
    <n v="1087.188720703125"/>
    <n v="339.508056640625"/>
    <n v="1426.69677734375"/>
    <x v="39"/>
    <n v="0"/>
    <n v="0"/>
    <n v="0"/>
    <n v="1426.69677734375"/>
  </r>
  <r>
    <x v="2"/>
    <n v="1767073891"/>
    <x v="1"/>
    <s v="5.4GB / 5.98GB"/>
    <n v="5149.84130859375"/>
    <n v="5702.972412109375"/>
    <n v="10852.813720703125"/>
    <x v="39"/>
    <n v="0"/>
    <n v="0"/>
    <n v="0"/>
    <n v="10852.813720703125"/>
  </r>
  <r>
    <x v="2"/>
    <n v="1767073891"/>
    <x v="2"/>
    <s v="293MB / 455MB"/>
    <n v="279.42657470703125"/>
    <n v="433.92181396484375"/>
    <n v="713.348388671875"/>
    <x v="39"/>
    <n v="0"/>
    <n v="0"/>
    <n v="0"/>
    <n v="713.348388671875"/>
  </r>
  <r>
    <x v="2"/>
    <n v="1767073891"/>
    <x v="3"/>
    <s v="5.31GB / 10.2GB"/>
    <n v="5064.0106201171875"/>
    <n v="9727.47802734375"/>
    <n v="14791.488647460938"/>
    <x v="39"/>
    <n v="0"/>
    <n v="0"/>
    <n v="0"/>
    <n v="14791.488647460938"/>
  </r>
  <r>
    <x v="2"/>
    <n v="1767073898"/>
    <x v="0"/>
    <s v="1.14GB / 356MB"/>
    <n v="1087.188720703125"/>
    <n v="339.508056640625"/>
    <n v="1426.69677734375"/>
    <x v="40"/>
    <n v="0"/>
    <n v="0"/>
    <n v="0"/>
    <n v="1426.69677734375"/>
  </r>
  <r>
    <x v="2"/>
    <n v="1767073898"/>
    <x v="1"/>
    <s v="5.4GB / 5.99GB"/>
    <n v="5149.84130859375"/>
    <n v="5712.5091552734375"/>
    <n v="10862.350463867188"/>
    <x v="40"/>
    <n v="0"/>
    <n v="9.5367431640625"/>
    <n v="9.5367431640625"/>
    <n v="10862.350463867188"/>
  </r>
  <r>
    <x v="2"/>
    <n v="1767073898"/>
    <x v="2"/>
    <s v="293MB / 455MB"/>
    <n v="279.42657470703125"/>
    <n v="433.92181396484375"/>
    <n v="713.348388671875"/>
    <x v="40"/>
    <n v="0"/>
    <n v="0"/>
    <n v="0"/>
    <n v="713.348388671875"/>
  </r>
  <r>
    <x v="2"/>
    <n v="1767073898"/>
    <x v="3"/>
    <s v="5.32GB / 10.2GB"/>
    <n v="5073.54736328125"/>
    <n v="9727.47802734375"/>
    <n v="14801.025390625"/>
    <x v="40"/>
    <n v="9.5367431640625"/>
    <n v="0"/>
    <n v="9.5367431640625"/>
    <n v="14801.025390625"/>
  </r>
  <r>
    <x v="3"/>
    <n v="1767073918"/>
    <x v="0"/>
    <s v="1.14GB / 357MB"/>
    <n v="1087.188720703125"/>
    <n v="340.46173095703125"/>
    <n v="1427.6504516601562"/>
    <x v="0"/>
    <n v="0"/>
    <n v="0"/>
    <n v="0"/>
    <n v="1427.6504516601562"/>
  </r>
  <r>
    <x v="3"/>
    <n v="1767073918"/>
    <x v="1"/>
    <s v="5.42GB / 6.4GB"/>
    <n v="5168.914794921875"/>
    <n v="6103.515625"/>
    <n v="11272.430419921875"/>
    <x v="0"/>
    <n v="0"/>
    <n v="0"/>
    <n v="0"/>
    <n v="11272.430419921875"/>
  </r>
  <r>
    <x v="3"/>
    <n v="1767073918"/>
    <x v="2"/>
    <s v="295MB / 455MB"/>
    <n v="281.33392333984375"/>
    <n v="433.92181396484375"/>
    <n v="715.2557373046875"/>
    <x v="0"/>
    <n v="0"/>
    <n v="0"/>
    <n v="0"/>
    <n v="715.2557373046875"/>
  </r>
  <r>
    <x v="3"/>
    <n v="1767073918"/>
    <x v="3"/>
    <s v="5.32GB / 10.2GB"/>
    <n v="5073.54736328125"/>
    <n v="9727.47802734375"/>
    <n v="14801.025390625"/>
    <x v="0"/>
    <n v="0"/>
    <n v="0"/>
    <n v="0"/>
    <n v="14801.025390625"/>
  </r>
  <r>
    <x v="3"/>
    <n v="1767073926"/>
    <x v="0"/>
    <s v="1.14GB / 357MB"/>
    <n v="1087.188720703125"/>
    <n v="340.46173095703125"/>
    <n v="1427.6504516601562"/>
    <x v="1"/>
    <n v="0"/>
    <n v="0"/>
    <n v="0"/>
    <n v="1427.6504516601562"/>
  </r>
  <r>
    <x v="3"/>
    <n v="1767073926"/>
    <x v="1"/>
    <s v="5.42GB / 6.4GB"/>
    <n v="5168.914794921875"/>
    <n v="6103.515625"/>
    <n v="11272.430419921875"/>
    <x v="1"/>
    <n v="0"/>
    <n v="0"/>
    <n v="0"/>
    <n v="11272.430419921875"/>
  </r>
  <r>
    <x v="3"/>
    <n v="1767073926"/>
    <x v="2"/>
    <s v="298MB / 455MB"/>
    <n v="284.1949462890625"/>
    <n v="433.92181396484375"/>
    <n v="718.11676025390625"/>
    <x v="1"/>
    <n v="2.86102294921875"/>
    <n v="0"/>
    <n v="2.86102294921875"/>
    <n v="718.11676025390625"/>
  </r>
  <r>
    <x v="3"/>
    <n v="1767073926"/>
    <x v="3"/>
    <s v="5.32GB / 10.2GB"/>
    <n v="5073.54736328125"/>
    <n v="9727.47802734375"/>
    <n v="14801.025390625"/>
    <x v="1"/>
    <n v="0"/>
    <n v="0"/>
    <n v="0"/>
    <n v="14801.025390625"/>
  </r>
  <r>
    <x v="3"/>
    <n v="1767073933"/>
    <x v="0"/>
    <s v="1.15GB / 369MB"/>
    <n v="1096.7254638671875"/>
    <n v="351.90582275390625"/>
    <n v="1448.6312866210938"/>
    <x v="2"/>
    <n v="9.5367431640625"/>
    <n v="11.444091796875"/>
    <n v="20.9808349609375"/>
    <n v="1448.6312866210938"/>
  </r>
  <r>
    <x v="3"/>
    <n v="1767073933"/>
    <x v="1"/>
    <s v="5.42GB / 6.41GB"/>
    <n v="5168.914794921875"/>
    <n v="6113.0523681640625"/>
    <n v="11281.967163085938"/>
    <x v="2"/>
    <n v="0"/>
    <n v="9.5367431640625"/>
    <n v="9.5367431640625"/>
    <n v="11281.967163085938"/>
  </r>
  <r>
    <x v="3"/>
    <n v="1767073933"/>
    <x v="2"/>
    <s v="299MB / 458MB"/>
    <n v="285.14862060546875"/>
    <n v="436.7828369140625"/>
    <n v="721.93145751953125"/>
    <x v="2"/>
    <n v="0.95367431640625"/>
    <n v="2.86102294921875"/>
    <n v="3.814697265625"/>
    <n v="721.93145751953125"/>
  </r>
  <r>
    <x v="3"/>
    <n v="1767073933"/>
    <x v="3"/>
    <s v="5.33GB / 10.3GB"/>
    <n v="5083.0841064453125"/>
    <n v="9822.845458984375"/>
    <n v="14905.929565429688"/>
    <x v="2"/>
    <n v="9.5367431640625"/>
    <n v="95.367431640625"/>
    <n v="104.9041748046875"/>
    <n v="14905.929565429688"/>
  </r>
  <r>
    <x v="3"/>
    <n v="1767073941"/>
    <x v="0"/>
    <s v="1.15GB / 369MB"/>
    <n v="1096.7254638671875"/>
    <n v="351.90582275390625"/>
    <n v="1448.6312866210938"/>
    <x v="3"/>
    <n v="0"/>
    <n v="0"/>
    <n v="0"/>
    <n v="1448.6312866210938"/>
  </r>
  <r>
    <x v="3"/>
    <n v="1767073941"/>
    <x v="1"/>
    <s v="5.48GB / 6.41GB"/>
    <n v="5226.13525390625"/>
    <n v="6113.0523681640625"/>
    <n v="11339.187622070312"/>
    <x v="3"/>
    <n v="57.220458984375"/>
    <n v="0"/>
    <n v="57.220458984375"/>
    <n v="11339.187622070312"/>
  </r>
  <r>
    <x v="3"/>
    <n v="1767073941"/>
    <x v="2"/>
    <s v="299MB / 458MB"/>
    <n v="285.14862060546875"/>
    <n v="436.7828369140625"/>
    <n v="721.93145751953125"/>
    <x v="3"/>
    <n v="0"/>
    <n v="0"/>
    <n v="0"/>
    <n v="721.93145751953125"/>
  </r>
  <r>
    <x v="3"/>
    <n v="1767073941"/>
    <x v="3"/>
    <s v="5.33GB / 10.3GB"/>
    <n v="5083.0841064453125"/>
    <n v="9822.845458984375"/>
    <n v="14905.929565429688"/>
    <x v="3"/>
    <n v="0"/>
    <n v="0"/>
    <n v="0"/>
    <n v="14905.929565429688"/>
  </r>
  <r>
    <x v="3"/>
    <n v="1767073949"/>
    <x v="0"/>
    <s v="1.15GB / 369MB"/>
    <n v="1096.7254638671875"/>
    <n v="351.90582275390625"/>
    <n v="1448.6312866210938"/>
    <x v="4"/>
    <n v="0"/>
    <n v="0"/>
    <n v="0"/>
    <n v="1448.6312866210938"/>
  </r>
  <r>
    <x v="3"/>
    <n v="1767073949"/>
    <x v="1"/>
    <s v="5.52GB / 6.42GB"/>
    <n v="5264.2822265625"/>
    <n v="6122.589111328125"/>
    <n v="11386.871337890625"/>
    <x v="4"/>
    <n v="38.14697265625"/>
    <n v="9.5367431640625"/>
    <n v="47.6837158203125"/>
    <n v="11386.871337890625"/>
  </r>
  <r>
    <x v="3"/>
    <n v="1767073949"/>
    <x v="2"/>
    <s v="299MB / 458MB"/>
    <n v="285.14862060546875"/>
    <n v="436.7828369140625"/>
    <n v="721.93145751953125"/>
    <x v="4"/>
    <n v="0"/>
    <n v="0"/>
    <n v="0"/>
    <n v="721.93145751953125"/>
  </r>
  <r>
    <x v="3"/>
    <n v="1767073949"/>
    <x v="3"/>
    <s v="5.33GB / 10.3GB"/>
    <n v="5083.0841064453125"/>
    <n v="9822.845458984375"/>
    <n v="14905.929565429688"/>
    <x v="4"/>
    <n v="0"/>
    <n v="0"/>
    <n v="0"/>
    <n v="14905.929565429688"/>
  </r>
  <r>
    <x v="3"/>
    <n v="1767073956"/>
    <x v="0"/>
    <s v="1.15GB / 369MB"/>
    <n v="1096.7254638671875"/>
    <n v="351.90582275390625"/>
    <n v="1448.6312866210938"/>
    <x v="5"/>
    <n v="0"/>
    <n v="0"/>
    <n v="0"/>
    <n v="1448.6312866210938"/>
  </r>
  <r>
    <x v="3"/>
    <n v="1767073956"/>
    <x v="1"/>
    <s v="5.57GB / 6.43GB"/>
    <n v="5311.9659423828125"/>
    <n v="6132.1258544921875"/>
    <n v="11444.091796875"/>
    <x v="5"/>
    <n v="47.6837158203125"/>
    <n v="9.5367431640625"/>
    <n v="57.220458984375"/>
    <n v="11444.091796875"/>
  </r>
  <r>
    <x v="3"/>
    <n v="1767073956"/>
    <x v="2"/>
    <s v="300MB / 458MB"/>
    <n v="286.102294921875"/>
    <n v="436.7828369140625"/>
    <n v="722.8851318359375"/>
    <x v="5"/>
    <n v="0.95367431640625"/>
    <n v="0"/>
    <n v="0.95367431640625"/>
    <n v="722.8851318359375"/>
  </r>
  <r>
    <x v="3"/>
    <n v="1767073956"/>
    <x v="3"/>
    <s v="5.34GB / 10.4GB"/>
    <n v="5092.620849609375"/>
    <n v="9918.212890625"/>
    <n v="15010.833740234375"/>
    <x v="5"/>
    <n v="9.5367431640625"/>
    <n v="95.367431640625"/>
    <n v="104.9041748046875"/>
    <n v="15010.833740234375"/>
  </r>
  <r>
    <x v="3"/>
    <n v="1767073963"/>
    <x v="0"/>
    <s v="1.15GB / 369MB"/>
    <n v="1096.7254638671875"/>
    <n v="351.90582275390625"/>
    <n v="1448.6312866210938"/>
    <x v="6"/>
    <n v="0"/>
    <n v="0"/>
    <n v="0"/>
    <n v="1448.6312866210938"/>
  </r>
  <r>
    <x v="3"/>
    <n v="1767073963"/>
    <x v="1"/>
    <s v="5.57GB / 6.43GB"/>
    <n v="5311.9659423828125"/>
    <n v="6132.1258544921875"/>
    <n v="11444.091796875"/>
    <x v="6"/>
    <n v="0"/>
    <n v="0"/>
    <n v="0"/>
    <n v="11444.091796875"/>
  </r>
  <r>
    <x v="3"/>
    <n v="1767073963"/>
    <x v="2"/>
    <s v="312MB / 458MB"/>
    <n v="297.54638671875"/>
    <n v="436.7828369140625"/>
    <n v="734.3292236328125"/>
    <x v="6"/>
    <n v="11.444091796875"/>
    <n v="0"/>
    <n v="11.444091796875"/>
    <n v="734.3292236328125"/>
  </r>
  <r>
    <x v="3"/>
    <n v="1767073963"/>
    <x v="3"/>
    <s v="5.41GB / 10.5GB"/>
    <n v="5159.3780517578125"/>
    <n v="10013.580322265625"/>
    <n v="15172.958374023438"/>
    <x v="6"/>
    <n v="66.7572021484375"/>
    <n v="95.367431640625"/>
    <n v="162.1246337890625"/>
    <n v="15172.958374023438"/>
  </r>
  <r>
    <x v="3"/>
    <n v="1767073971"/>
    <x v="0"/>
    <s v="1.15GB / 369MB"/>
    <n v="1096.7254638671875"/>
    <n v="351.90582275390625"/>
    <n v="1448.6312866210938"/>
    <x v="7"/>
    <n v="0"/>
    <n v="0"/>
    <n v="0"/>
    <n v="1448.6312866210938"/>
  </r>
  <r>
    <x v="3"/>
    <n v="1767073971"/>
    <x v="1"/>
    <s v="5.62GB / 6.44GB"/>
    <n v="5359.649658203125"/>
    <n v="6141.66259765625"/>
    <n v="11501.312255859375"/>
    <x v="7"/>
    <n v="47.6837158203125"/>
    <n v="9.5367431640625"/>
    <n v="57.220458984375"/>
    <n v="11501.312255859375"/>
  </r>
  <r>
    <x v="3"/>
    <n v="1767073971"/>
    <x v="2"/>
    <s v="312MB / 458MB"/>
    <n v="297.54638671875"/>
    <n v="436.7828369140625"/>
    <n v="734.3292236328125"/>
    <x v="7"/>
    <n v="0"/>
    <n v="0"/>
    <n v="0"/>
    <n v="734.3292236328125"/>
  </r>
  <r>
    <x v="3"/>
    <n v="1767073971"/>
    <x v="3"/>
    <s v="5.46GB / 10.6GB"/>
    <n v="5207.061767578125"/>
    <n v="10108.94775390625"/>
    <n v="15316.009521484375"/>
    <x v="7"/>
    <n v="47.6837158203125"/>
    <n v="95.367431640625"/>
    <n v="143.0511474609375"/>
    <n v="15316.009521484375"/>
  </r>
  <r>
    <x v="3"/>
    <n v="1767073978"/>
    <x v="0"/>
    <s v="1.15GB / 369MB"/>
    <n v="1096.7254638671875"/>
    <n v="351.90582275390625"/>
    <n v="1448.6312866210938"/>
    <x v="8"/>
    <n v="0"/>
    <n v="0"/>
    <n v="0"/>
    <n v="1448.6312866210938"/>
  </r>
  <r>
    <x v="3"/>
    <n v="1767073978"/>
    <x v="1"/>
    <s v="5.67GB / 6.44GB"/>
    <n v="5407.3333740234375"/>
    <n v="6141.66259765625"/>
    <n v="11548.995971679688"/>
    <x v="8"/>
    <n v="47.6837158203125"/>
    <n v="0"/>
    <n v="47.6837158203125"/>
    <n v="11548.995971679688"/>
  </r>
  <r>
    <x v="3"/>
    <n v="1767073978"/>
    <x v="2"/>
    <s v="312MB / 458MB"/>
    <n v="297.54638671875"/>
    <n v="436.7828369140625"/>
    <n v="734.3292236328125"/>
    <x v="8"/>
    <n v="0"/>
    <n v="0"/>
    <n v="0"/>
    <n v="734.3292236328125"/>
  </r>
  <r>
    <x v="3"/>
    <n v="1767073978"/>
    <x v="3"/>
    <s v="5.46GB / 10.6GB"/>
    <n v="5207.061767578125"/>
    <n v="10108.94775390625"/>
    <n v="15316.009521484375"/>
    <x v="8"/>
    <n v="0"/>
    <n v="0"/>
    <n v="0"/>
    <n v="15316.009521484375"/>
  </r>
  <r>
    <x v="3"/>
    <n v="1767073986"/>
    <x v="0"/>
    <s v="1.15GB / 369MB"/>
    <n v="1096.7254638671875"/>
    <n v="351.90582275390625"/>
    <n v="1448.6312866210938"/>
    <x v="9"/>
    <n v="0"/>
    <n v="0"/>
    <n v="0"/>
    <n v="1448.6312866210938"/>
  </r>
  <r>
    <x v="3"/>
    <n v="1767073986"/>
    <x v="1"/>
    <s v="5.71GB / 6.44GB"/>
    <n v="5445.4803466796875"/>
    <n v="6141.66259765625"/>
    <n v="11587.142944335938"/>
    <x v="9"/>
    <n v="38.14697265625"/>
    <n v="0"/>
    <n v="38.14697265625"/>
    <n v="11587.142944335938"/>
  </r>
  <r>
    <x v="3"/>
    <n v="1767073986"/>
    <x v="2"/>
    <s v="312MB / 458MB"/>
    <n v="297.54638671875"/>
    <n v="436.7828369140625"/>
    <n v="734.3292236328125"/>
    <x v="9"/>
    <n v="0"/>
    <n v="0"/>
    <n v="0"/>
    <n v="734.3292236328125"/>
  </r>
  <r>
    <x v="3"/>
    <n v="1767073986"/>
    <x v="3"/>
    <s v="5.46GB / 10.6GB"/>
    <n v="5207.061767578125"/>
    <n v="10108.94775390625"/>
    <n v="15316.009521484375"/>
    <x v="9"/>
    <n v="0"/>
    <n v="0"/>
    <n v="0"/>
    <n v="15316.009521484375"/>
  </r>
  <r>
    <x v="3"/>
    <n v="1767073993"/>
    <x v="0"/>
    <s v="1.15GB / 369MB"/>
    <n v="1096.7254638671875"/>
    <n v="351.90582275390625"/>
    <n v="1448.6312866210938"/>
    <x v="10"/>
    <n v="0"/>
    <n v="0"/>
    <n v="0"/>
    <n v="1448.6312866210938"/>
  </r>
  <r>
    <x v="3"/>
    <n v="1767073993"/>
    <x v="1"/>
    <s v="5.71GB / 6.44GB"/>
    <n v="5445.4803466796875"/>
    <n v="6141.66259765625"/>
    <n v="11587.142944335938"/>
    <x v="10"/>
    <n v="0"/>
    <n v="0"/>
    <n v="0"/>
    <n v="11587.142944335938"/>
  </r>
  <r>
    <x v="3"/>
    <n v="1767073993"/>
    <x v="2"/>
    <s v="312MB / 458MB"/>
    <n v="297.54638671875"/>
    <n v="436.7828369140625"/>
    <n v="734.3292236328125"/>
    <x v="10"/>
    <n v="0"/>
    <n v="0"/>
    <n v="0"/>
    <n v="734.3292236328125"/>
  </r>
  <r>
    <x v="3"/>
    <n v="1767073993"/>
    <x v="3"/>
    <s v="5.53GB / 10.8GB"/>
    <n v="5273.8189697265625"/>
    <n v="10299.6826171875"/>
    <n v="15573.501586914062"/>
    <x v="10"/>
    <n v="66.7572021484375"/>
    <n v="190.73486328125"/>
    <n v="257.4920654296875"/>
    <n v="15573.501586914062"/>
  </r>
  <r>
    <x v="3"/>
    <n v="1767074001"/>
    <x v="0"/>
    <s v="1.15GB / 369MB"/>
    <n v="1096.7254638671875"/>
    <n v="351.90582275390625"/>
    <n v="1448.6312866210938"/>
    <x v="11"/>
    <n v="0"/>
    <n v="0"/>
    <n v="0"/>
    <n v="1448.6312866210938"/>
  </r>
  <r>
    <x v="3"/>
    <n v="1767074001"/>
    <x v="1"/>
    <s v="5.77GB / 6.44GB"/>
    <n v="5502.7008056640625"/>
    <n v="6141.66259765625"/>
    <n v="11644.363403320312"/>
    <x v="11"/>
    <n v="57.220458984375"/>
    <n v="0"/>
    <n v="57.220458984375"/>
    <n v="11644.363403320312"/>
  </r>
  <r>
    <x v="3"/>
    <n v="1767074001"/>
    <x v="2"/>
    <s v="312MB / 458MB"/>
    <n v="297.54638671875"/>
    <n v="436.7828369140625"/>
    <n v="734.3292236328125"/>
    <x v="11"/>
    <n v="0"/>
    <n v="0"/>
    <n v="0"/>
    <n v="734.3292236328125"/>
  </r>
  <r>
    <x v="3"/>
    <n v="1767074001"/>
    <x v="3"/>
    <s v="5.55GB / 10.8GB"/>
    <n v="5292.8924560546875"/>
    <n v="10299.6826171875"/>
    <n v="15592.575073242188"/>
    <x v="11"/>
    <n v="19.073486328125"/>
    <n v="0"/>
    <n v="19.073486328125"/>
    <n v="15592.575073242188"/>
  </r>
  <r>
    <x v="3"/>
    <n v="1767074008"/>
    <x v="0"/>
    <s v="1.15GB / 369MB"/>
    <n v="1096.7254638671875"/>
    <n v="351.90582275390625"/>
    <n v="1448.6312866210938"/>
    <x v="12"/>
    <n v="0"/>
    <n v="0"/>
    <n v="0"/>
    <n v="1448.6312866210938"/>
  </r>
  <r>
    <x v="3"/>
    <n v="1767074008"/>
    <x v="1"/>
    <s v="5.82GB / 6.44GB"/>
    <n v="5550.384521484375"/>
    <n v="6141.66259765625"/>
    <n v="11692.047119140625"/>
    <x v="12"/>
    <n v="47.6837158203125"/>
    <n v="0"/>
    <n v="47.6837158203125"/>
    <n v="11692.047119140625"/>
  </r>
  <r>
    <x v="3"/>
    <n v="1767074008"/>
    <x v="2"/>
    <s v="312MB / 459MB"/>
    <n v="297.54638671875"/>
    <n v="437.73651123046875"/>
    <n v="735.28289794921875"/>
    <x v="12"/>
    <n v="0"/>
    <n v="0.95367431640625"/>
    <n v="0.95367431640625"/>
    <n v="735.28289794921875"/>
  </r>
  <r>
    <x v="3"/>
    <n v="1767074008"/>
    <x v="3"/>
    <s v="5.55GB / 10.9GB"/>
    <n v="5292.8924560546875"/>
    <n v="10395.050048828125"/>
    <n v="15687.942504882812"/>
    <x v="12"/>
    <n v="0"/>
    <n v="95.367431640625"/>
    <n v="95.367431640625"/>
    <n v="15687.942504882812"/>
  </r>
  <r>
    <x v="3"/>
    <n v="1767074016"/>
    <x v="0"/>
    <s v="1.15GB / 369MB"/>
    <n v="1096.7254638671875"/>
    <n v="351.90582275390625"/>
    <n v="1448.6312866210938"/>
    <x v="13"/>
    <n v="0"/>
    <n v="0"/>
    <n v="0"/>
    <n v="1448.6312866210938"/>
  </r>
  <r>
    <x v="3"/>
    <n v="1767074016"/>
    <x v="1"/>
    <s v="5.85GB / 6.44GB"/>
    <n v="5578.9947509765625"/>
    <n v="6141.66259765625"/>
    <n v="11720.657348632812"/>
    <x v="13"/>
    <n v="28.6102294921875"/>
    <n v="0"/>
    <n v="28.6102294921875"/>
    <n v="11720.657348632812"/>
  </r>
  <r>
    <x v="3"/>
    <n v="1767074016"/>
    <x v="2"/>
    <s v="312MB / 459MB"/>
    <n v="297.54638671875"/>
    <n v="437.73651123046875"/>
    <n v="735.28289794921875"/>
    <x v="13"/>
    <n v="0"/>
    <n v="0"/>
    <n v="0"/>
    <n v="735.28289794921875"/>
  </r>
  <r>
    <x v="3"/>
    <n v="1767074016"/>
    <x v="3"/>
    <s v="5.55GB / 11GB"/>
    <n v="5292.8924560546875"/>
    <n v="10490.41748046875"/>
    <n v="15783.309936523438"/>
    <x v="13"/>
    <n v="0"/>
    <n v="95.367431640625"/>
    <n v="95.367431640625"/>
    <n v="15783.309936523438"/>
  </r>
  <r>
    <x v="3"/>
    <n v="1767074023"/>
    <x v="0"/>
    <s v="1.15GB / 369MB"/>
    <n v="1096.7254638671875"/>
    <n v="351.90582275390625"/>
    <n v="1448.6312866210938"/>
    <x v="14"/>
    <n v="0"/>
    <n v="0"/>
    <n v="0"/>
    <n v="1448.6312866210938"/>
  </r>
  <r>
    <x v="3"/>
    <n v="1767074023"/>
    <x v="1"/>
    <s v="5.85GB / 6.44GB"/>
    <n v="5578.9947509765625"/>
    <n v="6141.66259765625"/>
    <n v="11720.657348632812"/>
    <x v="14"/>
    <n v="0"/>
    <n v="0"/>
    <n v="0"/>
    <n v="11720.657348632812"/>
  </r>
  <r>
    <x v="3"/>
    <n v="1767074023"/>
    <x v="2"/>
    <s v="313MB / 459MB"/>
    <n v="298.50006103515625"/>
    <n v="437.73651123046875"/>
    <n v="736.236572265625"/>
    <x v="14"/>
    <n v="0.95367431640625"/>
    <n v="0"/>
    <n v="0.95367431640625"/>
    <n v="736.236572265625"/>
  </r>
  <r>
    <x v="3"/>
    <n v="1767074023"/>
    <x v="3"/>
    <s v="5.6GB / 11.1GB"/>
    <n v="5340.576171875"/>
    <n v="10585.784912109375"/>
    <n v="15926.361083984375"/>
    <x v="14"/>
    <n v="47.6837158203125"/>
    <n v="95.367431640625"/>
    <n v="143.0511474609375"/>
    <n v="15926.361083984375"/>
  </r>
  <r>
    <x v="3"/>
    <n v="1767074031"/>
    <x v="0"/>
    <s v="1.16GB / 369MB"/>
    <n v="1106.26220703125"/>
    <n v="351.90582275390625"/>
    <n v="1458.1680297851562"/>
    <x v="15"/>
    <n v="9.5367431640625"/>
    <n v="0"/>
    <n v="9.5367431640625"/>
    <n v="1458.1680297851562"/>
  </r>
  <r>
    <x v="3"/>
    <n v="1767074031"/>
    <x v="1"/>
    <s v="5.87GB / 6.44GB"/>
    <n v="5598.0682373046875"/>
    <n v="6141.66259765625"/>
    <n v="11739.730834960938"/>
    <x v="15"/>
    <n v="19.073486328125"/>
    <n v="0"/>
    <n v="19.073486328125"/>
    <n v="11739.730834960938"/>
  </r>
  <r>
    <x v="3"/>
    <n v="1767074031"/>
    <x v="2"/>
    <s v="313MB / 459MB"/>
    <n v="298.50006103515625"/>
    <n v="437.73651123046875"/>
    <n v="736.236572265625"/>
    <x v="15"/>
    <n v="0"/>
    <n v="0"/>
    <n v="0"/>
    <n v="736.236572265625"/>
  </r>
  <r>
    <x v="3"/>
    <n v="1767074031"/>
    <x v="3"/>
    <s v="5.61GB / 11.1GB"/>
    <n v="5350.1129150390625"/>
    <n v="10585.784912109375"/>
    <n v="15935.897827148438"/>
    <x v="15"/>
    <n v="9.5367431640625"/>
    <n v="0"/>
    <n v="9.5367431640625"/>
    <n v="15935.897827148438"/>
  </r>
  <r>
    <x v="3"/>
    <n v="1767074038"/>
    <x v="0"/>
    <s v="1.16GB / 369MB"/>
    <n v="1106.26220703125"/>
    <n v="351.90582275390625"/>
    <n v="1458.1680297851562"/>
    <x v="16"/>
    <n v="0"/>
    <n v="0"/>
    <n v="0"/>
    <n v="1458.1680297851562"/>
  </r>
  <r>
    <x v="3"/>
    <n v="1767074038"/>
    <x v="1"/>
    <s v="5.87GB / 6.46GB"/>
    <n v="5598.0682373046875"/>
    <n v="6160.736083984375"/>
    <n v="11758.804321289062"/>
    <x v="16"/>
    <n v="0"/>
    <n v="19.073486328125"/>
    <n v="19.073486328125"/>
    <n v="11758.804321289062"/>
  </r>
  <r>
    <x v="3"/>
    <n v="1767074038"/>
    <x v="2"/>
    <s v="313MB / 459MB"/>
    <n v="298.50006103515625"/>
    <n v="437.73651123046875"/>
    <n v="736.236572265625"/>
    <x v="16"/>
    <n v="0"/>
    <n v="0"/>
    <n v="0"/>
    <n v="736.236572265625"/>
  </r>
  <r>
    <x v="3"/>
    <n v="1767074038"/>
    <x v="3"/>
    <s v="5.96GB / 11.5GB"/>
    <n v="5683.89892578125"/>
    <n v="10967.254638671875"/>
    <n v="16651.153564453125"/>
    <x v="16"/>
    <n v="333.7860107421875"/>
    <n v="381.4697265625"/>
    <n v="715.2557373046875"/>
    <n v="16651.153564453125"/>
  </r>
  <r>
    <x v="3"/>
    <n v="1767074046"/>
    <x v="0"/>
    <s v="1.16GB / 370MB"/>
    <n v="1106.26220703125"/>
    <n v="352.8594970703125"/>
    <n v="1459.1217041015625"/>
    <x v="17"/>
    <n v="0"/>
    <n v="0.95367431640625"/>
    <n v="0.95367431640625"/>
    <n v="1459.1217041015625"/>
  </r>
  <r>
    <x v="3"/>
    <n v="1767074046"/>
    <x v="1"/>
    <s v="5.87GB / 6.47GB"/>
    <n v="5598.0682373046875"/>
    <n v="6170.2728271484375"/>
    <n v="11768.341064453125"/>
    <x v="17"/>
    <n v="0"/>
    <n v="9.5367431640625"/>
    <n v="9.5367431640625"/>
    <n v="11768.341064453125"/>
  </r>
  <r>
    <x v="3"/>
    <n v="1767074046"/>
    <x v="2"/>
    <s v="324MB / 459MB"/>
    <n v="308.990478515625"/>
    <n v="437.73651123046875"/>
    <n v="746.72698974609375"/>
    <x v="17"/>
    <n v="10.49041748046875"/>
    <n v="0"/>
    <n v="10.49041748046875"/>
    <n v="746.72698974609375"/>
  </r>
  <r>
    <x v="3"/>
    <n v="1767074046"/>
    <x v="3"/>
    <s v="6.07GB / 11.5GB"/>
    <n v="5788.8031005859375"/>
    <n v="10967.254638671875"/>
    <n v="16756.057739257812"/>
    <x v="17"/>
    <n v="104.9041748046875"/>
    <n v="0"/>
    <n v="104.9041748046875"/>
    <n v="16756.057739257812"/>
  </r>
  <r>
    <x v="3"/>
    <n v="1767074054"/>
    <x v="0"/>
    <s v="1.16GB / 370MB"/>
    <n v="1106.26220703125"/>
    <n v="352.8594970703125"/>
    <n v="1459.1217041015625"/>
    <x v="18"/>
    <n v="0"/>
    <n v="0"/>
    <n v="0"/>
    <n v="1459.1217041015625"/>
  </r>
  <r>
    <x v="3"/>
    <n v="1767074054"/>
    <x v="1"/>
    <s v="5.88GB / 6.47GB"/>
    <n v="5607.60498046875"/>
    <n v="6170.2728271484375"/>
    <n v="11777.877807617188"/>
    <x v="18"/>
    <n v="9.5367431640625"/>
    <n v="0"/>
    <n v="9.5367431640625"/>
    <n v="11777.877807617188"/>
  </r>
  <r>
    <x v="3"/>
    <n v="1767074054"/>
    <x v="2"/>
    <s v="325MB / 459MB"/>
    <n v="309.94415283203125"/>
    <n v="437.73651123046875"/>
    <n v="747.6806640625"/>
    <x v="18"/>
    <n v="0.95367431640625"/>
    <n v="0"/>
    <n v="0.95367431640625"/>
    <n v="747.6806640625"/>
  </r>
  <r>
    <x v="3"/>
    <n v="1767074054"/>
    <x v="3"/>
    <s v="6.11GB / 11.5GB"/>
    <n v="5826.9500732421875"/>
    <n v="10967.254638671875"/>
    <n v="16794.204711914062"/>
    <x v="18"/>
    <n v="38.14697265625"/>
    <n v="0"/>
    <n v="38.14697265625"/>
    <n v="16794.204711914062"/>
  </r>
  <r>
    <x v="3"/>
    <n v="1767074061"/>
    <x v="0"/>
    <s v="1.16GB / 370MB"/>
    <n v="1106.26220703125"/>
    <n v="352.8594970703125"/>
    <n v="1459.1217041015625"/>
    <x v="19"/>
    <n v="0"/>
    <n v="0"/>
    <n v="0"/>
    <n v="1459.1217041015625"/>
  </r>
  <r>
    <x v="3"/>
    <n v="1767074061"/>
    <x v="1"/>
    <s v="5.88GB / 6.47GB"/>
    <n v="5607.60498046875"/>
    <n v="6170.2728271484375"/>
    <n v="11777.877807617188"/>
    <x v="19"/>
    <n v="0"/>
    <n v="0"/>
    <n v="0"/>
    <n v="11777.877807617188"/>
  </r>
  <r>
    <x v="3"/>
    <n v="1767074061"/>
    <x v="2"/>
    <s v="326MB / 459MB"/>
    <n v="310.8978271484375"/>
    <n v="437.73651123046875"/>
    <n v="748.63433837890625"/>
    <x v="19"/>
    <n v="0.95367431640625"/>
    <n v="0"/>
    <n v="0.95367431640625"/>
    <n v="748.63433837890625"/>
  </r>
  <r>
    <x v="3"/>
    <n v="1767074061"/>
    <x v="3"/>
    <s v="6.13GB / 11.5GB"/>
    <n v="5846.0235595703125"/>
    <n v="10967.254638671875"/>
    <n v="16813.278198242188"/>
    <x v="19"/>
    <n v="19.073486328125"/>
    <n v="0"/>
    <n v="19.073486328125"/>
    <n v="16813.278198242188"/>
  </r>
  <r>
    <x v="3"/>
    <n v="1767074069"/>
    <x v="0"/>
    <s v="1.16GB / 370MB"/>
    <n v="1106.26220703125"/>
    <n v="352.8594970703125"/>
    <n v="1459.1217041015625"/>
    <x v="20"/>
    <n v="0"/>
    <n v="0"/>
    <n v="0"/>
    <n v="1459.1217041015625"/>
  </r>
  <r>
    <x v="3"/>
    <n v="1767074069"/>
    <x v="1"/>
    <s v="5.88GB / 6.47GB"/>
    <n v="5607.60498046875"/>
    <n v="6170.2728271484375"/>
    <n v="11777.877807617188"/>
    <x v="20"/>
    <n v="0"/>
    <n v="0"/>
    <n v="0"/>
    <n v="11777.877807617188"/>
  </r>
  <r>
    <x v="3"/>
    <n v="1767074069"/>
    <x v="2"/>
    <s v="328MB / 459MB"/>
    <n v="312.80517578125"/>
    <n v="437.73651123046875"/>
    <n v="750.54168701171875"/>
    <x v="20"/>
    <n v="1.9073486328125"/>
    <n v="0"/>
    <n v="1.9073486328125"/>
    <n v="750.54168701171875"/>
  </r>
  <r>
    <x v="3"/>
    <n v="1767074069"/>
    <x v="3"/>
    <s v="6.14GB / 11.5GB"/>
    <n v="5855.560302734375"/>
    <n v="10967.254638671875"/>
    <n v="16822.81494140625"/>
    <x v="20"/>
    <n v="9.5367431640625"/>
    <n v="0"/>
    <n v="9.5367431640625"/>
    <n v="16822.81494140625"/>
  </r>
  <r>
    <x v="3"/>
    <n v="1767074076"/>
    <x v="0"/>
    <s v="1.16GB / 370MB"/>
    <n v="1106.26220703125"/>
    <n v="352.8594970703125"/>
    <n v="1459.1217041015625"/>
    <x v="21"/>
    <n v="0"/>
    <n v="0"/>
    <n v="0"/>
    <n v="1459.1217041015625"/>
  </r>
  <r>
    <x v="3"/>
    <n v="1767074076"/>
    <x v="1"/>
    <s v="5.88GB / 6.48GB"/>
    <n v="5607.60498046875"/>
    <n v="6179.8095703125"/>
    <n v="11787.41455078125"/>
    <x v="21"/>
    <n v="0"/>
    <n v="9.5367431640625"/>
    <n v="9.5367431640625"/>
    <n v="11787.41455078125"/>
  </r>
  <r>
    <x v="3"/>
    <n v="1767074076"/>
    <x v="2"/>
    <s v="328MB / 459MB"/>
    <n v="312.80517578125"/>
    <n v="437.73651123046875"/>
    <n v="750.54168701171875"/>
    <x v="21"/>
    <n v="0"/>
    <n v="0"/>
    <n v="0"/>
    <n v="750.54168701171875"/>
  </r>
  <r>
    <x v="3"/>
    <n v="1767074076"/>
    <x v="3"/>
    <s v="6.14GB / 11.5GB"/>
    <n v="5855.560302734375"/>
    <n v="10967.254638671875"/>
    <n v="16822.81494140625"/>
    <x v="21"/>
    <n v="0"/>
    <n v="0"/>
    <n v="0"/>
    <n v="16822.81494140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EABAF-6FB7-4D4C-9C6D-A2D1B1A48003}"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46" firstHeaderRow="1" firstDataRow="2" firstDataCol="1"/>
  <pivotFields count="12">
    <pivotField axis="axisCol" showAll="0">
      <items count="5">
        <item x="1"/>
        <item x="0"/>
        <item x="2"/>
        <item x="3"/>
        <item t="default"/>
      </items>
    </pivotField>
    <pivotField showAll="0"/>
    <pivotField showAll="0"/>
    <pivotField showAll="0"/>
    <pivotField numFmtId="2" showAll="0"/>
    <pivotField numFmtId="2" showAll="0"/>
    <pivotField dataField="1"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numFmtId="2" showAll="0"/>
    <pivotField numFmtId="2" showAll="0"/>
  </pivotFields>
  <rowFields count="1">
    <field x="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0"/>
  </colFields>
  <colItems count="5">
    <i>
      <x/>
    </i>
    <i>
      <x v="1"/>
    </i>
    <i>
      <x v="2"/>
    </i>
    <i>
      <x v="3"/>
    </i>
    <i t="grand">
      <x/>
    </i>
  </colItems>
  <dataFields count="1">
    <dataField name="Sum of blk_total_mib" fld="6" baseField="0" baseItem="0" numFmtId="2"/>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A37223-064E-C444-9F93-924BB6484D14}"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46" firstHeaderRow="1" firstDataRow="2" firstDataCol="1"/>
  <pivotFields count="12">
    <pivotField axis="axisCol" showAll="0">
      <items count="5">
        <item x="1"/>
        <item x="0"/>
        <item x="2"/>
        <item x="3"/>
        <item t="default"/>
      </items>
    </pivotField>
    <pivotField showAll="0"/>
    <pivotField showAll="0"/>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0"/>
  </colFields>
  <colItems count="5">
    <i>
      <x/>
    </i>
    <i>
      <x v="1"/>
    </i>
    <i>
      <x v="2"/>
    </i>
    <i>
      <x v="3"/>
    </i>
    <i t="grand">
      <x/>
    </i>
  </colItems>
  <dataFields count="1">
    <dataField name="Sum of blk_total_mib_delta" fld="10" baseField="0" baseItem="0" numFmtId="2"/>
  </dataFields>
  <chartFormats count="8">
    <chartFormat chart="2" format="12" series="1">
      <pivotArea type="data" outline="0" fieldPosition="0">
        <references count="1">
          <reference field="0" count="1" selected="0">
            <x v="0"/>
          </reference>
        </references>
      </pivotArea>
    </chartFormat>
    <chartFormat chart="2" format="13" series="1">
      <pivotArea type="data" outline="0" fieldPosition="0">
        <references count="1">
          <reference field="0" count="1" selected="0">
            <x v="1"/>
          </reference>
        </references>
      </pivotArea>
    </chartFormat>
    <chartFormat chart="2" format="14" series="1">
      <pivotArea type="data" outline="0" fieldPosition="0">
        <references count="1">
          <reference field="0" count="1" selected="0">
            <x v="2"/>
          </reference>
        </references>
      </pivotArea>
    </chartFormat>
    <chartFormat chart="2" format="15" series="1">
      <pivotArea type="data" outline="0" fieldPosition="0">
        <references count="1">
          <reference field="0" count="1" selected="0">
            <x v="3"/>
          </reference>
        </references>
      </pivotArea>
    </chartFormat>
    <chartFormat chart="4" format="20" series="1">
      <pivotArea type="data" outline="0" fieldPosition="0">
        <references count="2">
          <reference field="4294967294" count="1" selected="0">
            <x v="0"/>
          </reference>
          <reference field="0" count="1" selected="0">
            <x v="0"/>
          </reference>
        </references>
      </pivotArea>
    </chartFormat>
    <chartFormat chart="4" format="21" series="1">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2">
          <reference field="4294967294" count="1" selected="0">
            <x v="0"/>
          </reference>
          <reference field="0" count="1" selected="0">
            <x v="2"/>
          </reference>
        </references>
      </pivotArea>
    </chartFormat>
    <chartFormat chart="4" format="23"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09EB71-4963-9344-AC53-FBAF4413C00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F13" firstHeaderRow="1" firstDataRow="2" firstDataCol="1" rowPageCount="1" colPageCount="1"/>
  <pivotFields count="12">
    <pivotField axis="axisPage" showAll="0">
      <items count="5">
        <item x="1"/>
        <item x="0"/>
        <item x="2"/>
        <item x="3"/>
        <item t="default"/>
      </items>
    </pivotField>
    <pivotField showAll="0"/>
    <pivotField axis="axisCol"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9">
    <i>
      <x/>
    </i>
    <i>
      <x v="1"/>
    </i>
    <i>
      <x v="2"/>
    </i>
    <i>
      <x v="3"/>
    </i>
    <i>
      <x v="4"/>
    </i>
    <i>
      <x v="5"/>
    </i>
    <i>
      <x v="6"/>
    </i>
    <i>
      <x v="7"/>
    </i>
    <i t="grand">
      <x/>
    </i>
  </rowItems>
  <colFields count="1">
    <field x="2"/>
  </colFields>
  <colItems count="5">
    <i>
      <x/>
    </i>
    <i>
      <x v="1"/>
    </i>
    <i>
      <x v="2"/>
    </i>
    <i>
      <x v="3"/>
    </i>
    <i t="grand">
      <x/>
    </i>
  </colItems>
  <pageFields count="1">
    <pageField fld="0" item="1" hier="-1"/>
  </pageFields>
  <dataFields count="1">
    <dataField name="Sum of blk_total_mib_delta" fld="10" baseField="0" baseItem="0" numFmtId="2"/>
  </dataFields>
  <chartFormats count="29">
    <chartFormat chart="2" format="12" series="1">
      <pivotArea type="data" outline="0" fieldPosition="0">
        <references count="1">
          <reference field="0" count="1" selected="0">
            <x v="0"/>
          </reference>
        </references>
      </pivotArea>
    </chartFormat>
    <chartFormat chart="2" format="13" series="1">
      <pivotArea type="data" outline="0" fieldPosition="0">
        <references count="1">
          <reference field="0" count="1" selected="0">
            <x v="1"/>
          </reference>
        </references>
      </pivotArea>
    </chartFormat>
    <chartFormat chart="2" format="14" series="1">
      <pivotArea type="data" outline="0" fieldPosition="0">
        <references count="1">
          <reference field="0" count="1" selected="0">
            <x v="2"/>
          </reference>
        </references>
      </pivotArea>
    </chartFormat>
    <chartFormat chart="2" format="15" series="1">
      <pivotArea type="data" outline="0" fieldPosition="0">
        <references count="1">
          <reference field="0" count="1" selected="0">
            <x v="3"/>
          </reference>
        </references>
      </pivotArea>
    </chartFormat>
    <chartFormat chart="4" format="20" series="1">
      <pivotArea type="data" outline="0" fieldPosition="0">
        <references count="2">
          <reference field="4294967294" count="1" selected="0">
            <x v="0"/>
          </reference>
          <reference field="0" count="1" selected="0">
            <x v="0"/>
          </reference>
        </references>
      </pivotArea>
    </chartFormat>
    <chartFormat chart="4" format="21" series="1">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2">
          <reference field="4294967294" count="1" selected="0">
            <x v="0"/>
          </reference>
          <reference field="0" count="1" selected="0">
            <x v="2"/>
          </reference>
        </references>
      </pivotArea>
    </chartFormat>
    <chartFormat chart="4" format="23" series="1">
      <pivotArea type="data" outline="0" fieldPosition="0">
        <references count="2">
          <reference field="4294967294" count="1" selected="0">
            <x v="0"/>
          </reference>
          <reference field="0" count="1" selected="0">
            <x v="3"/>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2">
          <reference field="4294967294" count="1" selected="0">
            <x v="0"/>
          </reference>
          <reference field="2" count="1" selected="0">
            <x v="1"/>
          </reference>
        </references>
      </pivotArea>
    </chartFormat>
    <chartFormat chart="4" format="26" series="1">
      <pivotArea type="data" outline="0" fieldPosition="0">
        <references count="2">
          <reference field="4294967294" count="1" selected="0">
            <x v="0"/>
          </reference>
          <reference field="2" count="1" selected="0">
            <x v="2"/>
          </reference>
        </references>
      </pivotArea>
    </chartFormat>
    <chartFormat chart="4" format="27" series="1">
      <pivotArea type="data" outline="0" fieldPosition="0">
        <references count="2">
          <reference field="4294967294" count="1" selected="0">
            <x v="0"/>
          </reference>
          <reference field="2" count="1" selected="0">
            <x v="3"/>
          </reference>
        </references>
      </pivotArea>
    </chartFormat>
    <chartFormat chart="4" format="28" series="1">
      <pivotArea type="data" outline="0" fieldPosition="0">
        <references count="2">
          <reference field="4294967294" count="1" selected="0">
            <x v="0"/>
          </reference>
          <reference field="2" count="1" selected="0">
            <x v="0"/>
          </reference>
        </references>
      </pivotArea>
    </chartFormat>
    <chartFormat chart="9" format="33" series="1">
      <pivotArea type="data" outline="0" fieldPosition="0">
        <references count="2">
          <reference field="4294967294" count="1" selected="0">
            <x v="0"/>
          </reference>
          <reference field="2" count="1" selected="0">
            <x v="0"/>
          </reference>
        </references>
      </pivotArea>
    </chartFormat>
    <chartFormat chart="9" format="34" series="1">
      <pivotArea type="data" outline="0" fieldPosition="0">
        <references count="2">
          <reference field="4294967294" count="1" selected="0">
            <x v="0"/>
          </reference>
          <reference field="2" count="1" selected="0">
            <x v="1"/>
          </reference>
        </references>
      </pivotArea>
    </chartFormat>
    <chartFormat chart="9" format="35" series="1">
      <pivotArea type="data" outline="0" fieldPosition="0">
        <references count="2">
          <reference field="4294967294" count="1" selected="0">
            <x v="0"/>
          </reference>
          <reference field="2" count="1" selected="0">
            <x v="2"/>
          </reference>
        </references>
      </pivotArea>
    </chartFormat>
    <chartFormat chart="9" format="36" series="1">
      <pivotArea type="data" outline="0" fieldPosition="0">
        <references count="2">
          <reference field="4294967294" count="1" selected="0">
            <x v="0"/>
          </reference>
          <reference field="2" count="1" selected="0">
            <x v="3"/>
          </reference>
        </references>
      </pivotArea>
    </chartFormat>
    <chartFormat chart="11" format="33" series="1">
      <pivotArea type="data" outline="0" fieldPosition="0">
        <references count="2">
          <reference field="4294967294" count="1" selected="0">
            <x v="0"/>
          </reference>
          <reference field="2" count="1" selected="0">
            <x v="0"/>
          </reference>
        </references>
      </pivotArea>
    </chartFormat>
    <chartFormat chart="11" format="34" series="1">
      <pivotArea type="data" outline="0" fieldPosition="0">
        <references count="2">
          <reference field="4294967294" count="1" selected="0">
            <x v="0"/>
          </reference>
          <reference field="2" count="1" selected="0">
            <x v="1"/>
          </reference>
        </references>
      </pivotArea>
    </chartFormat>
    <chartFormat chart="11" format="35" series="1">
      <pivotArea type="data" outline="0" fieldPosition="0">
        <references count="2">
          <reference field="4294967294" count="1" selected="0">
            <x v="0"/>
          </reference>
          <reference field="2" count="1" selected="0">
            <x v="2"/>
          </reference>
        </references>
      </pivotArea>
    </chartFormat>
    <chartFormat chart="11" format="36" series="1">
      <pivotArea type="data" outline="0" fieldPosition="0">
        <references count="2">
          <reference field="4294967294" count="1" selected="0">
            <x v="0"/>
          </reference>
          <reference field="2" count="1" selected="0">
            <x v="3"/>
          </reference>
        </references>
      </pivotArea>
    </chartFormat>
    <chartFormat chart="19" format="37" series="1">
      <pivotArea type="data" outline="0" fieldPosition="0">
        <references count="2">
          <reference field="4294967294" count="1" selected="0">
            <x v="0"/>
          </reference>
          <reference field="2" count="1" selected="0">
            <x v="0"/>
          </reference>
        </references>
      </pivotArea>
    </chartFormat>
    <chartFormat chart="19" format="38" series="1">
      <pivotArea type="data" outline="0" fieldPosition="0">
        <references count="2">
          <reference field="4294967294" count="1" selected="0">
            <x v="0"/>
          </reference>
          <reference field="2" count="1" selected="0">
            <x v="1"/>
          </reference>
        </references>
      </pivotArea>
    </chartFormat>
    <chartFormat chart="19" format="39" series="1">
      <pivotArea type="data" outline="0" fieldPosition="0">
        <references count="2">
          <reference field="4294967294" count="1" selected="0">
            <x v="0"/>
          </reference>
          <reference field="2" count="1" selected="0">
            <x v="2"/>
          </reference>
        </references>
      </pivotArea>
    </chartFormat>
    <chartFormat chart="19" format="40" series="1">
      <pivotArea type="data" outline="0" fieldPosition="0">
        <references count="2">
          <reference field="4294967294" count="1" selected="0">
            <x v="0"/>
          </reference>
          <reference field="2" count="1" selected="0">
            <x v="3"/>
          </reference>
        </references>
      </pivotArea>
    </chartFormat>
    <chartFormat chart="20" format="41" series="1">
      <pivotArea type="data" outline="0" fieldPosition="0">
        <references count="2">
          <reference field="4294967294" count="1" selected="0">
            <x v="0"/>
          </reference>
          <reference field="2" count="1" selected="0">
            <x v="0"/>
          </reference>
        </references>
      </pivotArea>
    </chartFormat>
    <chartFormat chart="20" format="42" series="1">
      <pivotArea type="data" outline="0" fieldPosition="0">
        <references count="2">
          <reference field="4294967294" count="1" selected="0">
            <x v="0"/>
          </reference>
          <reference field="2" count="1" selected="0">
            <x v="1"/>
          </reference>
        </references>
      </pivotArea>
    </chartFormat>
    <chartFormat chart="20" format="43" series="1">
      <pivotArea type="data" outline="0" fieldPosition="0">
        <references count="2">
          <reference field="4294967294" count="1" selected="0">
            <x v="0"/>
          </reference>
          <reference field="2" count="1" selected="0">
            <x v="2"/>
          </reference>
        </references>
      </pivotArea>
    </chartFormat>
    <chartFormat chart="20" format="44"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299C74-2C7B-0C40-BC34-F45850F143F4}"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F21" firstHeaderRow="1" firstDataRow="2" firstDataCol="1" rowPageCount="1" colPageCount="1"/>
  <pivotFields count="12">
    <pivotField axis="axisPage" showAll="0">
      <items count="5">
        <item x="1"/>
        <item x="0"/>
        <item x="2"/>
        <item x="3"/>
        <item t="default"/>
      </items>
    </pivotField>
    <pivotField showAll="0"/>
    <pivotField axis="axisCol"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17">
    <i>
      <x/>
    </i>
    <i>
      <x v="1"/>
    </i>
    <i>
      <x v="2"/>
    </i>
    <i>
      <x v="3"/>
    </i>
    <i>
      <x v="4"/>
    </i>
    <i>
      <x v="5"/>
    </i>
    <i>
      <x v="6"/>
    </i>
    <i>
      <x v="7"/>
    </i>
    <i>
      <x v="8"/>
    </i>
    <i>
      <x v="9"/>
    </i>
    <i>
      <x v="10"/>
    </i>
    <i>
      <x v="11"/>
    </i>
    <i>
      <x v="12"/>
    </i>
    <i>
      <x v="13"/>
    </i>
    <i>
      <x v="14"/>
    </i>
    <i>
      <x v="15"/>
    </i>
    <i t="grand">
      <x/>
    </i>
  </rowItems>
  <colFields count="1">
    <field x="2"/>
  </colFields>
  <colItems count="5">
    <i>
      <x/>
    </i>
    <i>
      <x v="1"/>
    </i>
    <i>
      <x v="2"/>
    </i>
    <i>
      <x v="3"/>
    </i>
    <i t="grand">
      <x/>
    </i>
  </colItems>
  <pageFields count="1">
    <pageField fld="0" item="0" hier="-1"/>
  </pageFields>
  <dataFields count="1">
    <dataField name="Sum of blk_total_mib_delta" fld="10" baseField="0" baseItem="0" numFmtId="2"/>
  </dataFields>
  <chartFormats count="33">
    <chartFormat chart="2" format="12" series="1">
      <pivotArea type="data" outline="0" fieldPosition="0">
        <references count="1">
          <reference field="0" count="1" selected="0">
            <x v="0"/>
          </reference>
        </references>
      </pivotArea>
    </chartFormat>
    <chartFormat chart="2" format="13" series="1">
      <pivotArea type="data" outline="0" fieldPosition="0">
        <references count="1">
          <reference field="0" count="1" selected="0">
            <x v="1"/>
          </reference>
        </references>
      </pivotArea>
    </chartFormat>
    <chartFormat chart="2" format="14" series="1">
      <pivotArea type="data" outline="0" fieldPosition="0">
        <references count="1">
          <reference field="0" count="1" selected="0">
            <x v="2"/>
          </reference>
        </references>
      </pivotArea>
    </chartFormat>
    <chartFormat chart="2" format="15" series="1">
      <pivotArea type="data" outline="0" fieldPosition="0">
        <references count="1">
          <reference field="0" count="1" selected="0">
            <x v="3"/>
          </reference>
        </references>
      </pivotArea>
    </chartFormat>
    <chartFormat chart="4" format="20" series="1">
      <pivotArea type="data" outline="0" fieldPosition="0">
        <references count="2">
          <reference field="4294967294" count="1" selected="0">
            <x v="0"/>
          </reference>
          <reference field="0" count="1" selected="0">
            <x v="0"/>
          </reference>
        </references>
      </pivotArea>
    </chartFormat>
    <chartFormat chart="4" format="21" series="1">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2">
          <reference field="4294967294" count="1" selected="0">
            <x v="0"/>
          </reference>
          <reference field="0" count="1" selected="0">
            <x v="2"/>
          </reference>
        </references>
      </pivotArea>
    </chartFormat>
    <chartFormat chart="4" format="23" series="1">
      <pivotArea type="data" outline="0" fieldPosition="0">
        <references count="2">
          <reference field="4294967294" count="1" selected="0">
            <x v="0"/>
          </reference>
          <reference field="0" count="1" selected="0">
            <x v="3"/>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2">
          <reference field="4294967294" count="1" selected="0">
            <x v="0"/>
          </reference>
          <reference field="2" count="1" selected="0">
            <x v="1"/>
          </reference>
        </references>
      </pivotArea>
    </chartFormat>
    <chartFormat chart="4" format="26" series="1">
      <pivotArea type="data" outline="0" fieldPosition="0">
        <references count="2">
          <reference field="4294967294" count="1" selected="0">
            <x v="0"/>
          </reference>
          <reference field="2" count="1" selected="0">
            <x v="2"/>
          </reference>
        </references>
      </pivotArea>
    </chartFormat>
    <chartFormat chart="4" format="27" series="1">
      <pivotArea type="data" outline="0" fieldPosition="0">
        <references count="2">
          <reference field="4294967294" count="1" selected="0">
            <x v="0"/>
          </reference>
          <reference field="2" count="1" selected="0">
            <x v="3"/>
          </reference>
        </references>
      </pivotArea>
    </chartFormat>
    <chartFormat chart="4" format="28" series="1">
      <pivotArea type="data" outline="0" fieldPosition="0">
        <references count="2">
          <reference field="4294967294" count="1" selected="0">
            <x v="0"/>
          </reference>
          <reference field="2" count="1" selected="0">
            <x v="0"/>
          </reference>
        </references>
      </pivotArea>
    </chartFormat>
    <chartFormat chart="9" format="33" series="1">
      <pivotArea type="data" outline="0" fieldPosition="0">
        <references count="2">
          <reference field="4294967294" count="1" selected="0">
            <x v="0"/>
          </reference>
          <reference field="2" count="1" selected="0">
            <x v="0"/>
          </reference>
        </references>
      </pivotArea>
    </chartFormat>
    <chartFormat chart="9" format="34" series="1">
      <pivotArea type="data" outline="0" fieldPosition="0">
        <references count="2">
          <reference field="4294967294" count="1" selected="0">
            <x v="0"/>
          </reference>
          <reference field="2" count="1" selected="0">
            <x v="1"/>
          </reference>
        </references>
      </pivotArea>
    </chartFormat>
    <chartFormat chart="9" format="35" series="1">
      <pivotArea type="data" outline="0" fieldPosition="0">
        <references count="2">
          <reference field="4294967294" count="1" selected="0">
            <x v="0"/>
          </reference>
          <reference field="2" count="1" selected="0">
            <x v="2"/>
          </reference>
        </references>
      </pivotArea>
    </chartFormat>
    <chartFormat chart="9" format="36" series="1">
      <pivotArea type="data" outline="0" fieldPosition="0">
        <references count="2">
          <reference field="4294967294" count="1" selected="0">
            <x v="0"/>
          </reference>
          <reference field="2" count="1" selected="0">
            <x v="3"/>
          </reference>
        </references>
      </pivotArea>
    </chartFormat>
    <chartFormat chart="11" format="41" series="1">
      <pivotArea type="data" outline="0" fieldPosition="0">
        <references count="2">
          <reference field="4294967294" count="1" selected="0">
            <x v="0"/>
          </reference>
          <reference field="2" count="1" selected="0">
            <x v="0"/>
          </reference>
        </references>
      </pivotArea>
    </chartFormat>
    <chartFormat chart="11" format="42" series="1">
      <pivotArea type="data" outline="0" fieldPosition="0">
        <references count="2">
          <reference field="4294967294" count="1" selected="0">
            <x v="0"/>
          </reference>
          <reference field="2" count="1" selected="0">
            <x v="1"/>
          </reference>
        </references>
      </pivotArea>
    </chartFormat>
    <chartFormat chart="11" format="43" series="1">
      <pivotArea type="data" outline="0" fieldPosition="0">
        <references count="2">
          <reference field="4294967294" count="1" selected="0">
            <x v="0"/>
          </reference>
          <reference field="2" count="1" selected="0">
            <x v="2"/>
          </reference>
        </references>
      </pivotArea>
    </chartFormat>
    <chartFormat chart="11" format="44" series="1">
      <pivotArea type="data" outline="0" fieldPosition="0">
        <references count="2">
          <reference field="4294967294" count="1" selected="0">
            <x v="0"/>
          </reference>
          <reference field="2" count="1" selected="0">
            <x v="3"/>
          </reference>
        </references>
      </pivotArea>
    </chartFormat>
    <chartFormat chart="13" format="41" series="1">
      <pivotArea type="data" outline="0" fieldPosition="0">
        <references count="2">
          <reference field="4294967294" count="1" selected="0">
            <x v="0"/>
          </reference>
          <reference field="2" count="1" selected="0">
            <x v="0"/>
          </reference>
        </references>
      </pivotArea>
    </chartFormat>
    <chartFormat chart="13" format="42" series="1">
      <pivotArea type="data" outline="0" fieldPosition="0">
        <references count="2">
          <reference field="4294967294" count="1" selected="0">
            <x v="0"/>
          </reference>
          <reference field="2" count="1" selected="0">
            <x v="1"/>
          </reference>
        </references>
      </pivotArea>
    </chartFormat>
    <chartFormat chart="13" format="43" series="1">
      <pivotArea type="data" outline="0" fieldPosition="0">
        <references count="2">
          <reference field="4294967294" count="1" selected="0">
            <x v="0"/>
          </reference>
          <reference field="2" count="1" selected="0">
            <x v="2"/>
          </reference>
        </references>
      </pivotArea>
    </chartFormat>
    <chartFormat chart="13" format="44" series="1">
      <pivotArea type="data" outline="0" fieldPosition="0">
        <references count="2">
          <reference field="4294967294" count="1" selected="0">
            <x v="0"/>
          </reference>
          <reference field="2" count="1" selected="0">
            <x v="3"/>
          </reference>
        </references>
      </pivotArea>
    </chartFormat>
    <chartFormat chart="22" format="45" series="1">
      <pivotArea type="data" outline="0" fieldPosition="0">
        <references count="2">
          <reference field="4294967294" count="1" selected="0">
            <x v="0"/>
          </reference>
          <reference field="2" count="1" selected="0">
            <x v="0"/>
          </reference>
        </references>
      </pivotArea>
    </chartFormat>
    <chartFormat chart="22" format="46" series="1">
      <pivotArea type="data" outline="0" fieldPosition="0">
        <references count="2">
          <reference field="4294967294" count="1" selected="0">
            <x v="0"/>
          </reference>
          <reference field="2" count="1" selected="0">
            <x v="1"/>
          </reference>
        </references>
      </pivotArea>
    </chartFormat>
    <chartFormat chart="22" format="47" series="1">
      <pivotArea type="data" outline="0" fieldPosition="0">
        <references count="2">
          <reference field="4294967294" count="1" selected="0">
            <x v="0"/>
          </reference>
          <reference field="2" count="1" selected="0">
            <x v="2"/>
          </reference>
        </references>
      </pivotArea>
    </chartFormat>
    <chartFormat chart="22" format="48" series="1">
      <pivotArea type="data" outline="0" fieldPosition="0">
        <references count="2">
          <reference field="4294967294" count="1" selected="0">
            <x v="0"/>
          </reference>
          <reference field="2" count="1" selected="0">
            <x v="3"/>
          </reference>
        </references>
      </pivotArea>
    </chartFormat>
    <chartFormat chart="23" format="49" series="1">
      <pivotArea type="data" outline="0" fieldPosition="0">
        <references count="2">
          <reference field="4294967294" count="1" selected="0">
            <x v="0"/>
          </reference>
          <reference field="2" count="1" selected="0">
            <x v="0"/>
          </reference>
        </references>
      </pivotArea>
    </chartFormat>
    <chartFormat chart="23" format="50" series="1">
      <pivotArea type="data" outline="0" fieldPosition="0">
        <references count="2">
          <reference field="4294967294" count="1" selected="0">
            <x v="0"/>
          </reference>
          <reference field="2" count="1" selected="0">
            <x v="1"/>
          </reference>
        </references>
      </pivotArea>
    </chartFormat>
    <chartFormat chart="23" format="51" series="1">
      <pivotArea type="data" outline="0" fieldPosition="0">
        <references count="2">
          <reference field="4294967294" count="1" selected="0">
            <x v="0"/>
          </reference>
          <reference field="2" count="1" selected="0">
            <x v="2"/>
          </reference>
        </references>
      </pivotArea>
    </chartFormat>
    <chartFormat chart="23" format="52"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1F2310-5A1B-AE4F-805C-BF8089BABBA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F46" firstHeaderRow="1" firstDataRow="2" firstDataCol="1" rowPageCount="1" colPageCount="1"/>
  <pivotFields count="12">
    <pivotField axis="axisPage" showAll="0">
      <items count="5">
        <item x="1"/>
        <item x="0"/>
        <item x="2"/>
        <item x="3"/>
        <item t="default"/>
      </items>
    </pivotField>
    <pivotField showAll="0"/>
    <pivotField axis="axisCol"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5">
    <i>
      <x/>
    </i>
    <i>
      <x v="1"/>
    </i>
    <i>
      <x v="2"/>
    </i>
    <i>
      <x v="3"/>
    </i>
    <i t="grand">
      <x/>
    </i>
  </colItems>
  <pageFields count="1">
    <pageField fld="0" item="2" hier="-1"/>
  </pageFields>
  <dataFields count="1">
    <dataField name="Sum of blk_total_mib_delta" fld="10" baseField="0" baseItem="0" numFmtId="2"/>
  </dataFields>
  <chartFormats count="37">
    <chartFormat chart="2" format="12" series="1">
      <pivotArea type="data" outline="0" fieldPosition="0">
        <references count="1">
          <reference field="0" count="1" selected="0">
            <x v="0"/>
          </reference>
        </references>
      </pivotArea>
    </chartFormat>
    <chartFormat chart="2" format="13" series="1">
      <pivotArea type="data" outline="0" fieldPosition="0">
        <references count="1">
          <reference field="0" count="1" selected="0">
            <x v="1"/>
          </reference>
        </references>
      </pivotArea>
    </chartFormat>
    <chartFormat chart="2" format="14" series="1">
      <pivotArea type="data" outline="0" fieldPosition="0">
        <references count="1">
          <reference field="0" count="1" selected="0">
            <x v="2"/>
          </reference>
        </references>
      </pivotArea>
    </chartFormat>
    <chartFormat chart="2" format="15" series="1">
      <pivotArea type="data" outline="0" fieldPosition="0">
        <references count="1">
          <reference field="0" count="1" selected="0">
            <x v="3"/>
          </reference>
        </references>
      </pivotArea>
    </chartFormat>
    <chartFormat chart="4" format="20" series="1">
      <pivotArea type="data" outline="0" fieldPosition="0">
        <references count="2">
          <reference field="4294967294" count="1" selected="0">
            <x v="0"/>
          </reference>
          <reference field="0" count="1" selected="0">
            <x v="0"/>
          </reference>
        </references>
      </pivotArea>
    </chartFormat>
    <chartFormat chart="4" format="21" series="1">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2">
          <reference field="4294967294" count="1" selected="0">
            <x v="0"/>
          </reference>
          <reference field="0" count="1" selected="0">
            <x v="2"/>
          </reference>
        </references>
      </pivotArea>
    </chartFormat>
    <chartFormat chart="4" format="23" series="1">
      <pivotArea type="data" outline="0" fieldPosition="0">
        <references count="2">
          <reference field="4294967294" count="1" selected="0">
            <x v="0"/>
          </reference>
          <reference field="0" count="1" selected="0">
            <x v="3"/>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2">
          <reference field="4294967294" count="1" selected="0">
            <x v="0"/>
          </reference>
          <reference field="2" count="1" selected="0">
            <x v="1"/>
          </reference>
        </references>
      </pivotArea>
    </chartFormat>
    <chartFormat chart="4" format="26" series="1">
      <pivotArea type="data" outline="0" fieldPosition="0">
        <references count="2">
          <reference field="4294967294" count="1" selected="0">
            <x v="0"/>
          </reference>
          <reference field="2" count="1" selected="0">
            <x v="2"/>
          </reference>
        </references>
      </pivotArea>
    </chartFormat>
    <chartFormat chart="4" format="27" series="1">
      <pivotArea type="data" outline="0" fieldPosition="0">
        <references count="2">
          <reference field="4294967294" count="1" selected="0">
            <x v="0"/>
          </reference>
          <reference field="2" count="1" selected="0">
            <x v="3"/>
          </reference>
        </references>
      </pivotArea>
    </chartFormat>
    <chartFormat chart="4" format="28" series="1">
      <pivotArea type="data" outline="0" fieldPosition="0">
        <references count="2">
          <reference field="4294967294" count="1" selected="0">
            <x v="0"/>
          </reference>
          <reference field="2" count="1" selected="0">
            <x v="0"/>
          </reference>
        </references>
      </pivotArea>
    </chartFormat>
    <chartFormat chart="9" format="33" series="1">
      <pivotArea type="data" outline="0" fieldPosition="0">
        <references count="2">
          <reference field="4294967294" count="1" selected="0">
            <x v="0"/>
          </reference>
          <reference field="2" count="1" selected="0">
            <x v="0"/>
          </reference>
        </references>
      </pivotArea>
    </chartFormat>
    <chartFormat chart="9" format="34" series="1">
      <pivotArea type="data" outline="0" fieldPosition="0">
        <references count="2">
          <reference field="4294967294" count="1" selected="0">
            <x v="0"/>
          </reference>
          <reference field="2" count="1" selected="0">
            <x v="1"/>
          </reference>
        </references>
      </pivotArea>
    </chartFormat>
    <chartFormat chart="9" format="35" series="1">
      <pivotArea type="data" outline="0" fieldPosition="0">
        <references count="2">
          <reference field="4294967294" count="1" selected="0">
            <x v="0"/>
          </reference>
          <reference field="2" count="1" selected="0">
            <x v="2"/>
          </reference>
        </references>
      </pivotArea>
    </chartFormat>
    <chartFormat chart="9" format="36" series="1">
      <pivotArea type="data" outline="0" fieldPosition="0">
        <references count="2">
          <reference field="4294967294" count="1" selected="0">
            <x v="0"/>
          </reference>
          <reference field="2" count="1" selected="0">
            <x v="3"/>
          </reference>
        </references>
      </pivotArea>
    </chartFormat>
    <chartFormat chart="11" format="41" series="1">
      <pivotArea type="data" outline="0" fieldPosition="0">
        <references count="2">
          <reference field="4294967294" count="1" selected="0">
            <x v="0"/>
          </reference>
          <reference field="2" count="1" selected="0">
            <x v="0"/>
          </reference>
        </references>
      </pivotArea>
    </chartFormat>
    <chartFormat chart="11" format="42" series="1">
      <pivotArea type="data" outline="0" fieldPosition="0">
        <references count="2">
          <reference field="4294967294" count="1" selected="0">
            <x v="0"/>
          </reference>
          <reference field="2" count="1" selected="0">
            <x v="1"/>
          </reference>
        </references>
      </pivotArea>
    </chartFormat>
    <chartFormat chart="11" format="43" series="1">
      <pivotArea type="data" outline="0" fieldPosition="0">
        <references count="2">
          <reference field="4294967294" count="1" selected="0">
            <x v="0"/>
          </reference>
          <reference field="2" count="1" selected="0">
            <x v="2"/>
          </reference>
        </references>
      </pivotArea>
    </chartFormat>
    <chartFormat chart="11" format="44" series="1">
      <pivotArea type="data" outline="0" fieldPosition="0">
        <references count="2">
          <reference field="4294967294" count="1" selected="0">
            <x v="0"/>
          </reference>
          <reference field="2" count="1" selected="0">
            <x v="3"/>
          </reference>
        </references>
      </pivotArea>
    </chartFormat>
    <chartFormat chart="13" format="49" series="1">
      <pivotArea type="data" outline="0" fieldPosition="0">
        <references count="2">
          <reference field="4294967294" count="1" selected="0">
            <x v="0"/>
          </reference>
          <reference field="2" count="1" selected="0">
            <x v="0"/>
          </reference>
        </references>
      </pivotArea>
    </chartFormat>
    <chartFormat chart="13" format="50" series="1">
      <pivotArea type="data" outline="0" fieldPosition="0">
        <references count="2">
          <reference field="4294967294" count="1" selected="0">
            <x v="0"/>
          </reference>
          <reference field="2" count="1" selected="0">
            <x v="1"/>
          </reference>
        </references>
      </pivotArea>
    </chartFormat>
    <chartFormat chart="13" format="51" series="1">
      <pivotArea type="data" outline="0" fieldPosition="0">
        <references count="2">
          <reference field="4294967294" count="1" selected="0">
            <x v="0"/>
          </reference>
          <reference field="2" count="1" selected="0">
            <x v="2"/>
          </reference>
        </references>
      </pivotArea>
    </chartFormat>
    <chartFormat chart="13" format="52" series="1">
      <pivotArea type="data" outline="0" fieldPosition="0">
        <references count="2">
          <reference field="4294967294" count="1" selected="0">
            <x v="0"/>
          </reference>
          <reference field="2" count="1" selected="0">
            <x v="3"/>
          </reference>
        </references>
      </pivotArea>
    </chartFormat>
    <chartFormat chart="15" format="49" series="1">
      <pivotArea type="data" outline="0" fieldPosition="0">
        <references count="2">
          <reference field="4294967294" count="1" selected="0">
            <x v="0"/>
          </reference>
          <reference field="2" count="1" selected="0">
            <x v="0"/>
          </reference>
        </references>
      </pivotArea>
    </chartFormat>
    <chartFormat chart="15" format="50" series="1">
      <pivotArea type="data" outline="0" fieldPosition="0">
        <references count="2">
          <reference field="4294967294" count="1" selected="0">
            <x v="0"/>
          </reference>
          <reference field="2" count="1" selected="0">
            <x v="1"/>
          </reference>
        </references>
      </pivotArea>
    </chartFormat>
    <chartFormat chart="15" format="51" series="1">
      <pivotArea type="data" outline="0" fieldPosition="0">
        <references count="2">
          <reference field="4294967294" count="1" selected="0">
            <x v="0"/>
          </reference>
          <reference field="2" count="1" selected="0">
            <x v="2"/>
          </reference>
        </references>
      </pivotArea>
    </chartFormat>
    <chartFormat chart="15" format="52" series="1">
      <pivotArea type="data" outline="0" fieldPosition="0">
        <references count="2">
          <reference field="4294967294" count="1" selected="0">
            <x v="0"/>
          </reference>
          <reference field="2" count="1" selected="0">
            <x v="3"/>
          </reference>
        </references>
      </pivotArea>
    </chartFormat>
    <chartFormat chart="23" format="53" series="1">
      <pivotArea type="data" outline="0" fieldPosition="0">
        <references count="2">
          <reference field="4294967294" count="1" selected="0">
            <x v="0"/>
          </reference>
          <reference field="2" count="1" selected="0">
            <x v="0"/>
          </reference>
        </references>
      </pivotArea>
    </chartFormat>
    <chartFormat chart="23" format="54" series="1">
      <pivotArea type="data" outline="0" fieldPosition="0">
        <references count="2">
          <reference field="4294967294" count="1" selected="0">
            <x v="0"/>
          </reference>
          <reference field="2" count="1" selected="0">
            <x v="1"/>
          </reference>
        </references>
      </pivotArea>
    </chartFormat>
    <chartFormat chart="23" format="55" series="1">
      <pivotArea type="data" outline="0" fieldPosition="0">
        <references count="2">
          <reference field="4294967294" count="1" selected="0">
            <x v="0"/>
          </reference>
          <reference field="2" count="1" selected="0">
            <x v="2"/>
          </reference>
        </references>
      </pivotArea>
    </chartFormat>
    <chartFormat chart="23" format="56" series="1">
      <pivotArea type="data" outline="0" fieldPosition="0">
        <references count="2">
          <reference field="4294967294" count="1" selected="0">
            <x v="0"/>
          </reference>
          <reference field="2" count="1" selected="0">
            <x v="3"/>
          </reference>
        </references>
      </pivotArea>
    </chartFormat>
    <chartFormat chart="24" format="57" series="1">
      <pivotArea type="data" outline="0" fieldPosition="0">
        <references count="2">
          <reference field="4294967294" count="1" selected="0">
            <x v="0"/>
          </reference>
          <reference field="2" count="1" selected="0">
            <x v="0"/>
          </reference>
        </references>
      </pivotArea>
    </chartFormat>
    <chartFormat chart="24" format="58" series="1">
      <pivotArea type="data" outline="0" fieldPosition="0">
        <references count="2">
          <reference field="4294967294" count="1" selected="0">
            <x v="0"/>
          </reference>
          <reference field="2" count="1" selected="0">
            <x v="1"/>
          </reference>
        </references>
      </pivotArea>
    </chartFormat>
    <chartFormat chart="24" format="59" series="1">
      <pivotArea type="data" outline="0" fieldPosition="0">
        <references count="2">
          <reference field="4294967294" count="1" selected="0">
            <x v="0"/>
          </reference>
          <reference field="2" count="1" selected="0">
            <x v="2"/>
          </reference>
        </references>
      </pivotArea>
    </chartFormat>
    <chartFormat chart="24" format="60"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DF9EF9-1FF7-C146-BAD7-B29529B541E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F27" firstHeaderRow="1" firstDataRow="2" firstDataCol="1" rowPageCount="1" colPageCount="1"/>
  <pivotFields count="12">
    <pivotField axis="axisPage" showAll="0">
      <items count="5">
        <item x="1"/>
        <item x="0"/>
        <item x="2"/>
        <item x="3"/>
        <item t="default"/>
      </items>
    </pivotField>
    <pivotField showAll="0"/>
    <pivotField axis="axisCol" showAll="0">
      <items count="5">
        <item x="1"/>
        <item x="0"/>
        <item x="3"/>
        <item x="2"/>
        <item t="default"/>
      </items>
    </pivotField>
    <pivotField showAll="0"/>
    <pivotField numFmtId="2" showAll="0"/>
    <pivotField numFmtId="2" showAll="0"/>
    <pivotField numFmtId="2" showAll="0"/>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2" showAll="0"/>
    <pivotField numFmtId="2" showAll="0"/>
    <pivotField dataField="1" numFmtId="2" showAll="0"/>
    <pivotField numFmtId="2" showAll="0"/>
  </pivotFields>
  <rowFields count="1">
    <field x="7"/>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5">
    <i>
      <x/>
    </i>
    <i>
      <x v="1"/>
    </i>
    <i>
      <x v="2"/>
    </i>
    <i>
      <x v="3"/>
    </i>
    <i t="grand">
      <x/>
    </i>
  </colItems>
  <pageFields count="1">
    <pageField fld="0" item="3" hier="-1"/>
  </pageFields>
  <dataFields count="1">
    <dataField name="Sum of blk_total_mib_delta" fld="10" baseField="0" baseItem="0" numFmtId="2"/>
  </dataFields>
  <chartFormats count="37">
    <chartFormat chart="2" format="12" series="1">
      <pivotArea type="data" outline="0" fieldPosition="0">
        <references count="1">
          <reference field="0" count="1" selected="0">
            <x v="0"/>
          </reference>
        </references>
      </pivotArea>
    </chartFormat>
    <chartFormat chart="2" format="13" series="1">
      <pivotArea type="data" outline="0" fieldPosition="0">
        <references count="1">
          <reference field="0" count="1" selected="0">
            <x v="1"/>
          </reference>
        </references>
      </pivotArea>
    </chartFormat>
    <chartFormat chart="2" format="14" series="1">
      <pivotArea type="data" outline="0" fieldPosition="0">
        <references count="1">
          <reference field="0" count="1" selected="0">
            <x v="2"/>
          </reference>
        </references>
      </pivotArea>
    </chartFormat>
    <chartFormat chart="2" format="15" series="1">
      <pivotArea type="data" outline="0" fieldPosition="0">
        <references count="1">
          <reference field="0" count="1" selected="0">
            <x v="3"/>
          </reference>
        </references>
      </pivotArea>
    </chartFormat>
    <chartFormat chart="4" format="20" series="1">
      <pivotArea type="data" outline="0" fieldPosition="0">
        <references count="2">
          <reference field="4294967294" count="1" selected="0">
            <x v="0"/>
          </reference>
          <reference field="0" count="1" selected="0">
            <x v="0"/>
          </reference>
        </references>
      </pivotArea>
    </chartFormat>
    <chartFormat chart="4" format="21" series="1">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2">
          <reference field="4294967294" count="1" selected="0">
            <x v="0"/>
          </reference>
          <reference field="0" count="1" selected="0">
            <x v="2"/>
          </reference>
        </references>
      </pivotArea>
    </chartFormat>
    <chartFormat chart="4" format="23" series="1">
      <pivotArea type="data" outline="0" fieldPosition="0">
        <references count="2">
          <reference field="4294967294" count="1" selected="0">
            <x v="0"/>
          </reference>
          <reference field="0" count="1" selected="0">
            <x v="3"/>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2">
          <reference field="4294967294" count="1" selected="0">
            <x v="0"/>
          </reference>
          <reference field="2" count="1" selected="0">
            <x v="1"/>
          </reference>
        </references>
      </pivotArea>
    </chartFormat>
    <chartFormat chart="4" format="26" series="1">
      <pivotArea type="data" outline="0" fieldPosition="0">
        <references count="2">
          <reference field="4294967294" count="1" selected="0">
            <x v="0"/>
          </reference>
          <reference field="2" count="1" selected="0">
            <x v="2"/>
          </reference>
        </references>
      </pivotArea>
    </chartFormat>
    <chartFormat chart="4" format="27" series="1">
      <pivotArea type="data" outline="0" fieldPosition="0">
        <references count="2">
          <reference field="4294967294" count="1" selected="0">
            <x v="0"/>
          </reference>
          <reference field="2" count="1" selected="0">
            <x v="3"/>
          </reference>
        </references>
      </pivotArea>
    </chartFormat>
    <chartFormat chart="4" format="28" series="1">
      <pivotArea type="data" outline="0" fieldPosition="0">
        <references count="2">
          <reference field="4294967294" count="1" selected="0">
            <x v="0"/>
          </reference>
          <reference field="2" count="1" selected="0">
            <x v="0"/>
          </reference>
        </references>
      </pivotArea>
    </chartFormat>
    <chartFormat chart="9" format="33" series="1">
      <pivotArea type="data" outline="0" fieldPosition="0">
        <references count="2">
          <reference field="4294967294" count="1" selected="0">
            <x v="0"/>
          </reference>
          <reference field="2" count="1" selected="0">
            <x v="0"/>
          </reference>
        </references>
      </pivotArea>
    </chartFormat>
    <chartFormat chart="9" format="34" series="1">
      <pivotArea type="data" outline="0" fieldPosition="0">
        <references count="2">
          <reference field="4294967294" count="1" selected="0">
            <x v="0"/>
          </reference>
          <reference field="2" count="1" selected="0">
            <x v="1"/>
          </reference>
        </references>
      </pivotArea>
    </chartFormat>
    <chartFormat chart="9" format="35" series="1">
      <pivotArea type="data" outline="0" fieldPosition="0">
        <references count="2">
          <reference field="4294967294" count="1" selected="0">
            <x v="0"/>
          </reference>
          <reference field="2" count="1" selected="0">
            <x v="2"/>
          </reference>
        </references>
      </pivotArea>
    </chartFormat>
    <chartFormat chart="9" format="36" series="1">
      <pivotArea type="data" outline="0" fieldPosition="0">
        <references count="2">
          <reference field="4294967294" count="1" selected="0">
            <x v="0"/>
          </reference>
          <reference field="2" count="1" selected="0">
            <x v="3"/>
          </reference>
        </references>
      </pivotArea>
    </chartFormat>
    <chartFormat chart="11" format="41" series="1">
      <pivotArea type="data" outline="0" fieldPosition="0">
        <references count="2">
          <reference field="4294967294" count="1" selected="0">
            <x v="0"/>
          </reference>
          <reference field="2" count="1" selected="0">
            <x v="0"/>
          </reference>
        </references>
      </pivotArea>
    </chartFormat>
    <chartFormat chart="11" format="42" series="1">
      <pivotArea type="data" outline="0" fieldPosition="0">
        <references count="2">
          <reference field="4294967294" count="1" selected="0">
            <x v="0"/>
          </reference>
          <reference field="2" count="1" selected="0">
            <x v="1"/>
          </reference>
        </references>
      </pivotArea>
    </chartFormat>
    <chartFormat chart="11" format="43" series="1">
      <pivotArea type="data" outline="0" fieldPosition="0">
        <references count="2">
          <reference field="4294967294" count="1" selected="0">
            <x v="0"/>
          </reference>
          <reference field="2" count="1" selected="0">
            <x v="2"/>
          </reference>
        </references>
      </pivotArea>
    </chartFormat>
    <chartFormat chart="11" format="44" series="1">
      <pivotArea type="data" outline="0" fieldPosition="0">
        <references count="2">
          <reference field="4294967294" count="1" selected="0">
            <x v="0"/>
          </reference>
          <reference field="2" count="1" selected="0">
            <x v="3"/>
          </reference>
        </references>
      </pivotArea>
    </chartFormat>
    <chartFormat chart="13" format="49" series="1">
      <pivotArea type="data" outline="0" fieldPosition="0">
        <references count="2">
          <reference field="4294967294" count="1" selected="0">
            <x v="0"/>
          </reference>
          <reference field="2" count="1" selected="0">
            <x v="0"/>
          </reference>
        </references>
      </pivotArea>
    </chartFormat>
    <chartFormat chart="13" format="50" series="1">
      <pivotArea type="data" outline="0" fieldPosition="0">
        <references count="2">
          <reference field="4294967294" count="1" selected="0">
            <x v="0"/>
          </reference>
          <reference field="2" count="1" selected="0">
            <x v="1"/>
          </reference>
        </references>
      </pivotArea>
    </chartFormat>
    <chartFormat chart="13" format="51" series="1">
      <pivotArea type="data" outline="0" fieldPosition="0">
        <references count="2">
          <reference field="4294967294" count="1" selected="0">
            <x v="0"/>
          </reference>
          <reference field="2" count="1" selected="0">
            <x v="2"/>
          </reference>
        </references>
      </pivotArea>
    </chartFormat>
    <chartFormat chart="13" format="52" series="1">
      <pivotArea type="data" outline="0" fieldPosition="0">
        <references count="2">
          <reference field="4294967294" count="1" selected="0">
            <x v="0"/>
          </reference>
          <reference field="2" count="1" selected="0">
            <x v="3"/>
          </reference>
        </references>
      </pivotArea>
    </chartFormat>
    <chartFormat chart="15" format="57" series="1">
      <pivotArea type="data" outline="0" fieldPosition="0">
        <references count="2">
          <reference field="4294967294" count="1" selected="0">
            <x v="0"/>
          </reference>
          <reference field="2" count="1" selected="0">
            <x v="0"/>
          </reference>
        </references>
      </pivotArea>
    </chartFormat>
    <chartFormat chart="15" format="58" series="1">
      <pivotArea type="data" outline="0" fieldPosition="0">
        <references count="2">
          <reference field="4294967294" count="1" selected="0">
            <x v="0"/>
          </reference>
          <reference field="2" count="1" selected="0">
            <x v="1"/>
          </reference>
        </references>
      </pivotArea>
    </chartFormat>
    <chartFormat chart="15" format="59" series="1">
      <pivotArea type="data" outline="0" fieldPosition="0">
        <references count="2">
          <reference field="4294967294" count="1" selected="0">
            <x v="0"/>
          </reference>
          <reference field="2" count="1" selected="0">
            <x v="2"/>
          </reference>
        </references>
      </pivotArea>
    </chartFormat>
    <chartFormat chart="15" format="60" series="1">
      <pivotArea type="data" outline="0" fieldPosition="0">
        <references count="2">
          <reference field="4294967294" count="1" selected="0">
            <x v="0"/>
          </reference>
          <reference field="2" count="1" selected="0">
            <x v="3"/>
          </reference>
        </references>
      </pivotArea>
    </chartFormat>
    <chartFormat chart="23" format="61" series="1">
      <pivotArea type="data" outline="0" fieldPosition="0">
        <references count="2">
          <reference field="4294967294" count="1" selected="0">
            <x v="0"/>
          </reference>
          <reference field="2" count="1" selected="0">
            <x v="0"/>
          </reference>
        </references>
      </pivotArea>
    </chartFormat>
    <chartFormat chart="23" format="62" series="1">
      <pivotArea type="data" outline="0" fieldPosition="0">
        <references count="2">
          <reference field="4294967294" count="1" selected="0">
            <x v="0"/>
          </reference>
          <reference field="2" count="1" selected="0">
            <x v="1"/>
          </reference>
        </references>
      </pivotArea>
    </chartFormat>
    <chartFormat chart="23" format="63" series="1">
      <pivotArea type="data" outline="0" fieldPosition="0">
        <references count="2">
          <reference field="4294967294" count="1" selected="0">
            <x v="0"/>
          </reference>
          <reference field="2" count="1" selected="0">
            <x v="2"/>
          </reference>
        </references>
      </pivotArea>
    </chartFormat>
    <chartFormat chart="23" format="64" series="1">
      <pivotArea type="data" outline="0" fieldPosition="0">
        <references count="2">
          <reference field="4294967294" count="1" selected="0">
            <x v="0"/>
          </reference>
          <reference field="2" count="1" selected="0">
            <x v="3"/>
          </reference>
        </references>
      </pivotArea>
    </chartFormat>
    <chartFormat chart="24" format="65" series="1">
      <pivotArea type="data" outline="0" fieldPosition="0">
        <references count="2">
          <reference field="4294967294" count="1" selected="0">
            <x v="0"/>
          </reference>
          <reference field="2" count="1" selected="0">
            <x v="0"/>
          </reference>
        </references>
      </pivotArea>
    </chartFormat>
    <chartFormat chart="24" format="66" series="1">
      <pivotArea type="data" outline="0" fieldPosition="0">
        <references count="2">
          <reference field="4294967294" count="1" selected="0">
            <x v="0"/>
          </reference>
          <reference field="2" count="1" selected="0">
            <x v="1"/>
          </reference>
        </references>
      </pivotArea>
    </chartFormat>
    <chartFormat chart="24" format="67" series="1">
      <pivotArea type="data" outline="0" fieldPosition="0">
        <references count="2">
          <reference field="4294967294" count="1" selected="0">
            <x v="0"/>
          </reference>
          <reference field="2" count="1" selected="0">
            <x v="2"/>
          </reference>
        </references>
      </pivotArea>
    </chartFormat>
    <chartFormat chart="24" format="68"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 xr10:uid="{2CF745BF-5659-F145-B6B1-C4BAA4C1C789}" sourceName="dataset">
  <pivotTables>
    <pivotTable tabId="6" name="PivotTable2"/>
  </pivotTables>
  <data>
    <tabular pivotCacheId="633897414">
      <items count="4">
        <i x="1"/>
        <i x="0"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 xr10:uid="{4F1EA9D6-AAE2-454C-9CE6-292F98A74721}" sourceName="dataset">
  <pivotTables>
    <pivotTable tabId="7" name="PivotTable2"/>
  </pivotTables>
  <data>
    <tabular pivotCacheId="633897414">
      <items count="4">
        <i x="1" s="1"/>
        <i x="0"/>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 xr10:uid="{1DD97715-14E5-A149-85D4-68620485CF90}" sourceName="dataset">
  <pivotTables>
    <pivotTable tabId="8" name="PivotTable2"/>
  </pivotTables>
  <data>
    <tabular pivotCacheId="633897414">
      <items count="4">
        <i x="1"/>
        <i x="0"/>
        <i x="2"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set111" xr10:uid="{9892E419-679E-BE47-A17C-0BFE9557759E}" sourceName="dataset">
  <pivotTables>
    <pivotTable tabId="9" name="PivotTable2"/>
  </pivotTables>
  <data>
    <tabular pivotCacheId="633897414">
      <items count="4">
        <i x="1"/>
        <i x="0"/>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xr10:uid="{6FEDEB06-004D-8840-9C6E-A029E4AB9E00}" cache="Slicer_dataset" caption="datase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1" xr10:uid="{1EAAFB06-82F8-034F-AE37-EBBF1DC4708E}" cache="Slicer_dataset1" caption="dataset"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2" xr10:uid="{7CC93853-309A-9C4A-9851-5B1402527E38}" cache="Slicer_dataset11" caption="dataset"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set 3" xr10:uid="{44A22FDC-7352-194E-9327-7F345391474D}" cache="Slicer_dataset111" caption="datase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D349">
  <autoFilter ref="A1:D349" xr:uid="{00000000-0009-0000-0100-000001000000}"/>
  <tableColumns count="4">
    <tableColumn id="1" xr3:uid="{00000000-0010-0000-0000-000001000000}" name="dataset"/>
    <tableColumn id="2" xr3:uid="{00000000-0010-0000-0000-000002000000}" name="timestamp"/>
    <tableColumn id="3" xr3:uid="{00000000-0010-0000-0000-000003000000}" name="container"/>
    <tableColumn id="8" xr3:uid="{00000000-0010-0000-0000-000008000000}" name="blk_i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6F8986-7B9E-B344-B162-AF7399166D4B}" name="Table3" displayName="Table3" ref="E1:L349" totalsRowShown="0" headerRowDxfId="9" dataDxfId="8">
  <autoFilter ref="E1:L349" xr:uid="{2F6F8986-7B9E-B344-B162-AF7399166D4B}"/>
  <tableColumns count="8">
    <tableColumn id="1" xr3:uid="{16D57A71-3D48-744E-80B8-F616C2DD1445}" name="blk_read_mib" dataDxfId="7">
      <calculatedColumnFormula>IFERROR(IF(RIGHT(TRIM(LEFT($D2,FIND("/",$D2)-1)),2)="kB",VALUE(LEFT(TRIM(LEFT($D2,FIND("/",$D2)-1)),LEN(TRIM(LEFT($D2,FIND("/",$D2)-1)))-2))*1000/1024/1024,IF(RIGHT(TRIM(LEFT($D2,FIND("/",$D2)-1)),2)="MB",VALUE(LEFT(TRIM(LEFT($D2,FIND("/",$D2)-1)),LEN(TRIM(LEFT($D2,FIND("/",$D2)-1)))-2))*1000000/1024/1024,IF(RIGHT(TRIM(LEFT($D2,FIND("/",$D2)-1)),2)="GB",VALUE(LEFT(TRIM(LEFT($D2,FIND("/",$D2)-1)),LEN(TRIM(LEFT($D2,FIND("/",$D2)-1)))-2))*1000000000/1024/1024,""))),"")</calculatedColumnFormula>
    </tableColumn>
    <tableColumn id="2" xr3:uid="{5EFA140F-9C74-EB4F-AFBE-9B5D931E1F67}" name="blk_write_mib" dataDxfId="6">
      <calculatedColumnFormula>IFERROR(IF(RIGHT(TRIM(MID($D2,FIND("/",$D2)+1,999)),2)="kB",VALUE(LEFT(TRIM(MID($D2,FIND("/",$D2)+1,999)),LEN(TRIM(MID($D2,FIND("/",$D2)+1,999)))-2))*1000/1024/1024,IF(RIGHT(TRIM(MID($D2,FIND("/",$D2)+1,999)),2)="MB",VALUE(LEFT(TRIM(MID($D2,FIND("/",$D2)+1,999)),LEN(TRIM(MID($D2,FIND("/",$D2)+1,999)))-2))*1000000/1024/1024,IF(RIGHT(TRIM(MID($D2,FIND("/",$D2)+1,999)),2)="GB",VALUE(LEFT(TRIM(MID($D2,FIND("/",$D2)+1,999)),LEN(TRIM(MID($D2,FIND("/",$D2)+1,999)))-2))*1000000000/1024/1024,""))),"")</calculatedColumnFormula>
    </tableColumn>
    <tableColumn id="3" xr3:uid="{2B7F0A09-3FC3-6F48-9C10-A71560A3827C}" name="blk_total_mib" dataDxfId="5">
      <calculatedColumnFormula>IFERROR($E2+$F2,"")</calculatedColumnFormula>
    </tableColumn>
    <tableColumn id="4" xr3:uid="{71FA98DE-A512-1C47-B912-794BCB93780D}" name="elapsed_s" dataDxfId="4">
      <calculatedColumnFormula>IF($A2&lt;&gt;$A1,0,IF($B2=$B1,$H1,$H1+5))</calculatedColumnFormula>
    </tableColumn>
    <tableColumn id="5" xr3:uid="{1A117E88-D2EA-6E45-91FA-7B0BDD93A69D}" name="blk_read_mib_delta" dataDxfId="3">
      <calculatedColumnFormula>IF($B2=_xlfn.MINIFS($B$2:$B$349,$A$2:$A$349,$A2,$C$2:$C$349,$C2),0,IFERROR(MAX(0,$E2-SUMIFS($E$2:$E$349,$A$2:$A$349,$A2,$C$2:$C$349,$C2,$B$2:$B$349,_xlfn.MAXIFS($B$2:$B$349,$A$2:$A$349,$A2,$C$2:$C$349,$C2,$B$2:$B$349,"&lt;"&amp;$B2))),0))</calculatedColumnFormula>
    </tableColumn>
    <tableColumn id="6" xr3:uid="{E579092C-9259-7248-BCBA-E6AF2EDF2845}" name="blk_write_mib_delta" dataDxfId="2">
      <calculatedColumnFormula>IF($B2=_xlfn.MINIFS($B$2:$B$349,$A$2:$A$349,$A2,$C$2:$C$349,$C2),0,IFERROR(MAX(0,$F2-SUMIFS($F$2:$F$349,$A$2:$A$349,$A2,$C$2:$C$349,$C2,$B$2:$B$349,_xlfn.MAXIFS($B$2:$B$349,$A$2:$A$349,$A2,$C$2:$C$349,$C2,$B$2:$B$349,"&lt;"&amp;$B2))),0))</calculatedColumnFormula>
    </tableColumn>
    <tableColumn id="7" xr3:uid="{40537ECF-679F-F54B-BAFE-864097237490}" name="blk_total_mib_delta" dataDxfId="1">
      <calculatedColumnFormula>IF($B2=_xlfn.MINIFS($B$2:$B$349,$A$2:$A$349,$A2,$C$2:$C$349,$C2),0,IFERROR(MAX(0,$G2-SUMIFS($G$2:$G$349,$A$2:$A$349,$A2,$C$2:$C$349,$C2,$B$2:$B$349,_xlfn.MAXIFS($B$2:$B$349,$A$2:$A$349,$A2,$C$2:$C$349,$C2,$B$2:$B$349,"&lt;"&amp;$B2))),0))</calculatedColumnFormula>
    </tableColumn>
    <tableColumn id="8" xr3:uid="{471E9A12-4B0C-2440-8EDC-BEDE33B6B1F9}" name="blk_total_mib_job" dataDxfId="0">
      <calculatedColumnFormula>IFERROR(MAX(0,$G2-SUMIFS($G$2:$G$349,$A$2:$A$349,$A2,$C$2:$C$349,$C2,$B$2:$B$349,_xludf.MINIFS($B$2:$B$349,$A$2:$A$349,$A2,$C$2:$C$349,$C2))),0)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9"/>
  <sheetViews>
    <sheetView topLeftCell="A232" workbookViewId="0">
      <selection activeCell="A263" sqref="A263"/>
    </sheetView>
  </sheetViews>
  <sheetFormatPr baseColWidth="10" defaultColWidth="8.83203125" defaultRowHeight="16" x14ac:dyDescent="0.2"/>
  <cols>
    <col min="1" max="2" width="33" customWidth="1"/>
    <col min="3" max="3" width="22.1640625" customWidth="1"/>
    <col min="4" max="4" width="33.5" customWidth="1"/>
    <col min="5" max="5" width="14.83203125" customWidth="1"/>
    <col min="6" max="6" width="15.5" customWidth="1"/>
    <col min="7" max="7" width="15" customWidth="1"/>
    <col min="8" max="8" width="11.6640625" customWidth="1"/>
    <col min="9" max="9" width="21.83203125" customWidth="1"/>
    <col min="10" max="10" width="25.5" customWidth="1"/>
    <col min="11" max="11" width="24" customWidth="1"/>
    <col min="12" max="12" width="18.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s="2" t="s">
        <v>12</v>
      </c>
      <c r="B2" s="2">
        <v>1767073394</v>
      </c>
      <c r="C2" s="2" t="s">
        <v>13</v>
      </c>
      <c r="D2" s="2" t="s">
        <v>14</v>
      </c>
      <c r="E2" s="3">
        <f t="shared" ref="E2:E65" si="0">IFERROR(IF(RIGHT(TRIM(LEFT($D2,FIND("/",$D2)-1)),2)="kB",VALUE(LEFT(TRIM(LEFT($D2,FIND("/",$D2)-1)),LEN(TRIM(LEFT($D2,FIND("/",$D2)-1)))-2))*1000/1024/1024,IF(RIGHT(TRIM(LEFT($D2,FIND("/",$D2)-1)),2)="MB",VALUE(LEFT(TRIM(LEFT($D2,FIND("/",$D2)-1)),LEN(TRIM(LEFT($D2,FIND("/",$D2)-1)))-2))*1000000/1024/1024,IF(RIGHT(TRIM(LEFT($D2,FIND("/",$D2)-1)),2)="GB",VALUE(LEFT(TRIM(LEFT($D2,FIND("/",$D2)-1)),LEN(TRIM(LEFT($D2,FIND("/",$D2)-1)))-2))*1000000000/1024/1024,""))),"")</f>
        <v>751.495361328125</v>
      </c>
      <c r="F2" s="3">
        <f t="shared" ref="F2:F65" si="1">IFERROR(IF(RIGHT(TRIM(MID($D2,FIND("/",$D2)+1,999)),2)="kB",VALUE(LEFT(TRIM(MID($D2,FIND("/",$D2)+1,999)),LEN(TRIM(MID($D2,FIND("/",$D2)+1,999)))-2))*1000/1024/1024,IF(RIGHT(TRIM(MID($D2,FIND("/",$D2)+1,999)),2)="MB",VALUE(LEFT(TRIM(MID($D2,FIND("/",$D2)+1,999)),LEN(TRIM(MID($D2,FIND("/",$D2)+1,999)))-2))*1000000/1024/1024,IF(RIGHT(TRIM(MID($D2,FIND("/",$D2)+1,999)),2)="GB",VALUE(LEFT(TRIM(MID($D2,FIND("/",$D2)+1,999)),LEN(TRIM(MID($D2,FIND("/",$D2)+1,999)))-2))*1000000000/1024/1024,""))),"")</f>
        <v>289.9169921875</v>
      </c>
      <c r="G2" s="3">
        <f t="shared" ref="G2:G65" si="2">IFERROR($E2+$F2,"")</f>
        <v>1041.412353515625</v>
      </c>
      <c r="H2" s="4">
        <f t="shared" ref="H2:H65" si="3">IF($A2&lt;&gt;$A1,0,IF($B2=$B1,$H1,$H1+5))</f>
        <v>0</v>
      </c>
      <c r="I2" s="3">
        <f>IF($B2=_xlfn.MINIFS($B$2:$B$349,$A$2:$A$349,$A2,$C$2:$C$349,$C2),0,IFERROR(MAX(0,$E2-SUMIFS($E$2:$E$349,$A$2:$A$349,$A2,$C$2:$C$349,$C2,$B$2:$B$349,_xlfn.MAXIFS($B$2:$B$349,$A$2:$A$349,$A2,$C$2:$C$349,$C2,$B$2:$B$349,"&lt;"&amp;$B2))),0))</f>
        <v>0</v>
      </c>
      <c r="J2" s="3">
        <f>IF($B2=_xlfn.MINIFS($B$2:$B$349,$A$2:$A$349,$A2,$C$2:$C$349,$C2),0,IFERROR(MAX(0,$F2-SUMIFS($F$2:$F$349,$A$2:$A$349,$A2,$C$2:$C$349,$C2,$B$2:$B$349,_xlfn.MAXIFS($B$2:$B$349,$A$2:$A$349,$A2,$C$2:$C$349,$C2,$B$2:$B$349,"&lt;"&amp;$B2))),0))</f>
        <v>0</v>
      </c>
      <c r="K2" s="3">
        <f>IF($B2=_xlfn.MINIFS($B$2:$B$349,$A$2:$A$349,$A2,$C$2:$C$349,$C2),0,IFERROR(MAX(0,$G2-SUMIFS($G$2:$G$349,$A$2:$A$349,$A2,$C$2:$C$349,$C2,$B$2:$B$349,_xlfn.MAXIFS($B$2:$B$349,$A$2:$A$349,$A2,$C$2:$C$349,$C2,$B$2:$B$349,"&lt;"&amp;$B2))),0))</f>
        <v>0</v>
      </c>
      <c r="L2" s="3">
        <f ca="1">IFERROR(MAX(0,$G2-SUMIFS($G$2:$G$349,$A$2:$A$349,$A2,$C$2:$C$349,$C2,$B$2:$B$349,_xludf.MINIFS($B$2:$B$349,$A$2:$A$349,$A2,$C$2:$C$349,$C2))),0)</f>
        <v>1041.412353515625</v>
      </c>
    </row>
    <row r="3" spans="1:12" x14ac:dyDescent="0.2">
      <c r="A3" s="2" t="s">
        <v>12</v>
      </c>
      <c r="B3" s="2">
        <v>1767073394</v>
      </c>
      <c r="C3" s="2" t="s">
        <v>15</v>
      </c>
      <c r="D3" s="2" t="s">
        <v>16</v>
      </c>
      <c r="E3" s="3">
        <f t="shared" si="0"/>
        <v>3643.035888671875</v>
      </c>
      <c r="F3" s="3">
        <f t="shared" si="1"/>
        <v>4129.4097900390625</v>
      </c>
      <c r="G3" s="3">
        <f t="shared" si="2"/>
        <v>7772.4456787109375</v>
      </c>
      <c r="H3" s="4">
        <f t="shared" si="3"/>
        <v>0</v>
      </c>
      <c r="I3" s="3">
        <f>IF($B3=_xlfn.MINIFS($B$2:$B$349,$A$2:$A$349,$A3,$C$2:$C$349,$C3),0,IFERROR(MAX(0,$E3-SUMIFS($E$2:$E$349,$A$2:$A$349,$A3,$C$2:$C$349,$C3,$B$2:$B$349,_xlfn.MAXIFS($B$2:$B$349,$A$2:$A$349,$A3,$C$2:$C$349,$C3,$B$2:$B$349,"&lt;"&amp;$B3))),0))</f>
        <v>0</v>
      </c>
      <c r="J3" s="3">
        <f t="shared" ref="J3:J68" si="4">IF($B3=_xlfn.MINIFS($B$2:$B$349,$A$2:$A$349,$A3,$C$2:$C$349,$C3),0,IFERROR(MAX(0,$F3-SUMIFS($F$2:$F$349,$A$2:$A$349,$A3,$C$2:$C$349,$C3,$B$2:$B$349,_xlfn.MAXIFS($B$2:$B$349,$A$2:$A$349,$A3,$C$2:$C$349,$C3,$B$2:$B$349,"&lt;"&amp;$B3))),0))</f>
        <v>0</v>
      </c>
      <c r="K3" s="3">
        <f t="shared" ref="K3:K66" si="5">IF($B3=_xlfn.MINIFS($B$2:$B$349,$A$2:$A$349,$A3,$C$2:$C$349,$C3),0,IFERROR(MAX(0,$G3-SUMIFS($G$2:$G$349,$A$2:$A$349,$A3,$C$2:$C$349,$C3,$B$2:$B$349,_xlfn.MAXIFS($B$2:$B$349,$A$2:$A$349,$A3,$C$2:$C$349,$C3,$B$2:$B$349,"&lt;"&amp;$B3))),0))</f>
        <v>0</v>
      </c>
      <c r="L3" s="3">
        <f ca="1">IFERROR(MAX(0,$G3-SUMIFS($G$2:$G$349,$A$2:$A$349,$A3,$C$2:$C$349,$C3,$B$2:$B$349,_xludf.MINIFS($B$2:$B$349,$A$2:$A$349,$A3,$C$2:$C$349,$C3))),0)</f>
        <v>7772.4456787109375</v>
      </c>
    </row>
    <row r="4" spans="1:12" x14ac:dyDescent="0.2">
      <c r="A4" s="2" t="s">
        <v>12</v>
      </c>
      <c r="B4" s="2">
        <v>1767073394</v>
      </c>
      <c r="C4" s="2" t="s">
        <v>17</v>
      </c>
      <c r="D4" s="2" t="s">
        <v>18</v>
      </c>
      <c r="E4" s="3">
        <f t="shared" si="0"/>
        <v>206.94732666015625</v>
      </c>
      <c r="F4" s="3">
        <f t="shared" si="1"/>
        <v>390.05279541015625</v>
      </c>
      <c r="G4" s="3">
        <f t="shared" si="2"/>
        <v>597.0001220703125</v>
      </c>
      <c r="H4" s="4">
        <f t="shared" si="3"/>
        <v>0</v>
      </c>
      <c r="I4" s="3">
        <f t="shared" ref="I4:I5" si="6">IF($B4=_xlfn.MINIFS($B$2:$B$349,$A$2:$A$349,$A4,$C$2:$C$349,$C4),0,IFERROR(MAX(0,$E4-SUMIFS($E$2:$E$349,$A$2:$A$349,$A4,$C$2:$C$349,$C4,$B$2:$B$349,_xlfn.MAXIFS($B$2:$B$349,$A$2:$A$349,$A4,$C$2:$C$349,$C4,$B$2:$B$349,"&lt;"&amp;$B4))),0))</f>
        <v>0</v>
      </c>
      <c r="J4" s="3">
        <f t="shared" si="4"/>
        <v>0</v>
      </c>
      <c r="K4" s="3">
        <f t="shared" si="5"/>
        <v>0</v>
      </c>
      <c r="L4" s="3">
        <f ca="1">IFERROR(MAX(0,$G4-SUMIFS($G$2:$G$349,$A$2:$A$349,$A4,$C$2:$C$349,$C4,$B$2:$B$349,_xludf.MINIFS($B$2:$B$349,$A$2:$A$349,$A4,$C$2:$C$349,$C4))),0)</f>
        <v>597.0001220703125</v>
      </c>
    </row>
    <row r="5" spans="1:12" x14ac:dyDescent="0.2">
      <c r="A5" s="2" t="s">
        <v>12</v>
      </c>
      <c r="B5" s="2">
        <v>1767073394</v>
      </c>
      <c r="C5" s="2" t="s">
        <v>19</v>
      </c>
      <c r="D5" s="2" t="s">
        <v>20</v>
      </c>
      <c r="E5" s="3">
        <f t="shared" si="0"/>
        <v>2622.6043701171875</v>
      </c>
      <c r="F5" s="3">
        <f t="shared" si="1"/>
        <v>6179.8095703125</v>
      </c>
      <c r="G5" s="3">
        <f t="shared" si="2"/>
        <v>8802.4139404296875</v>
      </c>
      <c r="H5" s="4">
        <f t="shared" si="3"/>
        <v>0</v>
      </c>
      <c r="I5" s="3">
        <f t="shared" si="6"/>
        <v>0</v>
      </c>
      <c r="J5" s="3">
        <f t="shared" si="4"/>
        <v>0</v>
      </c>
      <c r="K5" s="3">
        <f t="shared" si="5"/>
        <v>0</v>
      </c>
      <c r="L5" s="3">
        <f ca="1">IFERROR(MAX(0,$G5-SUMIFS($G$2:$G$349,$A$2:$A$349,$A5,$C$2:$C$349,$C5,$B$2:$B$349,_xludf.MINIFS($B$2:$B$349,$A$2:$A$349,$A5,$C$2:$C$349,$C5))),0)</f>
        <v>8802.4139404296875</v>
      </c>
    </row>
    <row r="6" spans="1:12" x14ac:dyDescent="0.2">
      <c r="A6" s="2" t="s">
        <v>12</v>
      </c>
      <c r="B6" s="2">
        <v>1767073401</v>
      </c>
      <c r="C6" s="2" t="s">
        <v>13</v>
      </c>
      <c r="D6" s="2" t="s">
        <v>21</v>
      </c>
      <c r="E6" s="3">
        <f t="shared" si="0"/>
        <v>756.26373291015625</v>
      </c>
      <c r="F6" s="3">
        <f t="shared" si="1"/>
        <v>289.9169921875</v>
      </c>
      <c r="G6" s="3">
        <f t="shared" si="2"/>
        <v>1046.1807250976562</v>
      </c>
      <c r="H6" s="4">
        <f t="shared" si="3"/>
        <v>5</v>
      </c>
      <c r="I6" s="3">
        <f>IF($B6=_xlfn.MINIFS($B$2:$B$349,$A$2:$A$349,$A6,$C$2:$C$349,$C6),0,IFERROR(MAX(0,$E6-SUMIFS($E$2:$E$349,$A$2:$A$349,$A6,$C$2:$C$349,$C6,$B$2:$B$349,_xlfn.MAXIFS($B$2:$B$349,$A$2:$A$349,$A6,$C$2:$C$349,$C6,$B$2:$B$349,"&lt;"&amp;$B6))),0))</f>
        <v>4.76837158203125</v>
      </c>
      <c r="J6" s="3">
        <f t="shared" si="4"/>
        <v>0</v>
      </c>
      <c r="K6" s="3">
        <f t="shared" si="5"/>
        <v>4.76837158203125</v>
      </c>
      <c r="L6" s="3">
        <f ca="1">IFERROR(MAX(0,$G6-SUMIFS($G$2:$G$349,$A$2:$A$349,$A6,$C$2:$C$349,$C6,$B$2:$B$349,_xludf.MINIFS($B$2:$B$349,$A$2:$A$349,$A6,$C$2:$C$349,$C6))),0)</f>
        <v>1046.1807250976562</v>
      </c>
    </row>
    <row r="7" spans="1:12" x14ac:dyDescent="0.2">
      <c r="A7" s="2" t="s">
        <v>12</v>
      </c>
      <c r="B7" s="2">
        <v>1767073401</v>
      </c>
      <c r="C7" s="2" t="s">
        <v>15</v>
      </c>
      <c r="D7" s="2" t="s">
        <v>16</v>
      </c>
      <c r="E7" s="3">
        <f t="shared" si="0"/>
        <v>3643.035888671875</v>
      </c>
      <c r="F7" s="3">
        <f t="shared" si="1"/>
        <v>4129.4097900390625</v>
      </c>
      <c r="G7" s="3">
        <f t="shared" si="2"/>
        <v>7772.4456787109375</v>
      </c>
      <c r="H7" s="4">
        <f t="shared" si="3"/>
        <v>5</v>
      </c>
      <c r="I7" s="3">
        <f t="shared" ref="I7:I69" si="7">IF($B7=_xlfn.MINIFS($B$2:$B$349,$A$2:$A$349,$A7,$C$2:$C$349,$C7),0,IFERROR(MAX(0,$E7-SUMIFS($E$2:$E$349,$A$2:$A$349,$A7,$C$2:$C$349,$C7,$B$2:$B$349,_xlfn.MAXIFS($B$2:$B$349,$A$2:$A$349,$A7,$C$2:$C$349,$C7,$B$2:$B$349,"&lt;"&amp;$B7))),0))</f>
        <v>0</v>
      </c>
      <c r="J7" s="3">
        <f t="shared" si="4"/>
        <v>0</v>
      </c>
      <c r="K7" s="3">
        <f t="shared" si="5"/>
        <v>0</v>
      </c>
      <c r="L7" s="3">
        <f ca="1">IFERROR(MAX(0,$G7-SUMIFS($G$2:$G$349,$A$2:$A$349,$A7,$C$2:$C$349,$C7,$B$2:$B$349,_xludf.MINIFS($B$2:$B$349,$A$2:$A$349,$A7,$C$2:$C$349,$C7))),0)</f>
        <v>7772.4456787109375</v>
      </c>
    </row>
    <row r="8" spans="1:12" x14ac:dyDescent="0.2">
      <c r="A8" s="2" t="s">
        <v>12</v>
      </c>
      <c r="B8" s="2">
        <v>1767073401</v>
      </c>
      <c r="C8" s="2" t="s">
        <v>17</v>
      </c>
      <c r="D8" s="2" t="s">
        <v>22</v>
      </c>
      <c r="E8" s="3">
        <f t="shared" si="0"/>
        <v>209.808349609375</v>
      </c>
      <c r="F8" s="3">
        <f t="shared" si="1"/>
        <v>390.05279541015625</v>
      </c>
      <c r="G8" s="3">
        <f t="shared" si="2"/>
        <v>599.86114501953125</v>
      </c>
      <c r="H8" s="4">
        <f t="shared" si="3"/>
        <v>5</v>
      </c>
      <c r="I8" s="3">
        <f t="shared" si="7"/>
        <v>2.86102294921875</v>
      </c>
      <c r="J8" s="3">
        <f t="shared" si="4"/>
        <v>0</v>
      </c>
      <c r="K8" s="3">
        <f t="shared" si="5"/>
        <v>2.86102294921875</v>
      </c>
      <c r="L8" s="3">
        <f ca="1">IFERROR(MAX(0,$G8-SUMIFS($G$2:$G$349,$A$2:$A$349,$A8,$C$2:$C$349,$C8,$B$2:$B$349,_xludf.MINIFS($B$2:$B$349,$A$2:$A$349,$A8,$C$2:$C$349,$C8))),0)</f>
        <v>599.86114501953125</v>
      </c>
    </row>
    <row r="9" spans="1:12" x14ac:dyDescent="0.2">
      <c r="A9" s="2" t="s">
        <v>12</v>
      </c>
      <c r="B9" s="2">
        <v>1767073401</v>
      </c>
      <c r="C9" s="2" t="s">
        <v>19</v>
      </c>
      <c r="D9" s="2" t="s">
        <v>20</v>
      </c>
      <c r="E9" s="3">
        <f t="shared" si="0"/>
        <v>2622.6043701171875</v>
      </c>
      <c r="F9" s="3">
        <f t="shared" si="1"/>
        <v>6179.8095703125</v>
      </c>
      <c r="G9" s="3">
        <f t="shared" si="2"/>
        <v>8802.4139404296875</v>
      </c>
      <c r="H9" s="4">
        <f t="shared" si="3"/>
        <v>5</v>
      </c>
      <c r="I9" s="3">
        <f t="shared" si="7"/>
        <v>0</v>
      </c>
      <c r="J9" s="3">
        <f t="shared" si="4"/>
        <v>0</v>
      </c>
      <c r="K9" s="3">
        <f t="shared" si="5"/>
        <v>0</v>
      </c>
      <c r="L9" s="3">
        <f ca="1">IFERROR(MAX(0,$G9-SUMIFS($G$2:$G$349,$A$2:$A$349,$A9,$C$2:$C$349,$C9,$B$2:$B$349,_xludf.MINIFS($B$2:$B$349,$A$2:$A$349,$A9,$C$2:$C$349,$C9))),0)</f>
        <v>8802.4139404296875</v>
      </c>
    </row>
    <row r="10" spans="1:12" x14ac:dyDescent="0.2">
      <c r="A10" s="2" t="s">
        <v>12</v>
      </c>
      <c r="B10" s="2">
        <v>1767073409</v>
      </c>
      <c r="C10" s="2" t="s">
        <v>13</v>
      </c>
      <c r="D10" s="2" t="s">
        <v>21</v>
      </c>
      <c r="E10" s="3">
        <f t="shared" si="0"/>
        <v>756.26373291015625</v>
      </c>
      <c r="F10" s="3">
        <f t="shared" si="1"/>
        <v>289.9169921875</v>
      </c>
      <c r="G10" s="3">
        <f t="shared" si="2"/>
        <v>1046.1807250976562</v>
      </c>
      <c r="H10" s="4">
        <f t="shared" si="3"/>
        <v>10</v>
      </c>
      <c r="I10" s="3">
        <f t="shared" si="7"/>
        <v>0</v>
      </c>
      <c r="J10" s="3">
        <f t="shared" si="4"/>
        <v>0</v>
      </c>
      <c r="K10" s="3">
        <f t="shared" si="5"/>
        <v>0</v>
      </c>
      <c r="L10" s="3">
        <f ca="1">IFERROR(MAX(0,$G10-SUMIFS($G$2:$G$349,$A$2:$A$349,$A10,$C$2:$C$349,$C10,$B$2:$B$349,_xludf.MINIFS($B$2:$B$349,$A$2:$A$349,$A10,$C$2:$C$349,$C10))),0)</f>
        <v>1046.1807250976562</v>
      </c>
    </row>
    <row r="11" spans="1:12" x14ac:dyDescent="0.2">
      <c r="A11" s="2" t="s">
        <v>12</v>
      </c>
      <c r="B11" s="2">
        <v>1767073409</v>
      </c>
      <c r="C11" s="2" t="s">
        <v>15</v>
      </c>
      <c r="D11" s="2" t="s">
        <v>23</v>
      </c>
      <c r="E11" s="3">
        <f t="shared" si="0"/>
        <v>3643.035888671875</v>
      </c>
      <c r="F11" s="3">
        <f t="shared" si="1"/>
        <v>4138.946533203125</v>
      </c>
      <c r="G11" s="3">
        <f t="shared" si="2"/>
        <v>7781.982421875</v>
      </c>
      <c r="H11" s="4">
        <f t="shared" si="3"/>
        <v>10</v>
      </c>
      <c r="I11" s="3">
        <f t="shared" si="7"/>
        <v>0</v>
      </c>
      <c r="J11" s="3">
        <f t="shared" si="4"/>
        <v>9.5367431640625</v>
      </c>
      <c r="K11" s="3">
        <f t="shared" si="5"/>
        <v>9.5367431640625</v>
      </c>
      <c r="L11" s="3">
        <f ca="1">IFERROR(MAX(0,$G11-SUMIFS($G$2:$G$349,$A$2:$A$349,$A11,$C$2:$C$349,$C11,$B$2:$B$349,_xludf.MINIFS($B$2:$B$349,$A$2:$A$349,$A11,$C$2:$C$349,$C11))),0)</f>
        <v>7781.982421875</v>
      </c>
    </row>
    <row r="12" spans="1:12" x14ac:dyDescent="0.2">
      <c r="A12" s="2" t="s">
        <v>12</v>
      </c>
      <c r="B12" s="2">
        <v>1767073409</v>
      </c>
      <c r="C12" s="2" t="s">
        <v>17</v>
      </c>
      <c r="D12" s="2" t="s">
        <v>24</v>
      </c>
      <c r="E12" s="3">
        <f t="shared" si="0"/>
        <v>211.7156982421875</v>
      </c>
      <c r="F12" s="3">
        <f t="shared" si="1"/>
        <v>390.05279541015625</v>
      </c>
      <c r="G12" s="3">
        <f t="shared" si="2"/>
        <v>601.76849365234375</v>
      </c>
      <c r="H12" s="4">
        <f t="shared" si="3"/>
        <v>10</v>
      </c>
      <c r="I12" s="3">
        <f t="shared" si="7"/>
        <v>1.9073486328125</v>
      </c>
      <c r="J12" s="3">
        <f t="shared" si="4"/>
        <v>0</v>
      </c>
      <c r="K12" s="3">
        <f t="shared" si="5"/>
        <v>1.9073486328125</v>
      </c>
      <c r="L12" s="3">
        <f ca="1">IFERROR(MAX(0,$G12-SUMIFS($G$2:$G$349,$A$2:$A$349,$A12,$C$2:$C$349,$C12,$B$2:$B$349,_xludf.MINIFS($B$2:$B$349,$A$2:$A$349,$A12,$C$2:$C$349,$C12))),0)</f>
        <v>601.76849365234375</v>
      </c>
    </row>
    <row r="13" spans="1:12" x14ac:dyDescent="0.2">
      <c r="A13" s="2" t="s">
        <v>12</v>
      </c>
      <c r="B13" s="2">
        <v>1767073409</v>
      </c>
      <c r="C13" s="2" t="s">
        <v>19</v>
      </c>
      <c r="D13" s="2" t="s">
        <v>20</v>
      </c>
      <c r="E13" s="3">
        <f t="shared" si="0"/>
        <v>2622.6043701171875</v>
      </c>
      <c r="F13" s="3">
        <f t="shared" si="1"/>
        <v>6179.8095703125</v>
      </c>
      <c r="G13" s="3">
        <f t="shared" si="2"/>
        <v>8802.4139404296875</v>
      </c>
      <c r="H13" s="4">
        <f t="shared" si="3"/>
        <v>10</v>
      </c>
      <c r="I13" s="3">
        <f t="shared" si="7"/>
        <v>0</v>
      </c>
      <c r="J13" s="3">
        <f t="shared" si="4"/>
        <v>0</v>
      </c>
      <c r="K13" s="3">
        <f t="shared" si="5"/>
        <v>0</v>
      </c>
      <c r="L13" s="3">
        <f ca="1">IFERROR(MAX(0,$G13-SUMIFS($G$2:$G$349,$A$2:$A$349,$A13,$C$2:$C$349,$C13,$B$2:$B$349,_xludf.MINIFS($B$2:$B$349,$A$2:$A$349,$A13,$C$2:$C$349,$C13))),0)</f>
        <v>8802.4139404296875</v>
      </c>
    </row>
    <row r="14" spans="1:12" x14ac:dyDescent="0.2">
      <c r="A14" s="2" t="s">
        <v>12</v>
      </c>
      <c r="B14" s="2">
        <v>1767073416</v>
      </c>
      <c r="C14" s="2" t="s">
        <v>13</v>
      </c>
      <c r="D14" s="2" t="s">
        <v>21</v>
      </c>
      <c r="E14" s="3">
        <f t="shared" si="0"/>
        <v>756.26373291015625</v>
      </c>
      <c r="F14" s="3">
        <f t="shared" si="1"/>
        <v>289.9169921875</v>
      </c>
      <c r="G14" s="3">
        <f t="shared" si="2"/>
        <v>1046.1807250976562</v>
      </c>
      <c r="H14" s="4">
        <f t="shared" si="3"/>
        <v>15</v>
      </c>
      <c r="I14" s="3">
        <f t="shared" si="7"/>
        <v>0</v>
      </c>
      <c r="J14" s="3">
        <f t="shared" si="4"/>
        <v>0</v>
      </c>
      <c r="K14" s="3">
        <f t="shared" si="5"/>
        <v>0</v>
      </c>
      <c r="L14" s="3">
        <f ca="1">IFERROR(MAX(0,$G14-SUMIFS($G$2:$G$349,$A$2:$A$349,$A14,$C$2:$C$349,$C14,$B$2:$B$349,_xludf.MINIFS($B$2:$B$349,$A$2:$A$349,$A14,$C$2:$C$349,$C14))),0)</f>
        <v>1046.1807250976562</v>
      </c>
    </row>
    <row r="15" spans="1:12" x14ac:dyDescent="0.2">
      <c r="A15" s="2" t="s">
        <v>12</v>
      </c>
      <c r="B15" s="2">
        <v>1767073416</v>
      </c>
      <c r="C15" s="2" t="s">
        <v>15</v>
      </c>
      <c r="D15" s="2" t="s">
        <v>23</v>
      </c>
      <c r="E15" s="3">
        <f t="shared" si="0"/>
        <v>3643.035888671875</v>
      </c>
      <c r="F15" s="3">
        <f t="shared" si="1"/>
        <v>4138.946533203125</v>
      </c>
      <c r="G15" s="3">
        <f t="shared" si="2"/>
        <v>7781.982421875</v>
      </c>
      <c r="H15" s="4">
        <f t="shared" si="3"/>
        <v>15</v>
      </c>
      <c r="I15" s="3">
        <f t="shared" si="7"/>
        <v>0</v>
      </c>
      <c r="J15" s="3">
        <f t="shared" si="4"/>
        <v>0</v>
      </c>
      <c r="K15" s="3">
        <f t="shared" si="5"/>
        <v>0</v>
      </c>
      <c r="L15" s="3">
        <f ca="1">IFERROR(MAX(0,$G15-SUMIFS($G$2:$G$349,$A$2:$A$349,$A15,$C$2:$C$349,$C15,$B$2:$B$349,_xludf.MINIFS($B$2:$B$349,$A$2:$A$349,$A15,$C$2:$C$349,$C15))),0)</f>
        <v>7781.982421875</v>
      </c>
    </row>
    <row r="16" spans="1:12" x14ac:dyDescent="0.2">
      <c r="A16" s="2" t="s">
        <v>12</v>
      </c>
      <c r="B16" s="2">
        <v>1767073416</v>
      </c>
      <c r="C16" s="2" t="s">
        <v>17</v>
      </c>
      <c r="D16" s="2" t="s">
        <v>25</v>
      </c>
      <c r="E16" s="3">
        <f t="shared" si="0"/>
        <v>212.66937255859375</v>
      </c>
      <c r="F16" s="3">
        <f t="shared" si="1"/>
        <v>390.05279541015625</v>
      </c>
      <c r="G16" s="3">
        <f t="shared" si="2"/>
        <v>602.72216796875</v>
      </c>
      <c r="H16" s="4">
        <f t="shared" si="3"/>
        <v>15</v>
      </c>
      <c r="I16" s="3">
        <f t="shared" si="7"/>
        <v>0.95367431640625</v>
      </c>
      <c r="J16" s="3">
        <f t="shared" si="4"/>
        <v>0</v>
      </c>
      <c r="K16" s="3">
        <f t="shared" si="5"/>
        <v>0.95367431640625</v>
      </c>
      <c r="L16" s="3">
        <f ca="1">IFERROR(MAX(0,$G16-SUMIFS($G$2:$G$349,$A$2:$A$349,$A16,$C$2:$C$349,$C16,$B$2:$B$349,_xludf.MINIFS($B$2:$B$349,$A$2:$A$349,$A16,$C$2:$C$349,$C16))),0)</f>
        <v>602.72216796875</v>
      </c>
    </row>
    <row r="17" spans="1:12" x14ac:dyDescent="0.2">
      <c r="A17" s="2" t="s">
        <v>12</v>
      </c>
      <c r="B17" s="2">
        <v>1767073416</v>
      </c>
      <c r="C17" s="2" t="s">
        <v>19</v>
      </c>
      <c r="D17" s="2" t="s">
        <v>20</v>
      </c>
      <c r="E17" s="3">
        <f t="shared" si="0"/>
        <v>2622.6043701171875</v>
      </c>
      <c r="F17" s="3">
        <f t="shared" si="1"/>
        <v>6179.8095703125</v>
      </c>
      <c r="G17" s="3">
        <f t="shared" si="2"/>
        <v>8802.4139404296875</v>
      </c>
      <c r="H17" s="4">
        <f t="shared" si="3"/>
        <v>15</v>
      </c>
      <c r="I17" s="3">
        <f t="shared" si="7"/>
        <v>0</v>
      </c>
      <c r="J17" s="3">
        <f t="shared" si="4"/>
        <v>0</v>
      </c>
      <c r="K17" s="3">
        <f t="shared" si="5"/>
        <v>0</v>
      </c>
      <c r="L17" s="3">
        <f ca="1">IFERROR(MAX(0,$G17-SUMIFS($G$2:$G$349,$A$2:$A$349,$A17,$C$2:$C$349,$C17,$B$2:$B$349,_xludf.MINIFS($B$2:$B$349,$A$2:$A$349,$A17,$C$2:$C$349,$C17))),0)</f>
        <v>8802.4139404296875</v>
      </c>
    </row>
    <row r="18" spans="1:12" x14ac:dyDescent="0.2">
      <c r="A18" s="2" t="s">
        <v>12</v>
      </c>
      <c r="B18" s="2">
        <v>1767073424</v>
      </c>
      <c r="C18" s="2" t="s">
        <v>13</v>
      </c>
      <c r="D18" s="2" t="s">
        <v>26</v>
      </c>
      <c r="E18" s="3">
        <f t="shared" si="0"/>
        <v>758.17108154296875</v>
      </c>
      <c r="F18" s="3">
        <f t="shared" si="1"/>
        <v>289.9169921875</v>
      </c>
      <c r="G18" s="3">
        <f t="shared" si="2"/>
        <v>1048.0880737304688</v>
      </c>
      <c r="H18" s="4">
        <f t="shared" si="3"/>
        <v>20</v>
      </c>
      <c r="I18" s="3">
        <f t="shared" si="7"/>
        <v>1.9073486328125</v>
      </c>
      <c r="J18" s="3">
        <f t="shared" si="4"/>
        <v>0</v>
      </c>
      <c r="K18" s="3">
        <f t="shared" si="5"/>
        <v>1.9073486328125</v>
      </c>
      <c r="L18" s="3">
        <f ca="1">IFERROR(MAX(0,$G18-SUMIFS($G$2:$G$349,$A$2:$A$349,$A18,$C$2:$C$349,$C18,$B$2:$B$349,_xludf.MINIFS($B$2:$B$349,$A$2:$A$349,$A18,$C$2:$C$349,$C18))),0)</f>
        <v>1048.0880737304688</v>
      </c>
    </row>
    <row r="19" spans="1:12" x14ac:dyDescent="0.2">
      <c r="A19" s="2" t="s">
        <v>12</v>
      </c>
      <c r="B19" s="2">
        <v>1767073424</v>
      </c>
      <c r="C19" s="2" t="s">
        <v>15</v>
      </c>
      <c r="D19" s="2" t="s">
        <v>27</v>
      </c>
      <c r="E19" s="3">
        <f t="shared" si="0"/>
        <v>3652.5726318359375</v>
      </c>
      <c r="F19" s="3">
        <f t="shared" si="1"/>
        <v>4138.946533203125</v>
      </c>
      <c r="G19" s="3">
        <f t="shared" si="2"/>
        <v>7791.5191650390625</v>
      </c>
      <c r="H19" s="4">
        <f t="shared" si="3"/>
        <v>20</v>
      </c>
      <c r="I19" s="3">
        <f t="shared" si="7"/>
        <v>9.5367431640625</v>
      </c>
      <c r="J19" s="3">
        <f t="shared" si="4"/>
        <v>0</v>
      </c>
      <c r="K19" s="3">
        <f t="shared" si="5"/>
        <v>9.5367431640625</v>
      </c>
      <c r="L19" s="3">
        <f ca="1">IFERROR(MAX(0,$G19-SUMIFS($G$2:$G$349,$A$2:$A$349,$A19,$C$2:$C$349,$C19,$B$2:$B$349,_xludf.MINIFS($B$2:$B$349,$A$2:$A$349,$A19,$C$2:$C$349,$C19))),0)</f>
        <v>7791.5191650390625</v>
      </c>
    </row>
    <row r="20" spans="1:12" x14ac:dyDescent="0.2">
      <c r="A20" s="2" t="s">
        <v>12</v>
      </c>
      <c r="B20" s="2">
        <v>1767073424</v>
      </c>
      <c r="C20" s="2" t="s">
        <v>17</v>
      </c>
      <c r="D20" s="2" t="s">
        <v>28</v>
      </c>
      <c r="E20" s="3">
        <f t="shared" si="0"/>
        <v>213.623046875</v>
      </c>
      <c r="F20" s="3">
        <f t="shared" si="1"/>
        <v>390.05279541015625</v>
      </c>
      <c r="G20" s="3">
        <f t="shared" si="2"/>
        <v>603.67584228515625</v>
      </c>
      <c r="H20" s="4">
        <f t="shared" si="3"/>
        <v>20</v>
      </c>
      <c r="I20" s="3">
        <f t="shared" si="7"/>
        <v>0.95367431640625</v>
      </c>
      <c r="J20" s="3">
        <f t="shared" si="4"/>
        <v>0</v>
      </c>
      <c r="K20" s="3">
        <f t="shared" si="5"/>
        <v>0.95367431640625</v>
      </c>
      <c r="L20" s="3">
        <f ca="1">IFERROR(MAX(0,$G20-SUMIFS($G$2:$G$349,$A$2:$A$349,$A20,$C$2:$C$349,$C20,$B$2:$B$349,_xludf.MINIFS($B$2:$B$349,$A$2:$A$349,$A20,$C$2:$C$349,$C20))),0)</f>
        <v>603.67584228515625</v>
      </c>
    </row>
    <row r="21" spans="1:12" x14ac:dyDescent="0.2">
      <c r="A21" s="2" t="s">
        <v>12</v>
      </c>
      <c r="B21" s="2">
        <v>1767073424</v>
      </c>
      <c r="C21" s="2" t="s">
        <v>19</v>
      </c>
      <c r="D21" s="2" t="s">
        <v>20</v>
      </c>
      <c r="E21" s="3">
        <f t="shared" si="0"/>
        <v>2622.6043701171875</v>
      </c>
      <c r="F21" s="3">
        <f t="shared" si="1"/>
        <v>6179.8095703125</v>
      </c>
      <c r="G21" s="3">
        <f t="shared" si="2"/>
        <v>8802.4139404296875</v>
      </c>
      <c r="H21" s="4">
        <f t="shared" si="3"/>
        <v>20</v>
      </c>
      <c r="I21" s="3">
        <f t="shared" si="7"/>
        <v>0</v>
      </c>
      <c r="J21" s="3">
        <f t="shared" si="4"/>
        <v>0</v>
      </c>
      <c r="K21" s="3">
        <f t="shared" si="5"/>
        <v>0</v>
      </c>
      <c r="L21" s="3">
        <f ca="1">IFERROR(MAX(0,$G21-SUMIFS($G$2:$G$349,$A$2:$A$349,$A21,$C$2:$C$349,$C21,$B$2:$B$349,_xludf.MINIFS($B$2:$B$349,$A$2:$A$349,$A21,$C$2:$C$349,$C21))),0)</f>
        <v>8802.4139404296875</v>
      </c>
    </row>
    <row r="22" spans="1:12" x14ac:dyDescent="0.2">
      <c r="A22" s="2" t="s">
        <v>12</v>
      </c>
      <c r="B22" s="2">
        <v>1767073431</v>
      </c>
      <c r="C22" s="2" t="s">
        <v>13</v>
      </c>
      <c r="D22" s="2" t="s">
        <v>29</v>
      </c>
      <c r="E22" s="3">
        <f t="shared" si="0"/>
        <v>761.0321044921875</v>
      </c>
      <c r="F22" s="3">
        <f t="shared" si="1"/>
        <v>289.9169921875</v>
      </c>
      <c r="G22" s="3">
        <f t="shared" si="2"/>
        <v>1050.9490966796875</v>
      </c>
      <c r="H22" s="4">
        <f t="shared" si="3"/>
        <v>25</v>
      </c>
      <c r="I22" s="3">
        <f t="shared" si="7"/>
        <v>2.86102294921875</v>
      </c>
      <c r="J22" s="3">
        <f t="shared" si="4"/>
        <v>0</v>
      </c>
      <c r="K22" s="3">
        <f t="shared" si="5"/>
        <v>2.86102294921875</v>
      </c>
      <c r="L22" s="3">
        <f ca="1">IFERROR(MAX(0,$G22-SUMIFS($G$2:$G$349,$A$2:$A$349,$A22,$C$2:$C$349,$C22,$B$2:$B$349,_xludf.MINIFS($B$2:$B$349,$A$2:$A$349,$A22,$C$2:$C$349,$C22))),0)</f>
        <v>1050.9490966796875</v>
      </c>
    </row>
    <row r="23" spans="1:12" x14ac:dyDescent="0.2">
      <c r="A23" s="2" t="s">
        <v>12</v>
      </c>
      <c r="B23" s="2">
        <v>1767073431</v>
      </c>
      <c r="C23" s="2" t="s">
        <v>15</v>
      </c>
      <c r="D23" s="2" t="s">
        <v>27</v>
      </c>
      <c r="E23" s="3">
        <f t="shared" si="0"/>
        <v>3652.5726318359375</v>
      </c>
      <c r="F23" s="3">
        <f t="shared" si="1"/>
        <v>4138.946533203125</v>
      </c>
      <c r="G23" s="3">
        <f t="shared" si="2"/>
        <v>7791.5191650390625</v>
      </c>
      <c r="H23" s="4">
        <f t="shared" si="3"/>
        <v>25</v>
      </c>
      <c r="I23" s="3">
        <f t="shared" si="7"/>
        <v>0</v>
      </c>
      <c r="J23" s="3">
        <f t="shared" si="4"/>
        <v>0</v>
      </c>
      <c r="K23" s="3">
        <f t="shared" si="5"/>
        <v>0</v>
      </c>
      <c r="L23" s="3">
        <f ca="1">IFERROR(MAX(0,$G23-SUMIFS($G$2:$G$349,$A$2:$A$349,$A23,$C$2:$C$349,$C23,$B$2:$B$349,_xludf.MINIFS($B$2:$B$349,$A$2:$A$349,$A23,$C$2:$C$349,$C23))),0)</f>
        <v>7791.5191650390625</v>
      </c>
    </row>
    <row r="24" spans="1:12" x14ac:dyDescent="0.2">
      <c r="A24" s="2" t="s">
        <v>12</v>
      </c>
      <c r="B24" s="2">
        <v>1767073431</v>
      </c>
      <c r="C24" s="2" t="s">
        <v>17</v>
      </c>
      <c r="D24" s="2" t="s">
        <v>30</v>
      </c>
      <c r="E24" s="3">
        <f t="shared" si="0"/>
        <v>215.5303955078125</v>
      </c>
      <c r="F24" s="3">
        <f t="shared" si="1"/>
        <v>390.05279541015625</v>
      </c>
      <c r="G24" s="3">
        <f t="shared" si="2"/>
        <v>605.58319091796875</v>
      </c>
      <c r="H24" s="4">
        <f t="shared" si="3"/>
        <v>25</v>
      </c>
      <c r="I24" s="3">
        <f t="shared" si="7"/>
        <v>1.9073486328125</v>
      </c>
      <c r="J24" s="3">
        <f t="shared" si="4"/>
        <v>0</v>
      </c>
      <c r="K24" s="3">
        <f t="shared" si="5"/>
        <v>1.9073486328125</v>
      </c>
      <c r="L24" s="3">
        <f ca="1">IFERROR(MAX(0,$G24-SUMIFS($G$2:$G$349,$A$2:$A$349,$A24,$C$2:$C$349,$C24,$B$2:$B$349,_xludf.MINIFS($B$2:$B$349,$A$2:$A$349,$A24,$C$2:$C$349,$C24))),0)</f>
        <v>605.58319091796875</v>
      </c>
    </row>
    <row r="25" spans="1:12" x14ac:dyDescent="0.2">
      <c r="A25" s="2" t="s">
        <v>12</v>
      </c>
      <c r="B25" s="2">
        <v>1767073431</v>
      </c>
      <c r="C25" s="2" t="s">
        <v>19</v>
      </c>
      <c r="D25" s="2" t="s">
        <v>20</v>
      </c>
      <c r="E25" s="3">
        <f t="shared" si="0"/>
        <v>2622.6043701171875</v>
      </c>
      <c r="F25" s="3">
        <f t="shared" si="1"/>
        <v>6179.8095703125</v>
      </c>
      <c r="G25" s="3">
        <f t="shared" si="2"/>
        <v>8802.4139404296875</v>
      </c>
      <c r="H25" s="4">
        <f t="shared" si="3"/>
        <v>25</v>
      </c>
      <c r="I25" s="3">
        <f t="shared" si="7"/>
        <v>0</v>
      </c>
      <c r="J25" s="3">
        <f t="shared" si="4"/>
        <v>0</v>
      </c>
      <c r="K25" s="3">
        <f t="shared" si="5"/>
        <v>0</v>
      </c>
      <c r="L25" s="3">
        <f ca="1">IFERROR(MAX(0,$G25-SUMIFS($G$2:$G$349,$A$2:$A$349,$A25,$C$2:$C$349,$C25,$B$2:$B$349,_xludf.MINIFS($B$2:$B$349,$A$2:$A$349,$A25,$C$2:$C$349,$C25))),0)</f>
        <v>8802.4139404296875</v>
      </c>
    </row>
    <row r="26" spans="1:12" x14ac:dyDescent="0.2">
      <c r="A26" s="2" t="s">
        <v>12</v>
      </c>
      <c r="B26" s="2">
        <v>1767073439</v>
      </c>
      <c r="C26" s="2" t="s">
        <v>13</v>
      </c>
      <c r="D26" s="2" t="s">
        <v>31</v>
      </c>
      <c r="E26" s="3">
        <f t="shared" si="0"/>
        <v>761.98577880859375</v>
      </c>
      <c r="F26" s="3">
        <f t="shared" si="1"/>
        <v>289.9169921875</v>
      </c>
      <c r="G26" s="3">
        <f t="shared" si="2"/>
        <v>1051.9027709960938</v>
      </c>
      <c r="H26" s="4">
        <f t="shared" si="3"/>
        <v>30</v>
      </c>
      <c r="I26" s="3">
        <f t="shared" si="7"/>
        <v>0.95367431640625</v>
      </c>
      <c r="J26" s="3">
        <f t="shared" si="4"/>
        <v>0</v>
      </c>
      <c r="K26" s="3">
        <f t="shared" si="5"/>
        <v>0.95367431640625</v>
      </c>
      <c r="L26" s="3">
        <f ca="1">IFERROR(MAX(0,$G26-SUMIFS($G$2:$G$349,$A$2:$A$349,$A26,$C$2:$C$349,$C26,$B$2:$B$349,_xludf.MINIFS($B$2:$B$349,$A$2:$A$349,$A26,$C$2:$C$349,$C26))),0)</f>
        <v>1051.9027709960938</v>
      </c>
    </row>
    <row r="27" spans="1:12" x14ac:dyDescent="0.2">
      <c r="A27" s="2" t="s">
        <v>12</v>
      </c>
      <c r="B27" s="2">
        <v>1767073439</v>
      </c>
      <c r="C27" s="2" t="s">
        <v>15</v>
      </c>
      <c r="D27" s="2" t="s">
        <v>27</v>
      </c>
      <c r="E27" s="3">
        <f t="shared" si="0"/>
        <v>3652.5726318359375</v>
      </c>
      <c r="F27" s="3">
        <f t="shared" si="1"/>
        <v>4138.946533203125</v>
      </c>
      <c r="G27" s="3">
        <f t="shared" si="2"/>
        <v>7791.5191650390625</v>
      </c>
      <c r="H27" s="4">
        <f t="shared" si="3"/>
        <v>30</v>
      </c>
      <c r="I27" s="3">
        <f t="shared" si="7"/>
        <v>0</v>
      </c>
      <c r="J27" s="3">
        <f t="shared" si="4"/>
        <v>0</v>
      </c>
      <c r="K27" s="3">
        <f t="shared" si="5"/>
        <v>0</v>
      </c>
      <c r="L27" s="3">
        <f ca="1">IFERROR(MAX(0,$G27-SUMIFS($G$2:$G$349,$A$2:$A$349,$A27,$C$2:$C$349,$C27,$B$2:$B$349,_xludf.MINIFS($B$2:$B$349,$A$2:$A$349,$A27,$C$2:$C$349,$C27))),0)</f>
        <v>7791.5191650390625</v>
      </c>
    </row>
    <row r="28" spans="1:12" x14ac:dyDescent="0.2">
      <c r="A28" s="2" t="s">
        <v>12</v>
      </c>
      <c r="B28" s="2">
        <v>1767073439</v>
      </c>
      <c r="C28" s="2" t="s">
        <v>17</v>
      </c>
      <c r="D28" s="2" t="s">
        <v>32</v>
      </c>
      <c r="E28" s="3">
        <f t="shared" si="0"/>
        <v>216.48406982421875</v>
      </c>
      <c r="F28" s="3">
        <f t="shared" si="1"/>
        <v>390.05279541015625</v>
      </c>
      <c r="G28" s="3">
        <f t="shared" si="2"/>
        <v>606.536865234375</v>
      </c>
      <c r="H28" s="4">
        <f t="shared" si="3"/>
        <v>30</v>
      </c>
      <c r="I28" s="3">
        <f>IF($B28=_xlfn.MINIFS($B$2:$B$349,$A$2:$A$349,$A28,$C$2:$C$349,$C28),0,IFERROR(MAX(0,$E28-SUMIFS($E$2:$E$349,$A$2:$A$349,$A28,$C$2:$C$349,$C28,$B$2:$B$349,_xlfn.MAXIFS($B$2:$B$349,$A$2:$A$349,$A28,$C$2:$C$349,$C28,$B$2:$B$349,"&lt;"&amp;$B28))),0))</f>
        <v>0.95367431640625</v>
      </c>
      <c r="J28" s="3">
        <f t="shared" si="4"/>
        <v>0</v>
      </c>
      <c r="K28" s="3">
        <f t="shared" si="5"/>
        <v>0.95367431640625</v>
      </c>
      <c r="L28" s="3">
        <f ca="1">IFERROR(MAX(0,$G28-SUMIFS($G$2:$G$349,$A$2:$A$349,$A28,$C$2:$C$349,$C28,$B$2:$B$349,_xludf.MINIFS($B$2:$B$349,$A$2:$A$349,$A28,$C$2:$C$349,$C28))),0)</f>
        <v>606.536865234375</v>
      </c>
    </row>
    <row r="29" spans="1:12" x14ac:dyDescent="0.2">
      <c r="A29" s="2" t="s">
        <v>12</v>
      </c>
      <c r="B29" s="2">
        <v>1767073439</v>
      </c>
      <c r="C29" s="2" t="s">
        <v>19</v>
      </c>
      <c r="D29" s="2" t="s">
        <v>20</v>
      </c>
      <c r="E29" s="3">
        <f t="shared" si="0"/>
        <v>2622.6043701171875</v>
      </c>
      <c r="F29" s="3">
        <f t="shared" si="1"/>
        <v>6179.8095703125</v>
      </c>
      <c r="G29" s="3">
        <f t="shared" si="2"/>
        <v>8802.4139404296875</v>
      </c>
      <c r="H29" s="4">
        <f t="shared" si="3"/>
        <v>30</v>
      </c>
      <c r="I29" s="3">
        <f t="shared" si="7"/>
        <v>0</v>
      </c>
      <c r="J29" s="3">
        <f t="shared" si="4"/>
        <v>0</v>
      </c>
      <c r="K29" s="3">
        <f t="shared" si="5"/>
        <v>0</v>
      </c>
      <c r="L29" s="3">
        <f ca="1">IFERROR(MAX(0,$G29-SUMIFS($G$2:$G$349,$A$2:$A$349,$A29,$C$2:$C$349,$C29,$B$2:$B$349,_xludf.MINIFS($B$2:$B$349,$A$2:$A$349,$A29,$C$2:$C$349,$C29))),0)</f>
        <v>8802.4139404296875</v>
      </c>
    </row>
    <row r="30" spans="1:12" x14ac:dyDescent="0.2">
      <c r="A30" s="2" t="s">
        <v>12</v>
      </c>
      <c r="B30" s="2">
        <v>1767073446</v>
      </c>
      <c r="C30" s="2" t="s">
        <v>13</v>
      </c>
      <c r="D30" s="2" t="s">
        <v>31</v>
      </c>
      <c r="E30" s="3">
        <f t="shared" si="0"/>
        <v>761.98577880859375</v>
      </c>
      <c r="F30" s="3">
        <f t="shared" si="1"/>
        <v>289.9169921875</v>
      </c>
      <c r="G30" s="3">
        <f t="shared" si="2"/>
        <v>1051.9027709960938</v>
      </c>
      <c r="H30" s="4">
        <f t="shared" si="3"/>
        <v>35</v>
      </c>
      <c r="I30" s="3">
        <f t="shared" si="7"/>
        <v>0</v>
      </c>
      <c r="J30" s="3">
        <f t="shared" si="4"/>
        <v>0</v>
      </c>
      <c r="K30" s="3">
        <f t="shared" si="5"/>
        <v>0</v>
      </c>
      <c r="L30" s="3">
        <f ca="1">IFERROR(MAX(0,$G30-SUMIFS($G$2:$G$349,$A$2:$A$349,$A30,$C$2:$C$349,$C30,$B$2:$B$349,_xludf.MINIFS($B$2:$B$349,$A$2:$A$349,$A30,$C$2:$C$349,$C30))),0)</f>
        <v>1051.9027709960938</v>
      </c>
    </row>
    <row r="31" spans="1:12" x14ac:dyDescent="0.2">
      <c r="A31" s="2" t="s">
        <v>12</v>
      </c>
      <c r="B31" s="2">
        <v>1767073446</v>
      </c>
      <c r="C31" s="2" t="s">
        <v>15</v>
      </c>
      <c r="D31" s="2" t="s">
        <v>27</v>
      </c>
      <c r="E31" s="3">
        <f t="shared" si="0"/>
        <v>3652.5726318359375</v>
      </c>
      <c r="F31" s="3">
        <f t="shared" si="1"/>
        <v>4138.946533203125</v>
      </c>
      <c r="G31" s="3">
        <f t="shared" si="2"/>
        <v>7791.5191650390625</v>
      </c>
      <c r="H31" s="4">
        <f t="shared" si="3"/>
        <v>35</v>
      </c>
      <c r="I31" s="3">
        <f t="shared" si="7"/>
        <v>0</v>
      </c>
      <c r="J31" s="3">
        <f t="shared" si="4"/>
        <v>0</v>
      </c>
      <c r="K31" s="3">
        <f t="shared" si="5"/>
        <v>0</v>
      </c>
      <c r="L31" s="3">
        <f ca="1">IFERROR(MAX(0,$G31-SUMIFS($G$2:$G$349,$A$2:$A$349,$A31,$C$2:$C$349,$C31,$B$2:$B$349,_xludf.MINIFS($B$2:$B$349,$A$2:$A$349,$A31,$C$2:$C$349,$C31))),0)</f>
        <v>7791.5191650390625</v>
      </c>
    </row>
    <row r="32" spans="1:12" x14ac:dyDescent="0.2">
      <c r="A32" s="2" t="s">
        <v>12</v>
      </c>
      <c r="B32" s="2">
        <v>1767073446</v>
      </c>
      <c r="C32" s="2" t="s">
        <v>17</v>
      </c>
      <c r="D32" s="2" t="s">
        <v>32</v>
      </c>
      <c r="E32" s="3">
        <f t="shared" si="0"/>
        <v>216.48406982421875</v>
      </c>
      <c r="F32" s="3">
        <f t="shared" si="1"/>
        <v>390.05279541015625</v>
      </c>
      <c r="G32" s="3">
        <f t="shared" si="2"/>
        <v>606.536865234375</v>
      </c>
      <c r="H32" s="4">
        <f t="shared" si="3"/>
        <v>35</v>
      </c>
      <c r="I32" s="3">
        <f t="shared" si="7"/>
        <v>0</v>
      </c>
      <c r="J32" s="3">
        <f t="shared" si="4"/>
        <v>0</v>
      </c>
      <c r="K32" s="3">
        <f t="shared" si="5"/>
        <v>0</v>
      </c>
      <c r="L32" s="3">
        <f ca="1">IFERROR(MAX(0,$G32-SUMIFS($G$2:$G$349,$A$2:$A$349,$A32,$C$2:$C$349,$C32,$B$2:$B$349,_xludf.MINIFS($B$2:$B$349,$A$2:$A$349,$A32,$C$2:$C$349,$C32))),0)</f>
        <v>606.536865234375</v>
      </c>
    </row>
    <row r="33" spans="1:12" x14ac:dyDescent="0.2">
      <c r="A33" s="2" t="s">
        <v>12</v>
      </c>
      <c r="B33" s="2">
        <v>1767073446</v>
      </c>
      <c r="C33" s="2" t="s">
        <v>19</v>
      </c>
      <c r="D33" s="2" t="s">
        <v>20</v>
      </c>
      <c r="E33" s="3">
        <f t="shared" si="0"/>
        <v>2622.6043701171875</v>
      </c>
      <c r="F33" s="3">
        <f t="shared" si="1"/>
        <v>6179.8095703125</v>
      </c>
      <c r="G33" s="3">
        <f t="shared" si="2"/>
        <v>8802.4139404296875</v>
      </c>
      <c r="H33" s="4">
        <f t="shared" si="3"/>
        <v>35</v>
      </c>
      <c r="I33" s="3">
        <f t="shared" si="7"/>
        <v>0</v>
      </c>
      <c r="J33" s="3">
        <f t="shared" si="4"/>
        <v>0</v>
      </c>
      <c r="K33" s="3">
        <f t="shared" si="5"/>
        <v>0</v>
      </c>
      <c r="L33" s="3">
        <f ca="1">IFERROR(MAX(0,$G33-SUMIFS($G$2:$G$349,$A$2:$A$349,$A33,$C$2:$C$349,$C33,$B$2:$B$349,_xludf.MINIFS($B$2:$B$349,$A$2:$A$349,$A33,$C$2:$C$349,$C33))),0)</f>
        <v>8802.4139404296875</v>
      </c>
    </row>
    <row r="34" spans="1:12" x14ac:dyDescent="0.2">
      <c r="A34" t="s">
        <v>33</v>
      </c>
      <c r="B34">
        <v>1767073464</v>
      </c>
      <c r="C34" t="s">
        <v>13</v>
      </c>
      <c r="D34" t="s">
        <v>34</v>
      </c>
      <c r="E34" s="3">
        <f t="shared" si="0"/>
        <v>767.70782470703125</v>
      </c>
      <c r="F34" s="3">
        <f t="shared" si="1"/>
        <v>289.9169921875</v>
      </c>
      <c r="G34" s="3">
        <f t="shared" si="2"/>
        <v>1057.6248168945312</v>
      </c>
      <c r="H34" s="4">
        <f t="shared" si="3"/>
        <v>0</v>
      </c>
      <c r="I34" s="3">
        <f t="shared" si="7"/>
        <v>0</v>
      </c>
      <c r="J34" s="3">
        <f t="shared" si="4"/>
        <v>0</v>
      </c>
      <c r="K34" s="3">
        <f t="shared" si="5"/>
        <v>0</v>
      </c>
      <c r="L34" s="3">
        <f ca="1">IFERROR(MAX(0,$G34-SUMIFS($G$2:$G$349,$A$2:$A$349,$A34,$C$2:$C$349,$C34,$B$2:$B$349,_xludf.MINIFS($B$2:$B$349,$A$2:$A$349,$A34,$C$2:$C$349,$C34))),0)</f>
        <v>1057.6248168945312</v>
      </c>
    </row>
    <row r="35" spans="1:12" x14ac:dyDescent="0.2">
      <c r="A35" t="s">
        <v>33</v>
      </c>
      <c r="B35">
        <v>1767073464</v>
      </c>
      <c r="C35" t="s">
        <v>15</v>
      </c>
      <c r="D35" t="s">
        <v>35</v>
      </c>
      <c r="E35" s="3">
        <f t="shared" si="0"/>
        <v>3662.109375</v>
      </c>
      <c r="F35" s="3">
        <f t="shared" si="1"/>
        <v>4396.4385986328125</v>
      </c>
      <c r="G35" s="3">
        <f t="shared" si="2"/>
        <v>8058.5479736328125</v>
      </c>
      <c r="H35" s="4">
        <f t="shared" si="3"/>
        <v>0</v>
      </c>
      <c r="I35" s="3">
        <f t="shared" si="7"/>
        <v>0</v>
      </c>
      <c r="J35" s="3">
        <f t="shared" si="4"/>
        <v>0</v>
      </c>
      <c r="K35" s="3">
        <f t="shared" si="5"/>
        <v>0</v>
      </c>
      <c r="L35" s="3">
        <f ca="1">IFERROR(MAX(0,$G35-SUMIFS($G$2:$G$349,$A$2:$A$349,$A35,$C$2:$C$349,$C35,$B$2:$B$349,_xludf.MINIFS($B$2:$B$349,$A$2:$A$349,$A35,$C$2:$C$349,$C35))),0)</f>
        <v>8058.5479736328125</v>
      </c>
    </row>
    <row r="36" spans="1:12" x14ac:dyDescent="0.2">
      <c r="A36" t="s">
        <v>33</v>
      </c>
      <c r="B36">
        <v>1767073464</v>
      </c>
      <c r="C36" t="s">
        <v>17</v>
      </c>
      <c r="D36" t="s">
        <v>36</v>
      </c>
      <c r="E36" s="3">
        <f t="shared" si="0"/>
        <v>217.437744140625</v>
      </c>
      <c r="F36" s="3">
        <f t="shared" si="1"/>
        <v>390.05279541015625</v>
      </c>
      <c r="G36" s="3">
        <f t="shared" si="2"/>
        <v>607.49053955078125</v>
      </c>
      <c r="H36" s="4">
        <f t="shared" si="3"/>
        <v>0</v>
      </c>
      <c r="I36" s="3">
        <f t="shared" si="7"/>
        <v>0</v>
      </c>
      <c r="J36" s="3">
        <f t="shared" si="4"/>
        <v>0</v>
      </c>
      <c r="K36" s="3">
        <f t="shared" si="5"/>
        <v>0</v>
      </c>
      <c r="L36" s="3">
        <f ca="1">IFERROR(MAX(0,$G36-SUMIFS($G$2:$G$349,$A$2:$A$349,$A36,$C$2:$C$349,$C36,$B$2:$B$349,_xludf.MINIFS($B$2:$B$349,$A$2:$A$349,$A36,$C$2:$C$349,$C36))),0)</f>
        <v>607.49053955078125</v>
      </c>
    </row>
    <row r="37" spans="1:12" x14ac:dyDescent="0.2">
      <c r="A37" t="s">
        <v>33</v>
      </c>
      <c r="B37">
        <v>1767073464</v>
      </c>
      <c r="C37" t="s">
        <v>19</v>
      </c>
      <c r="D37" t="s">
        <v>20</v>
      </c>
      <c r="E37" s="3">
        <f t="shared" si="0"/>
        <v>2622.6043701171875</v>
      </c>
      <c r="F37" s="3">
        <f t="shared" si="1"/>
        <v>6179.8095703125</v>
      </c>
      <c r="G37" s="3">
        <f t="shared" si="2"/>
        <v>8802.4139404296875</v>
      </c>
      <c r="H37" s="4">
        <f t="shared" si="3"/>
        <v>0</v>
      </c>
      <c r="I37" s="3">
        <f t="shared" si="7"/>
        <v>0</v>
      </c>
      <c r="J37" s="3">
        <f t="shared" si="4"/>
        <v>0</v>
      </c>
      <c r="K37" s="3">
        <f t="shared" si="5"/>
        <v>0</v>
      </c>
      <c r="L37" s="3">
        <f ca="1">IFERROR(MAX(0,$G37-SUMIFS($G$2:$G$349,$A$2:$A$349,$A37,$C$2:$C$349,$C37,$B$2:$B$349,_xludf.MINIFS($B$2:$B$349,$A$2:$A$349,$A37,$C$2:$C$349,$C37))),0)</f>
        <v>8802.4139404296875</v>
      </c>
    </row>
    <row r="38" spans="1:12" x14ac:dyDescent="0.2">
      <c r="A38" t="s">
        <v>33</v>
      </c>
      <c r="B38">
        <v>1767073471</v>
      </c>
      <c r="C38" t="s">
        <v>13</v>
      </c>
      <c r="D38" t="s">
        <v>37</v>
      </c>
      <c r="E38" s="3">
        <f t="shared" si="0"/>
        <v>769.61517333984375</v>
      </c>
      <c r="F38" s="3">
        <f t="shared" si="1"/>
        <v>290.87066650390625</v>
      </c>
      <c r="G38" s="3">
        <f t="shared" si="2"/>
        <v>1060.48583984375</v>
      </c>
      <c r="H38" s="4">
        <f t="shared" si="3"/>
        <v>5</v>
      </c>
      <c r="I38" s="3">
        <f t="shared" si="7"/>
        <v>1.9073486328125</v>
      </c>
      <c r="J38" s="3">
        <f t="shared" si="4"/>
        <v>0.95367431640625</v>
      </c>
      <c r="K38" s="3">
        <f t="shared" si="5"/>
        <v>2.86102294921875</v>
      </c>
      <c r="L38" s="3">
        <f ca="1">IFERROR(MAX(0,$G38-SUMIFS($G$2:$G$349,$A$2:$A$349,$A38,$C$2:$C$349,$C38,$B$2:$B$349,_xludf.MINIFS($B$2:$B$349,$A$2:$A$349,$A38,$C$2:$C$349,$C38))),0)</f>
        <v>1060.48583984375</v>
      </c>
    </row>
    <row r="39" spans="1:12" x14ac:dyDescent="0.2">
      <c r="A39" t="s">
        <v>33</v>
      </c>
      <c r="B39">
        <v>1767073471</v>
      </c>
      <c r="C39" t="s">
        <v>15</v>
      </c>
      <c r="D39" t="s">
        <v>35</v>
      </c>
      <c r="E39" s="3">
        <f t="shared" si="0"/>
        <v>3662.109375</v>
      </c>
      <c r="F39" s="3">
        <f t="shared" si="1"/>
        <v>4396.4385986328125</v>
      </c>
      <c r="G39" s="3">
        <f t="shared" si="2"/>
        <v>8058.5479736328125</v>
      </c>
      <c r="H39" s="4">
        <f t="shared" si="3"/>
        <v>5</v>
      </c>
      <c r="I39" s="3">
        <f t="shared" si="7"/>
        <v>0</v>
      </c>
      <c r="J39" s="3">
        <f t="shared" si="4"/>
        <v>0</v>
      </c>
      <c r="K39" s="3">
        <f t="shared" si="5"/>
        <v>0</v>
      </c>
      <c r="L39" s="3">
        <f ca="1">IFERROR(MAX(0,$G39-SUMIFS($G$2:$G$349,$A$2:$A$349,$A39,$C$2:$C$349,$C39,$B$2:$B$349,_xludf.MINIFS($B$2:$B$349,$A$2:$A$349,$A39,$C$2:$C$349,$C39))),0)</f>
        <v>8058.5479736328125</v>
      </c>
    </row>
    <row r="40" spans="1:12" x14ac:dyDescent="0.2">
      <c r="A40" t="s">
        <v>33</v>
      </c>
      <c r="B40">
        <v>1767073471</v>
      </c>
      <c r="C40" t="s">
        <v>17</v>
      </c>
      <c r="D40" t="s">
        <v>38</v>
      </c>
      <c r="E40" s="3">
        <f t="shared" si="0"/>
        <v>224.11346435546875</v>
      </c>
      <c r="F40" s="3">
        <f t="shared" si="1"/>
        <v>390.05279541015625</v>
      </c>
      <c r="G40" s="3">
        <f t="shared" si="2"/>
        <v>614.166259765625</v>
      </c>
      <c r="H40" s="4">
        <f t="shared" si="3"/>
        <v>5</v>
      </c>
      <c r="I40" s="3">
        <f t="shared" si="7"/>
        <v>6.67572021484375</v>
      </c>
      <c r="J40" s="3">
        <f t="shared" si="4"/>
        <v>0</v>
      </c>
      <c r="K40" s="3">
        <f t="shared" si="5"/>
        <v>6.67572021484375</v>
      </c>
      <c r="L40" s="3">
        <f ca="1">IFERROR(MAX(0,$G40-SUMIFS($G$2:$G$349,$A$2:$A$349,$A40,$C$2:$C$349,$C40,$B$2:$B$349,_xludf.MINIFS($B$2:$B$349,$A$2:$A$349,$A40,$C$2:$C$349,$C40))),0)</f>
        <v>614.166259765625</v>
      </c>
    </row>
    <row r="41" spans="1:12" x14ac:dyDescent="0.2">
      <c r="A41" t="s">
        <v>33</v>
      </c>
      <c r="B41">
        <v>1767073471</v>
      </c>
      <c r="C41" t="s">
        <v>19</v>
      </c>
      <c r="D41" t="s">
        <v>20</v>
      </c>
      <c r="E41" s="3">
        <f t="shared" si="0"/>
        <v>2622.6043701171875</v>
      </c>
      <c r="F41" s="3">
        <f t="shared" si="1"/>
        <v>6179.8095703125</v>
      </c>
      <c r="G41" s="3">
        <f t="shared" si="2"/>
        <v>8802.4139404296875</v>
      </c>
      <c r="H41" s="4">
        <f t="shared" si="3"/>
        <v>5</v>
      </c>
      <c r="I41" s="3">
        <f t="shared" si="7"/>
        <v>0</v>
      </c>
      <c r="J41" s="3">
        <f t="shared" si="4"/>
        <v>0</v>
      </c>
      <c r="K41" s="3">
        <f t="shared" si="5"/>
        <v>0</v>
      </c>
      <c r="L41" s="3">
        <f ca="1">IFERROR(MAX(0,$G41-SUMIFS($G$2:$G$349,$A$2:$A$349,$A41,$C$2:$C$349,$C41,$B$2:$B$349,_xludf.MINIFS($B$2:$B$349,$A$2:$A$349,$A41,$C$2:$C$349,$C41))),0)</f>
        <v>8802.4139404296875</v>
      </c>
    </row>
    <row r="42" spans="1:12" x14ac:dyDescent="0.2">
      <c r="A42" t="s">
        <v>33</v>
      </c>
      <c r="B42">
        <v>1767073479</v>
      </c>
      <c r="C42" t="s">
        <v>13</v>
      </c>
      <c r="D42" t="s">
        <v>39</v>
      </c>
      <c r="E42" s="3">
        <f t="shared" si="0"/>
        <v>770.56884765625</v>
      </c>
      <c r="F42" s="3">
        <f t="shared" si="1"/>
        <v>290.87066650390625</v>
      </c>
      <c r="G42" s="3">
        <f t="shared" si="2"/>
        <v>1061.4395141601562</v>
      </c>
      <c r="H42" s="4">
        <f t="shared" si="3"/>
        <v>10</v>
      </c>
      <c r="I42" s="3">
        <f t="shared" si="7"/>
        <v>0.95367431640625</v>
      </c>
      <c r="J42" s="3">
        <f t="shared" si="4"/>
        <v>0</v>
      </c>
      <c r="K42" s="3">
        <f t="shared" si="5"/>
        <v>0.95367431640625</v>
      </c>
      <c r="L42" s="3">
        <f ca="1">IFERROR(MAX(0,$G42-SUMIFS($G$2:$G$349,$A$2:$A$349,$A42,$C$2:$C$349,$C42,$B$2:$B$349,_xludf.MINIFS($B$2:$B$349,$A$2:$A$349,$A42,$C$2:$C$349,$C42))),0)</f>
        <v>1061.4395141601562</v>
      </c>
    </row>
    <row r="43" spans="1:12" x14ac:dyDescent="0.2">
      <c r="A43" t="s">
        <v>33</v>
      </c>
      <c r="B43">
        <v>1767073479</v>
      </c>
      <c r="C43" t="s">
        <v>15</v>
      </c>
      <c r="D43" t="s">
        <v>35</v>
      </c>
      <c r="E43" s="3">
        <f t="shared" si="0"/>
        <v>3662.109375</v>
      </c>
      <c r="F43" s="3">
        <f t="shared" si="1"/>
        <v>4396.4385986328125</v>
      </c>
      <c r="G43" s="3">
        <f t="shared" si="2"/>
        <v>8058.5479736328125</v>
      </c>
      <c r="H43" s="4">
        <f t="shared" si="3"/>
        <v>10</v>
      </c>
      <c r="I43" s="3">
        <f t="shared" si="7"/>
        <v>0</v>
      </c>
      <c r="J43" s="3">
        <f t="shared" si="4"/>
        <v>0</v>
      </c>
      <c r="K43" s="3">
        <f t="shared" si="5"/>
        <v>0</v>
      </c>
      <c r="L43" s="3">
        <f ca="1">IFERROR(MAX(0,$G43-SUMIFS($G$2:$G$349,$A$2:$A$349,$A43,$C$2:$C$349,$C43,$B$2:$B$349,_xludf.MINIFS($B$2:$B$349,$A$2:$A$349,$A43,$C$2:$C$349,$C43))),0)</f>
        <v>8058.5479736328125</v>
      </c>
    </row>
    <row r="44" spans="1:12" x14ac:dyDescent="0.2">
      <c r="A44" t="s">
        <v>33</v>
      </c>
      <c r="B44">
        <v>1767073479</v>
      </c>
      <c r="C44" t="s">
        <v>17</v>
      </c>
      <c r="D44" t="s">
        <v>40</v>
      </c>
      <c r="E44" s="3">
        <f t="shared" si="0"/>
        <v>225.067138671875</v>
      </c>
      <c r="F44" s="3">
        <f t="shared" si="1"/>
        <v>390.05279541015625</v>
      </c>
      <c r="G44" s="3">
        <f t="shared" si="2"/>
        <v>615.11993408203125</v>
      </c>
      <c r="H44" s="4">
        <f t="shared" si="3"/>
        <v>10</v>
      </c>
      <c r="I44" s="3">
        <f t="shared" si="7"/>
        <v>0.95367431640625</v>
      </c>
      <c r="J44" s="3">
        <f t="shared" si="4"/>
        <v>0</v>
      </c>
      <c r="K44" s="3">
        <f t="shared" si="5"/>
        <v>0.95367431640625</v>
      </c>
      <c r="L44" s="3">
        <f ca="1">IFERROR(MAX(0,$G44-SUMIFS($G$2:$G$349,$A$2:$A$349,$A44,$C$2:$C$349,$C44,$B$2:$B$349,_xludf.MINIFS($B$2:$B$349,$A$2:$A$349,$A44,$C$2:$C$349,$C44))),0)</f>
        <v>615.11993408203125</v>
      </c>
    </row>
    <row r="45" spans="1:12" x14ac:dyDescent="0.2">
      <c r="A45" t="s">
        <v>33</v>
      </c>
      <c r="B45">
        <v>1767073479</v>
      </c>
      <c r="C45" t="s">
        <v>19</v>
      </c>
      <c r="D45" t="s">
        <v>20</v>
      </c>
      <c r="E45" s="3">
        <f t="shared" si="0"/>
        <v>2622.6043701171875</v>
      </c>
      <c r="F45" s="3">
        <f t="shared" si="1"/>
        <v>6179.8095703125</v>
      </c>
      <c r="G45" s="3">
        <f t="shared" si="2"/>
        <v>8802.4139404296875</v>
      </c>
      <c r="H45" s="4">
        <f t="shared" si="3"/>
        <v>10</v>
      </c>
      <c r="I45" s="3">
        <f t="shared" si="7"/>
        <v>0</v>
      </c>
      <c r="J45" s="3">
        <f t="shared" si="4"/>
        <v>0</v>
      </c>
      <c r="K45" s="3">
        <f t="shared" si="5"/>
        <v>0</v>
      </c>
      <c r="L45" s="3">
        <f ca="1">IFERROR(MAX(0,$G45-SUMIFS($G$2:$G$349,$A$2:$A$349,$A45,$C$2:$C$349,$C45,$B$2:$B$349,_xludf.MINIFS($B$2:$B$349,$A$2:$A$349,$A45,$C$2:$C$349,$C45))),0)</f>
        <v>8802.4139404296875</v>
      </c>
    </row>
    <row r="46" spans="1:12" x14ac:dyDescent="0.2">
      <c r="A46" t="s">
        <v>33</v>
      </c>
      <c r="B46">
        <v>1767073486</v>
      </c>
      <c r="C46" t="s">
        <v>13</v>
      </c>
      <c r="D46" t="s">
        <v>41</v>
      </c>
      <c r="E46" s="3">
        <f t="shared" si="0"/>
        <v>770.56884765625</v>
      </c>
      <c r="F46" s="3">
        <f t="shared" si="1"/>
        <v>294.68536376953125</v>
      </c>
      <c r="G46" s="3">
        <f t="shared" si="2"/>
        <v>1065.2542114257812</v>
      </c>
      <c r="H46" s="4">
        <f t="shared" si="3"/>
        <v>15</v>
      </c>
      <c r="I46" s="3">
        <f t="shared" si="7"/>
        <v>0</v>
      </c>
      <c r="J46" s="3">
        <f>IF($B46=_xlfn.MINIFS($B$2:$B$349,$A$2:$A$349,$A46,$C$2:$C$349,$C46),0,IFERROR(MAX(0,$F46-SUMIFS($F$2:$F$349,$A$2:$A$349,$A46,$C$2:$C$349,$C46,$B$2:$B$349,_xlfn.MAXIFS($B$2:$B$349,$A$2:$A$349,$A46,$C$2:$C$349,$C46,$B$2:$B$349,"&lt;"&amp;$B46))),0))</f>
        <v>3.814697265625</v>
      </c>
      <c r="K46" s="3">
        <f t="shared" si="5"/>
        <v>3.814697265625</v>
      </c>
      <c r="L46" s="3">
        <f ca="1">IFERROR(MAX(0,$G46-SUMIFS($G$2:$G$349,$A$2:$A$349,$A46,$C$2:$C$349,$C46,$B$2:$B$349,_xludf.MINIFS($B$2:$B$349,$A$2:$A$349,$A46,$C$2:$C$349,$C46))),0)</f>
        <v>1065.2542114257812</v>
      </c>
    </row>
    <row r="47" spans="1:12" x14ac:dyDescent="0.2">
      <c r="A47" t="s">
        <v>33</v>
      </c>
      <c r="B47">
        <v>1767073486</v>
      </c>
      <c r="C47" t="s">
        <v>15</v>
      </c>
      <c r="D47" t="s">
        <v>42</v>
      </c>
      <c r="E47" s="3">
        <f t="shared" si="0"/>
        <v>3728.8665771484375</v>
      </c>
      <c r="F47" s="3">
        <f t="shared" si="1"/>
        <v>4415.5120849609375</v>
      </c>
      <c r="G47" s="3">
        <f t="shared" si="2"/>
        <v>8144.378662109375</v>
      </c>
      <c r="H47" s="4">
        <f t="shared" si="3"/>
        <v>15</v>
      </c>
      <c r="I47" s="3">
        <f t="shared" si="7"/>
        <v>66.7572021484375</v>
      </c>
      <c r="J47" s="3">
        <f t="shared" si="4"/>
        <v>19.073486328125</v>
      </c>
      <c r="K47" s="3">
        <f t="shared" si="5"/>
        <v>85.8306884765625</v>
      </c>
      <c r="L47" s="3">
        <f ca="1">IFERROR(MAX(0,$G47-SUMIFS($G$2:$G$349,$A$2:$A$349,$A47,$C$2:$C$349,$C47,$B$2:$B$349,_xludf.MINIFS($B$2:$B$349,$A$2:$A$349,$A47,$C$2:$C$349,$C47))),0)</f>
        <v>8144.378662109375</v>
      </c>
    </row>
    <row r="48" spans="1:12" x14ac:dyDescent="0.2">
      <c r="A48" t="s">
        <v>33</v>
      </c>
      <c r="B48">
        <v>1767073486</v>
      </c>
      <c r="C48" t="s">
        <v>17</v>
      </c>
      <c r="D48" t="s">
        <v>43</v>
      </c>
      <c r="E48" s="3">
        <f t="shared" si="0"/>
        <v>225.067138671875</v>
      </c>
      <c r="F48" s="3">
        <f t="shared" si="1"/>
        <v>395.77484130859375</v>
      </c>
      <c r="G48" s="3">
        <f t="shared" si="2"/>
        <v>620.84197998046875</v>
      </c>
      <c r="H48" s="4">
        <f t="shared" si="3"/>
        <v>15</v>
      </c>
      <c r="I48" s="3">
        <f>IF($B48=_xlfn.MINIFS($B$2:$B$349,$A$2:$A$349,$A48,$C$2:$C$349,$C48),0,IFERROR(MAX(0,$E48-SUMIFS($E$2:$E$349,$A$2:$A$349,$A48,$C$2:$C$349,$C48,$B$2:$B$349,_xlfn.MAXIFS($B$2:$B$349,$A$2:$A$349,$A48,$C$2:$C$349,$C48,$B$2:$B$349,"&lt;"&amp;$B48))),0))</f>
        <v>0</v>
      </c>
      <c r="J48" s="3">
        <f t="shared" si="4"/>
        <v>5.7220458984375</v>
      </c>
      <c r="K48" s="3">
        <f t="shared" si="5"/>
        <v>5.7220458984375</v>
      </c>
      <c r="L48" s="3">
        <f ca="1">IFERROR(MAX(0,$G48-SUMIFS($G$2:$G$349,$A$2:$A$349,$A48,$C$2:$C$349,$C48,$B$2:$B$349,_xludf.MINIFS($B$2:$B$349,$A$2:$A$349,$A48,$C$2:$C$349,$C48))),0)</f>
        <v>620.84197998046875</v>
      </c>
    </row>
    <row r="49" spans="1:12" x14ac:dyDescent="0.2">
      <c r="A49" t="s">
        <v>33</v>
      </c>
      <c r="B49">
        <v>1767073486</v>
      </c>
      <c r="C49" t="s">
        <v>19</v>
      </c>
      <c r="D49" t="s">
        <v>44</v>
      </c>
      <c r="E49" s="3">
        <f t="shared" si="0"/>
        <v>2622.6043701171875</v>
      </c>
      <c r="F49" s="3">
        <f t="shared" si="1"/>
        <v>6198.883056640625</v>
      </c>
      <c r="G49" s="3">
        <f t="shared" si="2"/>
        <v>8821.4874267578125</v>
      </c>
      <c r="H49" s="4">
        <f t="shared" si="3"/>
        <v>15</v>
      </c>
      <c r="I49" s="3">
        <f t="shared" si="7"/>
        <v>0</v>
      </c>
      <c r="J49" s="3">
        <f t="shared" si="4"/>
        <v>19.073486328125</v>
      </c>
      <c r="K49" s="3">
        <f t="shared" si="5"/>
        <v>19.073486328125</v>
      </c>
      <c r="L49" s="3">
        <f ca="1">IFERROR(MAX(0,$G49-SUMIFS($G$2:$G$349,$A$2:$A$349,$A49,$C$2:$C$349,$C49,$B$2:$B$349,_xludf.MINIFS($B$2:$B$349,$A$2:$A$349,$A49,$C$2:$C$349,$C49))),0)</f>
        <v>8821.4874267578125</v>
      </c>
    </row>
    <row r="50" spans="1:12" x14ac:dyDescent="0.2">
      <c r="A50" t="s">
        <v>33</v>
      </c>
      <c r="B50">
        <v>1767073494</v>
      </c>
      <c r="C50" t="s">
        <v>13</v>
      </c>
      <c r="D50" t="s">
        <v>45</v>
      </c>
      <c r="E50" s="3">
        <f t="shared" si="0"/>
        <v>770.56884765625</v>
      </c>
      <c r="F50" s="3">
        <f t="shared" si="1"/>
        <v>296.59271240234375</v>
      </c>
      <c r="G50" s="3">
        <f t="shared" si="2"/>
        <v>1067.1615600585938</v>
      </c>
      <c r="H50" s="4">
        <f t="shared" si="3"/>
        <v>20</v>
      </c>
      <c r="I50" s="3">
        <f t="shared" si="7"/>
        <v>0</v>
      </c>
      <c r="J50" s="3">
        <f t="shared" si="4"/>
        <v>1.9073486328125</v>
      </c>
      <c r="K50" s="3">
        <f t="shared" si="5"/>
        <v>1.9073486328125</v>
      </c>
      <c r="L50" s="3">
        <f ca="1">IFERROR(MAX(0,$G50-SUMIFS($G$2:$G$349,$A$2:$A$349,$A50,$C$2:$C$349,$C50,$B$2:$B$349,_xludf.MINIFS($B$2:$B$349,$A$2:$A$349,$A50,$C$2:$C$349,$C50))),0)</f>
        <v>1067.1615600585938</v>
      </c>
    </row>
    <row r="51" spans="1:12" x14ac:dyDescent="0.2">
      <c r="A51" t="s">
        <v>33</v>
      </c>
      <c r="B51">
        <v>1767073494</v>
      </c>
      <c r="C51" t="s">
        <v>15</v>
      </c>
      <c r="D51" t="s">
        <v>46</v>
      </c>
      <c r="E51" s="3">
        <f t="shared" si="0"/>
        <v>3776.55029296875</v>
      </c>
      <c r="F51" s="3">
        <f t="shared" si="1"/>
        <v>4434.5855712890625</v>
      </c>
      <c r="G51" s="3">
        <f t="shared" si="2"/>
        <v>8211.1358642578125</v>
      </c>
      <c r="H51" s="4">
        <f t="shared" si="3"/>
        <v>20</v>
      </c>
      <c r="I51" s="3">
        <f t="shared" si="7"/>
        <v>47.6837158203125</v>
      </c>
      <c r="J51" s="3">
        <f t="shared" si="4"/>
        <v>19.073486328125</v>
      </c>
      <c r="K51" s="3">
        <f t="shared" si="5"/>
        <v>66.7572021484375</v>
      </c>
      <c r="L51" s="3">
        <f ca="1">IFERROR(MAX(0,$G51-SUMIFS($G$2:$G$349,$A$2:$A$349,$A51,$C$2:$C$349,$C51,$B$2:$B$349,_xludf.MINIFS($B$2:$B$349,$A$2:$A$349,$A51,$C$2:$C$349,$C51))),0)</f>
        <v>8211.1358642578125</v>
      </c>
    </row>
    <row r="52" spans="1:12" x14ac:dyDescent="0.2">
      <c r="A52" t="s">
        <v>33</v>
      </c>
      <c r="B52">
        <v>1767073494</v>
      </c>
      <c r="C52" t="s">
        <v>17</v>
      </c>
      <c r="D52" t="s">
        <v>47</v>
      </c>
      <c r="E52" s="3">
        <f t="shared" si="0"/>
        <v>226.02081298828125</v>
      </c>
      <c r="F52" s="3">
        <f t="shared" si="1"/>
        <v>397.68218994140625</v>
      </c>
      <c r="G52" s="3">
        <f t="shared" si="2"/>
        <v>623.7030029296875</v>
      </c>
      <c r="H52" s="4">
        <f t="shared" si="3"/>
        <v>20</v>
      </c>
      <c r="I52" s="3">
        <f t="shared" si="7"/>
        <v>0.95367431640625</v>
      </c>
      <c r="J52" s="3">
        <f t="shared" si="4"/>
        <v>1.9073486328125</v>
      </c>
      <c r="K52" s="3">
        <f t="shared" si="5"/>
        <v>2.86102294921875</v>
      </c>
      <c r="L52" s="3">
        <f ca="1">IFERROR(MAX(0,$G52-SUMIFS($G$2:$G$349,$A$2:$A$349,$A52,$C$2:$C$349,$C52,$B$2:$B$349,_xludf.MINIFS($B$2:$B$349,$A$2:$A$349,$A52,$C$2:$C$349,$C52))),0)</f>
        <v>623.7030029296875</v>
      </c>
    </row>
    <row r="53" spans="1:12" x14ac:dyDescent="0.2">
      <c r="A53" t="s">
        <v>33</v>
      </c>
      <c r="B53">
        <v>1767073494</v>
      </c>
      <c r="C53" t="s">
        <v>19</v>
      </c>
      <c r="D53" t="s">
        <v>48</v>
      </c>
      <c r="E53" s="3">
        <f t="shared" si="0"/>
        <v>2622.6043701171875</v>
      </c>
      <c r="F53" s="3">
        <f t="shared" si="1"/>
        <v>6237.030029296875</v>
      </c>
      <c r="G53" s="3">
        <f t="shared" si="2"/>
        <v>8859.6343994140625</v>
      </c>
      <c r="H53" s="4">
        <f t="shared" si="3"/>
        <v>20</v>
      </c>
      <c r="I53" s="3">
        <f t="shared" si="7"/>
        <v>0</v>
      </c>
      <c r="J53" s="3">
        <f t="shared" si="4"/>
        <v>38.14697265625</v>
      </c>
      <c r="K53" s="3">
        <f t="shared" si="5"/>
        <v>38.14697265625</v>
      </c>
      <c r="L53" s="3">
        <f ca="1">IFERROR(MAX(0,$G53-SUMIFS($G$2:$G$349,$A$2:$A$349,$A53,$C$2:$C$349,$C53,$B$2:$B$349,_xludf.MINIFS($B$2:$B$349,$A$2:$A$349,$A53,$C$2:$C$349,$C53))),0)</f>
        <v>8859.6343994140625</v>
      </c>
    </row>
    <row r="54" spans="1:12" x14ac:dyDescent="0.2">
      <c r="A54" t="s">
        <v>33</v>
      </c>
      <c r="B54">
        <v>1767073501</v>
      </c>
      <c r="C54" t="s">
        <v>13</v>
      </c>
      <c r="D54" t="s">
        <v>45</v>
      </c>
      <c r="E54" s="3">
        <f t="shared" si="0"/>
        <v>770.56884765625</v>
      </c>
      <c r="F54" s="3">
        <f t="shared" si="1"/>
        <v>296.59271240234375</v>
      </c>
      <c r="G54" s="3">
        <f t="shared" si="2"/>
        <v>1067.1615600585938</v>
      </c>
      <c r="H54" s="4">
        <f t="shared" si="3"/>
        <v>25</v>
      </c>
      <c r="I54" s="3">
        <f t="shared" si="7"/>
        <v>0</v>
      </c>
      <c r="J54" s="3">
        <f t="shared" si="4"/>
        <v>0</v>
      </c>
      <c r="K54" s="3">
        <f t="shared" si="5"/>
        <v>0</v>
      </c>
      <c r="L54" s="3">
        <f ca="1">IFERROR(MAX(0,$G54-SUMIFS($G$2:$G$349,$A$2:$A$349,$A54,$C$2:$C$349,$C54,$B$2:$B$349,_xludf.MINIFS($B$2:$B$349,$A$2:$A$349,$A54,$C$2:$C$349,$C54))),0)</f>
        <v>1067.1615600585938</v>
      </c>
    </row>
    <row r="55" spans="1:12" x14ac:dyDescent="0.2">
      <c r="A55" t="s">
        <v>33</v>
      </c>
      <c r="B55">
        <v>1767073501</v>
      </c>
      <c r="C55" t="s">
        <v>15</v>
      </c>
      <c r="D55" t="s">
        <v>49</v>
      </c>
      <c r="E55" s="3">
        <f t="shared" si="0"/>
        <v>3805.1605224609375</v>
      </c>
      <c r="F55" s="3">
        <f t="shared" si="1"/>
        <v>4444.122314453125</v>
      </c>
      <c r="G55" s="3">
        <f t="shared" si="2"/>
        <v>8249.2828369140625</v>
      </c>
      <c r="H55" s="4">
        <f t="shared" si="3"/>
        <v>25</v>
      </c>
      <c r="I55" s="3">
        <f t="shared" si="7"/>
        <v>28.6102294921875</v>
      </c>
      <c r="J55" s="3">
        <f t="shared" si="4"/>
        <v>9.5367431640625</v>
      </c>
      <c r="K55" s="3">
        <f t="shared" si="5"/>
        <v>38.14697265625</v>
      </c>
      <c r="L55" s="3">
        <f ca="1">IFERROR(MAX(0,$G55-SUMIFS($G$2:$G$349,$A$2:$A$349,$A55,$C$2:$C$349,$C55,$B$2:$B$349,_xludf.MINIFS($B$2:$B$349,$A$2:$A$349,$A55,$C$2:$C$349,$C55))),0)</f>
        <v>8249.2828369140625</v>
      </c>
    </row>
    <row r="56" spans="1:12" x14ac:dyDescent="0.2">
      <c r="A56" t="s">
        <v>33</v>
      </c>
      <c r="B56">
        <v>1767073501</v>
      </c>
      <c r="C56" t="s">
        <v>17</v>
      </c>
      <c r="D56" t="s">
        <v>50</v>
      </c>
      <c r="E56" s="3">
        <f t="shared" si="0"/>
        <v>226.02081298828125</v>
      </c>
      <c r="F56" s="3">
        <f t="shared" si="1"/>
        <v>404.35791015625</v>
      </c>
      <c r="G56" s="3">
        <f t="shared" si="2"/>
        <v>630.37872314453125</v>
      </c>
      <c r="H56" s="4">
        <f t="shared" si="3"/>
        <v>25</v>
      </c>
      <c r="I56" s="3">
        <f t="shared" si="7"/>
        <v>0</v>
      </c>
      <c r="J56" s="3">
        <f t="shared" si="4"/>
        <v>6.67572021484375</v>
      </c>
      <c r="K56" s="3">
        <f t="shared" si="5"/>
        <v>6.67572021484375</v>
      </c>
      <c r="L56" s="3">
        <f ca="1">IFERROR(MAX(0,$G56-SUMIFS($G$2:$G$349,$A$2:$A$349,$A56,$C$2:$C$349,$C56,$B$2:$B$349,_xludf.MINIFS($B$2:$B$349,$A$2:$A$349,$A56,$C$2:$C$349,$C56))),0)</f>
        <v>630.37872314453125</v>
      </c>
    </row>
    <row r="57" spans="1:12" x14ac:dyDescent="0.2">
      <c r="A57" t="s">
        <v>33</v>
      </c>
      <c r="B57">
        <v>1767073501</v>
      </c>
      <c r="C57" t="s">
        <v>19</v>
      </c>
      <c r="D57" t="s">
        <v>51</v>
      </c>
      <c r="E57" s="3">
        <f t="shared" si="0"/>
        <v>2622.6043701171875</v>
      </c>
      <c r="F57" s="3">
        <f t="shared" si="1"/>
        <v>6294.25048828125</v>
      </c>
      <c r="G57" s="3">
        <f t="shared" si="2"/>
        <v>8916.8548583984375</v>
      </c>
      <c r="H57" s="4">
        <f t="shared" si="3"/>
        <v>25</v>
      </c>
      <c r="I57" s="3">
        <f t="shared" si="7"/>
        <v>0</v>
      </c>
      <c r="J57" s="3">
        <f t="shared" si="4"/>
        <v>57.220458984375</v>
      </c>
      <c r="K57" s="3">
        <f t="shared" si="5"/>
        <v>57.220458984375</v>
      </c>
      <c r="L57" s="3">
        <f ca="1">IFERROR(MAX(0,$G57-SUMIFS($G$2:$G$349,$A$2:$A$349,$A57,$C$2:$C$349,$C57,$B$2:$B$349,_xludf.MINIFS($B$2:$B$349,$A$2:$A$349,$A57,$C$2:$C$349,$C57))),0)</f>
        <v>8916.8548583984375</v>
      </c>
    </row>
    <row r="58" spans="1:12" x14ac:dyDescent="0.2">
      <c r="A58" t="s">
        <v>33</v>
      </c>
      <c r="B58">
        <v>1767073509</v>
      </c>
      <c r="C58" t="s">
        <v>13</v>
      </c>
      <c r="D58" t="s">
        <v>52</v>
      </c>
      <c r="E58" s="3">
        <f t="shared" si="0"/>
        <v>772.4761962890625</v>
      </c>
      <c r="F58" s="3">
        <f t="shared" si="1"/>
        <v>296.59271240234375</v>
      </c>
      <c r="G58" s="3">
        <f t="shared" si="2"/>
        <v>1069.0689086914062</v>
      </c>
      <c r="H58" s="4">
        <f t="shared" si="3"/>
        <v>30</v>
      </c>
      <c r="I58" s="3">
        <f t="shared" si="7"/>
        <v>1.9073486328125</v>
      </c>
      <c r="J58" s="3">
        <f t="shared" si="4"/>
        <v>0</v>
      </c>
      <c r="K58" s="3">
        <f t="shared" si="5"/>
        <v>1.9073486328125</v>
      </c>
      <c r="L58" s="3">
        <f ca="1">IFERROR(MAX(0,$G58-SUMIFS($G$2:$G$349,$A$2:$A$349,$A58,$C$2:$C$349,$C58,$B$2:$B$349,_xludf.MINIFS($B$2:$B$349,$A$2:$A$349,$A58,$C$2:$C$349,$C58))),0)</f>
        <v>1069.0689086914062</v>
      </c>
    </row>
    <row r="59" spans="1:12" x14ac:dyDescent="0.2">
      <c r="A59" t="s">
        <v>33</v>
      </c>
      <c r="B59">
        <v>1767073509</v>
      </c>
      <c r="C59" t="s">
        <v>15</v>
      </c>
      <c r="D59" t="s">
        <v>53</v>
      </c>
      <c r="E59" s="3">
        <f t="shared" si="0"/>
        <v>3805.1605224609375</v>
      </c>
      <c r="F59" s="3">
        <f t="shared" si="1"/>
        <v>4453.6590576171875</v>
      </c>
      <c r="G59" s="3">
        <f t="shared" si="2"/>
        <v>8258.819580078125</v>
      </c>
      <c r="H59" s="4">
        <f t="shared" si="3"/>
        <v>30</v>
      </c>
      <c r="I59" s="3">
        <f t="shared" si="7"/>
        <v>0</v>
      </c>
      <c r="J59" s="3">
        <f t="shared" si="4"/>
        <v>9.5367431640625</v>
      </c>
      <c r="K59" s="3">
        <f t="shared" si="5"/>
        <v>9.5367431640625</v>
      </c>
      <c r="L59" s="3">
        <f ca="1">IFERROR(MAX(0,$G59-SUMIFS($G$2:$G$349,$A$2:$A$349,$A59,$C$2:$C$349,$C59,$B$2:$B$349,_xludf.MINIFS($B$2:$B$349,$A$2:$A$349,$A59,$C$2:$C$349,$C59))),0)</f>
        <v>8258.819580078125</v>
      </c>
    </row>
    <row r="60" spans="1:12" x14ac:dyDescent="0.2">
      <c r="A60" t="s">
        <v>33</v>
      </c>
      <c r="B60">
        <v>1767073509</v>
      </c>
      <c r="C60" t="s">
        <v>17</v>
      </c>
      <c r="D60" t="s">
        <v>50</v>
      </c>
      <c r="E60" s="3">
        <f t="shared" si="0"/>
        <v>226.02081298828125</v>
      </c>
      <c r="F60" s="3">
        <f t="shared" si="1"/>
        <v>404.35791015625</v>
      </c>
      <c r="G60" s="3">
        <f t="shared" si="2"/>
        <v>630.37872314453125</v>
      </c>
      <c r="H60" s="4">
        <f t="shared" si="3"/>
        <v>30</v>
      </c>
      <c r="I60" s="3">
        <f t="shared" si="7"/>
        <v>0</v>
      </c>
      <c r="J60" s="3">
        <f t="shared" si="4"/>
        <v>0</v>
      </c>
      <c r="K60" s="3">
        <f t="shared" si="5"/>
        <v>0</v>
      </c>
      <c r="L60" s="3">
        <f ca="1">IFERROR(MAX(0,$G60-SUMIFS($G$2:$G$349,$A$2:$A$349,$A60,$C$2:$C$349,$C60,$B$2:$B$349,_xludf.MINIFS($B$2:$B$349,$A$2:$A$349,$A60,$C$2:$C$349,$C60))),0)</f>
        <v>630.37872314453125</v>
      </c>
    </row>
    <row r="61" spans="1:12" x14ac:dyDescent="0.2">
      <c r="A61" t="s">
        <v>33</v>
      </c>
      <c r="B61">
        <v>1767073509</v>
      </c>
      <c r="C61" t="s">
        <v>19</v>
      </c>
      <c r="D61" t="s">
        <v>54</v>
      </c>
      <c r="E61" s="3">
        <f t="shared" si="0"/>
        <v>2670.2880859375</v>
      </c>
      <c r="F61" s="3">
        <f t="shared" si="1"/>
        <v>6408.69140625</v>
      </c>
      <c r="G61" s="3">
        <f t="shared" si="2"/>
        <v>9078.9794921875</v>
      </c>
      <c r="H61" s="4">
        <f t="shared" si="3"/>
        <v>30</v>
      </c>
      <c r="I61" s="3">
        <f t="shared" si="7"/>
        <v>47.6837158203125</v>
      </c>
      <c r="J61" s="3">
        <f t="shared" si="4"/>
        <v>114.44091796875</v>
      </c>
      <c r="K61" s="3">
        <f t="shared" si="5"/>
        <v>162.1246337890625</v>
      </c>
      <c r="L61" s="3">
        <f ca="1">IFERROR(MAX(0,$G61-SUMIFS($G$2:$G$349,$A$2:$A$349,$A61,$C$2:$C$349,$C61,$B$2:$B$349,_xludf.MINIFS($B$2:$B$349,$A$2:$A$349,$A61,$C$2:$C$349,$C61))),0)</f>
        <v>9078.9794921875</v>
      </c>
    </row>
    <row r="62" spans="1:12" x14ac:dyDescent="0.2">
      <c r="A62" t="s">
        <v>33</v>
      </c>
      <c r="B62">
        <v>1767073516</v>
      </c>
      <c r="C62" t="s">
        <v>13</v>
      </c>
      <c r="D62" t="s">
        <v>55</v>
      </c>
      <c r="E62" s="3">
        <f t="shared" si="0"/>
        <v>772.4761962890625</v>
      </c>
      <c r="F62" s="3">
        <f t="shared" si="1"/>
        <v>297.54638671875</v>
      </c>
      <c r="G62" s="3">
        <f t="shared" si="2"/>
        <v>1070.0225830078125</v>
      </c>
      <c r="H62" s="4">
        <f t="shared" si="3"/>
        <v>35</v>
      </c>
      <c r="I62" s="3">
        <f t="shared" si="7"/>
        <v>0</v>
      </c>
      <c r="J62" s="3">
        <f t="shared" si="4"/>
        <v>0.95367431640625</v>
      </c>
      <c r="K62" s="3">
        <f t="shared" si="5"/>
        <v>0.95367431640625</v>
      </c>
      <c r="L62" s="3">
        <f ca="1">IFERROR(MAX(0,$G62-SUMIFS($G$2:$G$349,$A$2:$A$349,$A62,$C$2:$C$349,$C62,$B$2:$B$349,_xludf.MINIFS($B$2:$B$349,$A$2:$A$349,$A62,$C$2:$C$349,$C62))),0)</f>
        <v>1070.0225830078125</v>
      </c>
    </row>
    <row r="63" spans="1:12" x14ac:dyDescent="0.2">
      <c r="A63" t="s">
        <v>33</v>
      </c>
      <c r="B63">
        <v>1767073516</v>
      </c>
      <c r="C63" t="s">
        <v>15</v>
      </c>
      <c r="D63" t="s">
        <v>56</v>
      </c>
      <c r="E63" s="3">
        <f t="shared" si="0"/>
        <v>3871.9177246093745</v>
      </c>
      <c r="F63" s="3">
        <f t="shared" si="1"/>
        <v>4453.6590576171875</v>
      </c>
      <c r="G63" s="3">
        <f t="shared" si="2"/>
        <v>8325.5767822265625</v>
      </c>
      <c r="H63" s="4">
        <f t="shared" si="3"/>
        <v>35</v>
      </c>
      <c r="I63" s="3">
        <f t="shared" si="7"/>
        <v>66.757202148437045</v>
      </c>
      <c r="J63" s="3">
        <f t="shared" si="4"/>
        <v>0</v>
      </c>
      <c r="K63" s="3">
        <f t="shared" si="5"/>
        <v>66.7572021484375</v>
      </c>
      <c r="L63" s="3">
        <f ca="1">IFERROR(MAX(0,$G63-SUMIFS($G$2:$G$349,$A$2:$A$349,$A63,$C$2:$C$349,$C63,$B$2:$B$349,_xludf.MINIFS($B$2:$B$349,$A$2:$A$349,$A63,$C$2:$C$349,$C63))),0)</f>
        <v>8325.5767822265625</v>
      </c>
    </row>
    <row r="64" spans="1:12" x14ac:dyDescent="0.2">
      <c r="A64" t="s">
        <v>33</v>
      </c>
      <c r="B64">
        <v>1767073516</v>
      </c>
      <c r="C64" t="s">
        <v>17</v>
      </c>
      <c r="D64" t="s">
        <v>50</v>
      </c>
      <c r="E64" s="3">
        <f t="shared" si="0"/>
        <v>226.02081298828125</v>
      </c>
      <c r="F64" s="3">
        <f t="shared" si="1"/>
        <v>404.35791015625</v>
      </c>
      <c r="G64" s="3">
        <f t="shared" si="2"/>
        <v>630.37872314453125</v>
      </c>
      <c r="H64" s="4">
        <f t="shared" si="3"/>
        <v>35</v>
      </c>
      <c r="I64" s="3">
        <f t="shared" si="7"/>
        <v>0</v>
      </c>
      <c r="J64" s="3">
        <f t="shared" si="4"/>
        <v>0</v>
      </c>
      <c r="K64" s="3">
        <f t="shared" si="5"/>
        <v>0</v>
      </c>
      <c r="L64" s="3">
        <f ca="1">IFERROR(MAX(0,$G64-SUMIFS($G$2:$G$349,$A$2:$A$349,$A64,$C$2:$C$349,$C64,$B$2:$B$349,_xludf.MINIFS($B$2:$B$349,$A$2:$A$349,$A64,$C$2:$C$349,$C64))),0)</f>
        <v>630.37872314453125</v>
      </c>
    </row>
    <row r="65" spans="1:12" x14ac:dyDescent="0.2">
      <c r="A65" t="s">
        <v>33</v>
      </c>
      <c r="B65">
        <v>1767073516</v>
      </c>
      <c r="C65" t="s">
        <v>19</v>
      </c>
      <c r="D65" t="s">
        <v>54</v>
      </c>
      <c r="E65" s="3">
        <f t="shared" si="0"/>
        <v>2670.2880859375</v>
      </c>
      <c r="F65" s="3">
        <f t="shared" si="1"/>
        <v>6408.69140625</v>
      </c>
      <c r="G65" s="3">
        <f t="shared" si="2"/>
        <v>9078.9794921875</v>
      </c>
      <c r="H65" s="4">
        <f t="shared" si="3"/>
        <v>35</v>
      </c>
      <c r="I65" s="3">
        <f t="shared" si="7"/>
        <v>0</v>
      </c>
      <c r="J65" s="3">
        <f t="shared" si="4"/>
        <v>0</v>
      </c>
      <c r="K65" s="3">
        <f t="shared" si="5"/>
        <v>0</v>
      </c>
      <c r="L65" s="3">
        <f ca="1">IFERROR(MAX(0,$G65-SUMIFS($G$2:$G$349,$A$2:$A$349,$A65,$C$2:$C$349,$C65,$B$2:$B$349,_xludf.MINIFS($B$2:$B$349,$A$2:$A$349,$A65,$C$2:$C$349,$C65))),0)</f>
        <v>9078.9794921875</v>
      </c>
    </row>
    <row r="66" spans="1:12" x14ac:dyDescent="0.2">
      <c r="A66" t="s">
        <v>33</v>
      </c>
      <c r="B66">
        <v>1767073523</v>
      </c>
      <c r="C66" t="s">
        <v>13</v>
      </c>
      <c r="D66" t="s">
        <v>57</v>
      </c>
      <c r="E66" s="3">
        <f t="shared" ref="E66:E129" si="8">IFERROR(IF(RIGHT(TRIM(LEFT($D66,FIND("/",$D66)-1)),2)="kB",VALUE(LEFT(TRIM(LEFT($D66,FIND("/",$D66)-1)),LEN(TRIM(LEFT($D66,FIND("/",$D66)-1)))-2))*1000/1024/1024,IF(RIGHT(TRIM(LEFT($D66,FIND("/",$D66)-1)),2)="MB",VALUE(LEFT(TRIM(LEFT($D66,FIND("/",$D66)-1)),LEN(TRIM(LEFT($D66,FIND("/",$D66)-1)))-2))*1000000/1024/1024,IF(RIGHT(TRIM(LEFT($D66,FIND("/",$D66)-1)),2)="GB",VALUE(LEFT(TRIM(LEFT($D66,FIND("/",$D66)-1)),LEN(TRIM(LEFT($D66,FIND("/",$D66)-1)))-2))*1000000000/1024/1024,""))),"")</f>
        <v>772.4761962890625</v>
      </c>
      <c r="F66" s="3">
        <f t="shared" ref="F66:F129" si="9">IFERROR(IF(RIGHT(TRIM(MID($D66,FIND("/",$D66)+1,999)),2)="kB",VALUE(LEFT(TRIM(MID($D66,FIND("/",$D66)+1,999)),LEN(TRIM(MID($D66,FIND("/",$D66)+1,999)))-2))*1000/1024/1024,IF(RIGHT(TRIM(MID($D66,FIND("/",$D66)+1,999)),2)="MB",VALUE(LEFT(TRIM(MID($D66,FIND("/",$D66)+1,999)),LEN(TRIM(MID($D66,FIND("/",$D66)+1,999)))-2))*1000000/1024/1024,IF(RIGHT(TRIM(MID($D66,FIND("/",$D66)+1,999)),2)="GB",VALUE(LEFT(TRIM(MID($D66,FIND("/",$D66)+1,999)),LEN(TRIM(MID($D66,FIND("/",$D66)+1,999)))-2))*1000000000/1024/1024,""))),"")</f>
        <v>300.40740966796875</v>
      </c>
      <c r="G66" s="3">
        <f t="shared" ref="G66:G129" si="10">IFERROR($E66+$F66,"")</f>
        <v>1072.8836059570312</v>
      </c>
      <c r="H66" s="4">
        <f t="shared" ref="H66:H129" si="11">IF($A66&lt;&gt;$A65,0,IF($B66=$B65,$H65,$H65+5))</f>
        <v>40</v>
      </c>
      <c r="I66" s="3">
        <f t="shared" si="7"/>
        <v>0</v>
      </c>
      <c r="J66" s="3">
        <f t="shared" si="4"/>
        <v>2.86102294921875</v>
      </c>
      <c r="K66" s="3">
        <f t="shared" si="5"/>
        <v>2.86102294921875</v>
      </c>
      <c r="L66" s="3">
        <f ca="1">IFERROR(MAX(0,$G66-SUMIFS($G$2:$G$349,$A$2:$A$349,$A66,$C$2:$C$349,$C66,$B$2:$B$349,_xludf.MINIFS($B$2:$B$349,$A$2:$A$349,$A66,$C$2:$C$349,$C66))),0)</f>
        <v>1072.8836059570312</v>
      </c>
    </row>
    <row r="67" spans="1:12" x14ac:dyDescent="0.2">
      <c r="A67" t="s">
        <v>33</v>
      </c>
      <c r="B67">
        <v>1767073523</v>
      </c>
      <c r="C67" t="s">
        <v>15</v>
      </c>
      <c r="D67" t="s">
        <v>58</v>
      </c>
      <c r="E67" s="3">
        <f t="shared" si="8"/>
        <v>3929.13818359375</v>
      </c>
      <c r="F67" s="3">
        <f t="shared" si="9"/>
        <v>4463.19580078125</v>
      </c>
      <c r="G67" s="3">
        <f t="shared" si="10"/>
        <v>8392.333984375</v>
      </c>
      <c r="H67" s="4">
        <f t="shared" si="11"/>
        <v>40</v>
      </c>
      <c r="I67" s="3">
        <f t="shared" si="7"/>
        <v>57.220458984375455</v>
      </c>
      <c r="J67" s="3">
        <f>IF($B67=_xlfn.MINIFS($B$2:$B$349,$A$2:$A$349,$A67,$C$2:$C$349,$C67),0,IFERROR(MAX(0,$F67-SUMIFS($F$2:$F$349,$A$2:$A$349,$A67,$C$2:$C$349,$C67,$B$2:$B$349,_xlfn.MAXIFS($B$2:$B$349,$A$2:$A$349,$A67,$C$2:$C$349,$C67,$B$2:$B$349,"&lt;"&amp;$B67))),0))</f>
        <v>9.5367431640625</v>
      </c>
      <c r="K67" s="3">
        <f t="shared" ref="K67:K130" si="12">IF($B67=_xlfn.MINIFS($B$2:$B$349,$A$2:$A$349,$A67,$C$2:$C$349,$C67),0,IFERROR(MAX(0,$G67-SUMIFS($G$2:$G$349,$A$2:$A$349,$A67,$C$2:$C$349,$C67,$B$2:$B$349,_xlfn.MAXIFS($B$2:$B$349,$A$2:$A$349,$A67,$C$2:$C$349,$C67,$B$2:$B$349,"&lt;"&amp;$B67))),0))</f>
        <v>66.7572021484375</v>
      </c>
      <c r="L67" s="3">
        <f ca="1">IFERROR(MAX(0,$G67-SUMIFS($G$2:$G$349,$A$2:$A$349,$A67,$C$2:$C$349,$C67,$B$2:$B$349,_xludf.MINIFS($B$2:$B$349,$A$2:$A$349,$A67,$C$2:$C$349,$C67))),0)</f>
        <v>8392.333984375</v>
      </c>
    </row>
    <row r="68" spans="1:12" x14ac:dyDescent="0.2">
      <c r="A68" t="s">
        <v>33</v>
      </c>
      <c r="B68">
        <v>1767073523</v>
      </c>
      <c r="C68" t="s">
        <v>17</v>
      </c>
      <c r="D68" t="s">
        <v>59</v>
      </c>
      <c r="E68" s="3">
        <f t="shared" si="8"/>
        <v>226.02081298828125</v>
      </c>
      <c r="F68" s="3">
        <f t="shared" si="9"/>
        <v>411.03363037109375</v>
      </c>
      <c r="G68" s="3">
        <f t="shared" si="10"/>
        <v>637.054443359375</v>
      </c>
      <c r="H68" s="4">
        <f t="shared" si="11"/>
        <v>40</v>
      </c>
      <c r="I68" s="3">
        <f t="shared" si="7"/>
        <v>0</v>
      </c>
      <c r="J68" s="3">
        <f t="shared" si="4"/>
        <v>6.67572021484375</v>
      </c>
      <c r="K68" s="3">
        <f t="shared" si="12"/>
        <v>6.67572021484375</v>
      </c>
      <c r="L68" s="3">
        <f ca="1">IFERROR(MAX(0,$G68-SUMIFS($G$2:$G$349,$A$2:$A$349,$A68,$C$2:$C$349,$C68,$B$2:$B$349,_xludf.MINIFS($B$2:$B$349,$A$2:$A$349,$A68,$C$2:$C$349,$C68))),0)</f>
        <v>637.054443359375</v>
      </c>
    </row>
    <row r="69" spans="1:12" x14ac:dyDescent="0.2">
      <c r="A69" t="s">
        <v>33</v>
      </c>
      <c r="B69">
        <v>1767073523</v>
      </c>
      <c r="C69" t="s">
        <v>19</v>
      </c>
      <c r="D69" t="s">
        <v>60</v>
      </c>
      <c r="E69" s="3">
        <f t="shared" si="8"/>
        <v>2670.2880859375</v>
      </c>
      <c r="F69" s="3">
        <f t="shared" si="9"/>
        <v>6494.5220947265625</v>
      </c>
      <c r="G69" s="3">
        <f t="shared" si="10"/>
        <v>9164.8101806640625</v>
      </c>
      <c r="H69" s="4">
        <f t="shared" si="11"/>
        <v>40</v>
      </c>
      <c r="I69" s="3">
        <f t="shared" si="7"/>
        <v>0</v>
      </c>
      <c r="J69" s="3">
        <f t="shared" ref="J69:J87" si="13">IF($B69=_xlfn.MINIFS($B$2:$B$349,$A$2:$A$349,$A69,$C$2:$C$349,$C69),0,IFERROR(MAX(0,$F69-SUMIFS($F$2:$F$349,$A$2:$A$349,$A69,$C$2:$C$349,$C69,$B$2:$B$349,_xlfn.MAXIFS($B$2:$B$349,$A$2:$A$349,$A69,$C$2:$C$349,$C69,$B$2:$B$349,"&lt;"&amp;$B69))),0))</f>
        <v>85.8306884765625</v>
      </c>
      <c r="K69" s="3">
        <f t="shared" si="12"/>
        <v>85.8306884765625</v>
      </c>
      <c r="L69" s="3">
        <f ca="1">IFERROR(MAX(0,$G69-SUMIFS($G$2:$G$349,$A$2:$A$349,$A69,$C$2:$C$349,$C69,$B$2:$B$349,_xludf.MINIFS($B$2:$B$349,$A$2:$A$349,$A69,$C$2:$C$349,$C69))),0)</f>
        <v>9164.8101806640625</v>
      </c>
    </row>
    <row r="70" spans="1:12" x14ac:dyDescent="0.2">
      <c r="A70" t="s">
        <v>33</v>
      </c>
      <c r="B70">
        <v>1767073530</v>
      </c>
      <c r="C70" t="s">
        <v>13</v>
      </c>
      <c r="D70" t="s">
        <v>61</v>
      </c>
      <c r="E70" s="3">
        <f t="shared" si="8"/>
        <v>773.42987060546875</v>
      </c>
      <c r="F70" s="3">
        <f t="shared" si="9"/>
        <v>308.990478515625</v>
      </c>
      <c r="G70" s="3">
        <f t="shared" si="10"/>
        <v>1082.4203491210938</v>
      </c>
      <c r="H70" s="4">
        <f t="shared" si="11"/>
        <v>45</v>
      </c>
      <c r="I70" s="3">
        <f>IF($B70=_xlfn.MINIFS($B$2:$B$349,$A$2:$A$349,$A70,$C$2:$C$349,$C70),0,IFERROR(MAX(0,$E70-SUMIFS($E$2:$E$349,$A$2:$A$349,$A70,$C$2:$C$349,$C70,$B$2:$B$349,_xlfn.MAXIFS($B$2:$B$349,$A$2:$A$349,$A70,$C$2:$C$349,$C70,$B$2:$B$349,"&lt;"&amp;$B70))),0))</f>
        <v>0.95367431640625</v>
      </c>
      <c r="J70" s="3">
        <f t="shared" si="13"/>
        <v>8.58306884765625</v>
      </c>
      <c r="K70" s="3">
        <f t="shared" si="12"/>
        <v>9.5367431640625</v>
      </c>
      <c r="L70" s="3">
        <f ca="1">IFERROR(MAX(0,$G70-SUMIFS($G$2:$G$349,$A$2:$A$349,$A70,$C$2:$C$349,$C70,$B$2:$B$349,_xludf.MINIFS($B$2:$B$349,$A$2:$A$349,$A70,$C$2:$C$349,$C70))),0)</f>
        <v>1082.4203491210938</v>
      </c>
    </row>
    <row r="71" spans="1:12" x14ac:dyDescent="0.2">
      <c r="A71" t="s">
        <v>33</v>
      </c>
      <c r="B71">
        <v>1767073530</v>
      </c>
      <c r="C71" t="s">
        <v>15</v>
      </c>
      <c r="D71" t="s">
        <v>62</v>
      </c>
      <c r="E71" s="3">
        <f t="shared" si="8"/>
        <v>3948.2116699218745</v>
      </c>
      <c r="F71" s="3">
        <f t="shared" si="9"/>
        <v>4472.7325439453125</v>
      </c>
      <c r="G71" s="3">
        <f t="shared" si="10"/>
        <v>8420.9442138671875</v>
      </c>
      <c r="H71" s="4">
        <f t="shared" si="11"/>
        <v>45</v>
      </c>
      <c r="I71" s="3">
        <f t="shared" ref="I71:I77" si="14">IF($B71=_xlfn.MINIFS($B$2:$B$349,$A$2:$A$349,$A71,$C$2:$C$349,$C71),0,IFERROR(MAX(0,$E71-SUMIFS($E$2:$E$349,$A$2:$A$349,$A71,$C$2:$C$349,$C71,$B$2:$B$349,_xlfn.MAXIFS($B$2:$B$349,$A$2:$A$349,$A71,$C$2:$C$349,$C71,$B$2:$B$349,"&lt;"&amp;$B71))),0))</f>
        <v>19.073486328124545</v>
      </c>
      <c r="J71" s="3">
        <f t="shared" si="13"/>
        <v>9.5367431640625</v>
      </c>
      <c r="K71" s="3">
        <f t="shared" si="12"/>
        <v>28.6102294921875</v>
      </c>
      <c r="L71" s="3">
        <f ca="1">IFERROR(MAX(0,$G71-SUMIFS($G$2:$G$349,$A$2:$A$349,$A71,$C$2:$C$349,$C71,$B$2:$B$349,_xludf.MINIFS($B$2:$B$349,$A$2:$A$349,$A71,$C$2:$C$349,$C71))),0)</f>
        <v>8420.9442138671875</v>
      </c>
    </row>
    <row r="72" spans="1:12" x14ac:dyDescent="0.2">
      <c r="A72" t="s">
        <v>33</v>
      </c>
      <c r="B72">
        <v>1767073530</v>
      </c>
      <c r="C72" t="s">
        <v>17</v>
      </c>
      <c r="D72" t="s">
        <v>63</v>
      </c>
      <c r="E72" s="3">
        <f t="shared" si="8"/>
        <v>228.8818359375</v>
      </c>
      <c r="F72" s="3">
        <f t="shared" si="9"/>
        <v>423.431396484375</v>
      </c>
      <c r="G72" s="3">
        <f t="shared" si="10"/>
        <v>652.313232421875</v>
      </c>
      <c r="H72" s="4">
        <f t="shared" si="11"/>
        <v>45</v>
      </c>
      <c r="I72" s="3">
        <f t="shared" si="14"/>
        <v>2.86102294921875</v>
      </c>
      <c r="J72" s="3">
        <f t="shared" si="13"/>
        <v>12.39776611328125</v>
      </c>
      <c r="K72" s="3">
        <f t="shared" si="12"/>
        <v>15.2587890625</v>
      </c>
      <c r="L72" s="3">
        <f ca="1">IFERROR(MAX(0,$G72-SUMIFS($G$2:$G$349,$A$2:$A$349,$A72,$C$2:$C$349,$C72,$B$2:$B$349,_xludf.MINIFS($B$2:$B$349,$A$2:$A$349,$A72,$C$2:$C$349,$C72))),0)</f>
        <v>652.313232421875</v>
      </c>
    </row>
    <row r="73" spans="1:12" x14ac:dyDescent="0.2">
      <c r="A73" t="s">
        <v>33</v>
      </c>
      <c r="B73">
        <v>1767073530</v>
      </c>
      <c r="C73" t="s">
        <v>19</v>
      </c>
      <c r="D73" t="s">
        <v>64</v>
      </c>
      <c r="E73" s="3">
        <f t="shared" si="8"/>
        <v>2737.0452880859375</v>
      </c>
      <c r="F73" s="3">
        <f t="shared" si="9"/>
        <v>6666.1834716796875</v>
      </c>
      <c r="G73" s="3">
        <f t="shared" si="10"/>
        <v>9403.228759765625</v>
      </c>
      <c r="H73" s="4">
        <f t="shared" si="11"/>
        <v>45</v>
      </c>
      <c r="I73" s="3">
        <f t="shared" si="14"/>
        <v>66.7572021484375</v>
      </c>
      <c r="J73" s="3">
        <f t="shared" si="13"/>
        <v>171.661376953125</v>
      </c>
      <c r="K73" s="3">
        <f t="shared" si="12"/>
        <v>238.4185791015625</v>
      </c>
      <c r="L73" s="3">
        <f ca="1">IFERROR(MAX(0,$G73-SUMIFS($G$2:$G$349,$A$2:$A$349,$A73,$C$2:$C$349,$C73,$B$2:$B$349,_xludf.MINIFS($B$2:$B$349,$A$2:$A$349,$A73,$C$2:$C$349,$C73))),0)</f>
        <v>9403.228759765625</v>
      </c>
    </row>
    <row r="74" spans="1:12" x14ac:dyDescent="0.2">
      <c r="A74" t="s">
        <v>33</v>
      </c>
      <c r="B74">
        <v>1767073538</v>
      </c>
      <c r="C74" t="s">
        <v>13</v>
      </c>
      <c r="D74" t="s">
        <v>61</v>
      </c>
      <c r="E74" s="3">
        <f t="shared" si="8"/>
        <v>773.42987060546875</v>
      </c>
      <c r="F74" s="3">
        <f t="shared" si="9"/>
        <v>308.990478515625</v>
      </c>
      <c r="G74" s="3">
        <f t="shared" si="10"/>
        <v>1082.4203491210938</v>
      </c>
      <c r="H74" s="4">
        <f t="shared" si="11"/>
        <v>50</v>
      </c>
      <c r="I74" s="3">
        <f t="shared" si="14"/>
        <v>0</v>
      </c>
      <c r="J74" s="3">
        <f t="shared" si="13"/>
        <v>0</v>
      </c>
      <c r="K74" s="3">
        <f t="shared" si="12"/>
        <v>0</v>
      </c>
      <c r="L74" s="3">
        <f ca="1">IFERROR(MAX(0,$G74-SUMIFS($G$2:$G$349,$A$2:$A$349,$A74,$C$2:$C$349,$C74,$B$2:$B$349,_xludf.MINIFS($B$2:$B$349,$A$2:$A$349,$A74,$C$2:$C$349,$C74))),0)</f>
        <v>1082.4203491210938</v>
      </c>
    </row>
    <row r="75" spans="1:12" x14ac:dyDescent="0.2">
      <c r="A75" t="s">
        <v>33</v>
      </c>
      <c r="B75">
        <v>1767073538</v>
      </c>
      <c r="C75" t="s">
        <v>15</v>
      </c>
      <c r="D75" t="s">
        <v>65</v>
      </c>
      <c r="E75" s="3">
        <f t="shared" si="8"/>
        <v>3948.2116699218745</v>
      </c>
      <c r="F75" s="3">
        <f t="shared" si="9"/>
        <v>4491.8060302734375</v>
      </c>
      <c r="G75" s="3">
        <f t="shared" si="10"/>
        <v>8440.0177001953125</v>
      </c>
      <c r="H75" s="4">
        <f t="shared" si="11"/>
        <v>50</v>
      </c>
      <c r="I75" s="3">
        <f t="shared" si="14"/>
        <v>0</v>
      </c>
      <c r="J75" s="3">
        <f t="shared" si="13"/>
        <v>19.073486328125</v>
      </c>
      <c r="K75" s="3">
        <f t="shared" si="12"/>
        <v>19.073486328125</v>
      </c>
      <c r="L75" s="3">
        <f ca="1">IFERROR(MAX(0,$G75-SUMIFS($G$2:$G$349,$A$2:$A$349,$A75,$C$2:$C$349,$C75,$B$2:$B$349,_xludf.MINIFS($B$2:$B$349,$A$2:$A$349,$A75,$C$2:$C$349,$C75))),0)</f>
        <v>8440.0177001953125</v>
      </c>
    </row>
    <row r="76" spans="1:12" x14ac:dyDescent="0.2">
      <c r="A76" t="s">
        <v>33</v>
      </c>
      <c r="B76">
        <v>1767073538</v>
      </c>
      <c r="C76" t="s">
        <v>17</v>
      </c>
      <c r="D76" t="s">
        <v>66</v>
      </c>
      <c r="E76" s="3">
        <f t="shared" si="8"/>
        <v>231.74285888671875</v>
      </c>
      <c r="F76" s="3">
        <f t="shared" si="9"/>
        <v>423.431396484375</v>
      </c>
      <c r="G76" s="3">
        <f t="shared" si="10"/>
        <v>655.17425537109375</v>
      </c>
      <c r="H76" s="4">
        <f t="shared" si="11"/>
        <v>50</v>
      </c>
      <c r="I76" s="3">
        <f t="shared" si="14"/>
        <v>2.86102294921875</v>
      </c>
      <c r="J76" s="3">
        <f t="shared" si="13"/>
        <v>0</v>
      </c>
      <c r="K76" s="3">
        <f t="shared" si="12"/>
        <v>2.86102294921875</v>
      </c>
      <c r="L76" s="3">
        <f ca="1">IFERROR(MAX(0,$G76-SUMIFS($G$2:$G$349,$A$2:$A$349,$A76,$C$2:$C$349,$C76,$B$2:$B$349,_xludf.MINIFS($B$2:$B$349,$A$2:$A$349,$A76,$C$2:$C$349,$C76))),0)</f>
        <v>655.17425537109375</v>
      </c>
    </row>
    <row r="77" spans="1:12" x14ac:dyDescent="0.2">
      <c r="A77" t="s">
        <v>33</v>
      </c>
      <c r="B77">
        <v>1767073538</v>
      </c>
      <c r="C77" t="s">
        <v>19</v>
      </c>
      <c r="D77" t="s">
        <v>67</v>
      </c>
      <c r="E77" s="3">
        <f t="shared" si="8"/>
        <v>2861.02294921875</v>
      </c>
      <c r="F77" s="3">
        <f t="shared" si="9"/>
        <v>6866.455078125</v>
      </c>
      <c r="G77" s="3">
        <f t="shared" si="10"/>
        <v>9727.47802734375</v>
      </c>
      <c r="H77" s="4">
        <f t="shared" si="11"/>
        <v>50</v>
      </c>
      <c r="I77" s="3">
        <f t="shared" si="14"/>
        <v>123.9776611328125</v>
      </c>
      <c r="J77" s="3">
        <f t="shared" si="13"/>
        <v>200.2716064453125</v>
      </c>
      <c r="K77" s="3">
        <f t="shared" si="12"/>
        <v>324.249267578125</v>
      </c>
      <c r="L77" s="3">
        <f ca="1">IFERROR(MAX(0,$G77-SUMIFS($G$2:$G$349,$A$2:$A$349,$A77,$C$2:$C$349,$C77,$B$2:$B$349,_xludf.MINIFS($B$2:$B$349,$A$2:$A$349,$A77,$C$2:$C$349,$C77))),0)</f>
        <v>9727.47802734375</v>
      </c>
    </row>
    <row r="78" spans="1:12" x14ac:dyDescent="0.2">
      <c r="A78" t="s">
        <v>33</v>
      </c>
      <c r="B78">
        <v>1767073545</v>
      </c>
      <c r="C78" t="s">
        <v>13</v>
      </c>
      <c r="D78" t="s">
        <v>68</v>
      </c>
      <c r="E78" s="3">
        <f t="shared" si="8"/>
        <v>775.33721923828125</v>
      </c>
      <c r="F78" s="3">
        <f t="shared" si="9"/>
        <v>308.990478515625</v>
      </c>
      <c r="G78" s="3">
        <f t="shared" si="10"/>
        <v>1084.3276977539062</v>
      </c>
      <c r="H78" s="4">
        <f t="shared" si="11"/>
        <v>55</v>
      </c>
      <c r="I78" s="3">
        <f>IF($B78=_xlfn.MINIFS($B$2:$B$349,$A$2:$A$349,$A78,$C$2:$C$349,$C78),0,IFERROR(MAX(0,$E78-SUMIFS($E$2:$E$349,$A$2:$A$349,$A78,$C$2:$C$349,$C78,$B$2:$B$349,_xlfn.MAXIFS($B$2:$B$349,$A$2:$A$349,$A78,$C$2:$C$349,$C78,$B$2:$B$349,"&lt;"&amp;$B78))),0))</f>
        <v>1.9073486328125</v>
      </c>
      <c r="J78" s="3">
        <f t="shared" si="13"/>
        <v>0</v>
      </c>
      <c r="K78" s="3">
        <f t="shared" si="12"/>
        <v>1.9073486328125</v>
      </c>
      <c r="L78" s="3">
        <f ca="1">IFERROR(MAX(0,$G78-SUMIFS($G$2:$G$349,$A$2:$A$349,$A78,$C$2:$C$349,$C78,$B$2:$B$349,_xludf.MINIFS($B$2:$B$349,$A$2:$A$349,$A78,$C$2:$C$349,$C78))),0)</f>
        <v>1084.3276977539062</v>
      </c>
    </row>
    <row r="79" spans="1:12" x14ac:dyDescent="0.2">
      <c r="A79" t="s">
        <v>33</v>
      </c>
      <c r="B79">
        <v>1767073545</v>
      </c>
      <c r="C79" t="s">
        <v>15</v>
      </c>
      <c r="D79" t="s">
        <v>69</v>
      </c>
      <c r="E79" s="3">
        <f t="shared" si="8"/>
        <v>3948.2116699218745</v>
      </c>
      <c r="F79" s="3">
        <f t="shared" si="9"/>
        <v>4510.8795166015625</v>
      </c>
      <c r="G79" s="3">
        <f t="shared" si="10"/>
        <v>8459.0911865234375</v>
      </c>
      <c r="H79" s="4">
        <f t="shared" si="11"/>
        <v>55</v>
      </c>
      <c r="I79" s="3">
        <f t="shared" ref="I79:I99" si="15">IF($B79=_xlfn.MINIFS($B$2:$B$349,$A$2:$A$349,$A79,$C$2:$C$349,$C79),0,IFERROR(MAX(0,$E79-SUMIFS($E$2:$E$349,$A$2:$A$349,$A79,$C$2:$C$349,$C79,$B$2:$B$349,_xlfn.MAXIFS($B$2:$B$349,$A$2:$A$349,$A79,$C$2:$C$349,$C79,$B$2:$B$349,"&lt;"&amp;$B79))),0))</f>
        <v>0</v>
      </c>
      <c r="J79" s="3">
        <f t="shared" si="13"/>
        <v>19.073486328125</v>
      </c>
      <c r="K79" s="3">
        <f t="shared" si="12"/>
        <v>19.073486328125</v>
      </c>
      <c r="L79" s="3">
        <f ca="1">IFERROR(MAX(0,$G79-SUMIFS($G$2:$G$349,$A$2:$A$349,$A79,$C$2:$C$349,$C79,$B$2:$B$349,_xludf.MINIFS($B$2:$B$349,$A$2:$A$349,$A79,$C$2:$C$349,$C79))),0)</f>
        <v>8459.0911865234375</v>
      </c>
    </row>
    <row r="80" spans="1:12" x14ac:dyDescent="0.2">
      <c r="A80" t="s">
        <v>33</v>
      </c>
      <c r="B80">
        <v>1767073545</v>
      </c>
      <c r="C80" t="s">
        <v>17</v>
      </c>
      <c r="D80" t="s">
        <v>70</v>
      </c>
      <c r="E80" s="3">
        <f t="shared" si="8"/>
        <v>232.696533203125</v>
      </c>
      <c r="F80" s="3">
        <f t="shared" si="9"/>
        <v>423.431396484375</v>
      </c>
      <c r="G80" s="3">
        <f t="shared" si="10"/>
        <v>656.1279296875</v>
      </c>
      <c r="H80" s="4">
        <f t="shared" si="11"/>
        <v>55</v>
      </c>
      <c r="I80" s="3">
        <f t="shared" si="15"/>
        <v>0.95367431640625</v>
      </c>
      <c r="J80" s="3">
        <f t="shared" si="13"/>
        <v>0</v>
      </c>
      <c r="K80" s="3">
        <f t="shared" si="12"/>
        <v>0.95367431640625</v>
      </c>
      <c r="L80" s="3">
        <f ca="1">IFERROR(MAX(0,$G80-SUMIFS($G$2:$G$349,$A$2:$A$349,$A80,$C$2:$C$349,$C80,$B$2:$B$349,_xludf.MINIFS($B$2:$B$349,$A$2:$A$349,$A80,$C$2:$C$349,$C80))),0)</f>
        <v>656.1279296875</v>
      </c>
    </row>
    <row r="81" spans="1:12" x14ac:dyDescent="0.2">
      <c r="A81" t="s">
        <v>33</v>
      </c>
      <c r="B81">
        <v>1767073545</v>
      </c>
      <c r="C81" t="s">
        <v>19</v>
      </c>
      <c r="D81" t="s">
        <v>71</v>
      </c>
      <c r="E81" s="3">
        <f t="shared" si="8"/>
        <v>2870.5596923828125</v>
      </c>
      <c r="F81" s="3">
        <f t="shared" si="9"/>
        <v>6866.455078125</v>
      </c>
      <c r="G81" s="3">
        <f t="shared" si="10"/>
        <v>9737.0147705078125</v>
      </c>
      <c r="H81" s="4">
        <f t="shared" si="11"/>
        <v>55</v>
      </c>
      <c r="I81" s="3">
        <f t="shared" si="15"/>
        <v>9.5367431640625</v>
      </c>
      <c r="J81" s="3">
        <f t="shared" si="13"/>
        <v>0</v>
      </c>
      <c r="K81" s="3">
        <f t="shared" si="12"/>
        <v>9.5367431640625</v>
      </c>
      <c r="L81" s="3">
        <f ca="1">IFERROR(MAX(0,$G81-SUMIFS($G$2:$G$349,$A$2:$A$349,$A81,$C$2:$C$349,$C81,$B$2:$B$349,_xludf.MINIFS($B$2:$B$349,$A$2:$A$349,$A81,$C$2:$C$349,$C81))),0)</f>
        <v>9737.0147705078125</v>
      </c>
    </row>
    <row r="82" spans="1:12" x14ac:dyDescent="0.2">
      <c r="A82" t="s">
        <v>33</v>
      </c>
      <c r="B82">
        <v>1767073553</v>
      </c>
      <c r="C82" t="s">
        <v>13</v>
      </c>
      <c r="D82" t="s">
        <v>72</v>
      </c>
      <c r="E82" s="3">
        <f t="shared" si="8"/>
        <v>777.24456787109375</v>
      </c>
      <c r="F82" s="3">
        <f t="shared" si="9"/>
        <v>308.990478515625</v>
      </c>
      <c r="G82" s="3">
        <f t="shared" si="10"/>
        <v>1086.2350463867188</v>
      </c>
      <c r="H82" s="4">
        <f t="shared" si="11"/>
        <v>60</v>
      </c>
      <c r="I82" s="3">
        <f t="shared" si="15"/>
        <v>1.9073486328125</v>
      </c>
      <c r="J82" s="3">
        <f t="shared" si="13"/>
        <v>0</v>
      </c>
      <c r="K82" s="3">
        <f t="shared" si="12"/>
        <v>1.9073486328125</v>
      </c>
      <c r="L82" s="3">
        <f ca="1">IFERROR(MAX(0,$G82-SUMIFS($G$2:$G$349,$A$2:$A$349,$A82,$C$2:$C$349,$C82,$B$2:$B$349,_xludf.MINIFS($B$2:$B$349,$A$2:$A$349,$A82,$C$2:$C$349,$C82))),0)</f>
        <v>1086.2350463867188</v>
      </c>
    </row>
    <row r="83" spans="1:12" x14ac:dyDescent="0.2">
      <c r="A83" t="s">
        <v>33</v>
      </c>
      <c r="B83">
        <v>1767073553</v>
      </c>
      <c r="C83" t="s">
        <v>15</v>
      </c>
      <c r="D83" t="s">
        <v>73</v>
      </c>
      <c r="E83" s="3">
        <f t="shared" si="8"/>
        <v>3957.748413085938</v>
      </c>
      <c r="F83" s="3">
        <f t="shared" si="9"/>
        <v>4510.8795166015625</v>
      </c>
      <c r="G83" s="3">
        <f t="shared" si="10"/>
        <v>8468.6279296875</v>
      </c>
      <c r="H83" s="4">
        <f t="shared" si="11"/>
        <v>60</v>
      </c>
      <c r="I83" s="3">
        <f t="shared" si="15"/>
        <v>9.5367431640634095</v>
      </c>
      <c r="J83" s="3">
        <f t="shared" si="13"/>
        <v>0</v>
      </c>
      <c r="K83" s="3">
        <f t="shared" si="12"/>
        <v>9.5367431640625</v>
      </c>
      <c r="L83" s="3">
        <f ca="1">IFERROR(MAX(0,$G83-SUMIFS($G$2:$G$349,$A$2:$A$349,$A83,$C$2:$C$349,$C83,$B$2:$B$349,_xludf.MINIFS($B$2:$B$349,$A$2:$A$349,$A83,$C$2:$C$349,$C83))),0)</f>
        <v>8468.6279296875</v>
      </c>
    </row>
    <row r="84" spans="1:12" x14ac:dyDescent="0.2">
      <c r="A84" t="s">
        <v>33</v>
      </c>
      <c r="B84">
        <v>1767073553</v>
      </c>
      <c r="C84" t="s">
        <v>17</v>
      </c>
      <c r="D84" t="s">
        <v>74</v>
      </c>
      <c r="E84" s="3">
        <f t="shared" si="8"/>
        <v>242.2332763671875</v>
      </c>
      <c r="F84" s="3">
        <f t="shared" si="9"/>
        <v>423.431396484375</v>
      </c>
      <c r="G84" s="3">
        <f t="shared" si="10"/>
        <v>665.6646728515625</v>
      </c>
      <c r="H84" s="4">
        <f t="shared" si="11"/>
        <v>60</v>
      </c>
      <c r="I84" s="3">
        <f t="shared" si="15"/>
        <v>9.5367431640625</v>
      </c>
      <c r="J84" s="3">
        <f t="shared" si="13"/>
        <v>0</v>
      </c>
      <c r="K84" s="3">
        <f t="shared" si="12"/>
        <v>9.5367431640625</v>
      </c>
      <c r="L84" s="3">
        <f ca="1">IFERROR(MAX(0,$G84-SUMIFS($G$2:$G$349,$A$2:$A$349,$A84,$C$2:$C$349,$C84,$B$2:$B$349,_xludf.MINIFS($B$2:$B$349,$A$2:$A$349,$A84,$C$2:$C$349,$C84))),0)</f>
        <v>665.6646728515625</v>
      </c>
    </row>
    <row r="85" spans="1:12" x14ac:dyDescent="0.2">
      <c r="A85" t="s">
        <v>33</v>
      </c>
      <c r="B85">
        <v>1767073553</v>
      </c>
      <c r="C85" t="s">
        <v>19</v>
      </c>
      <c r="D85" t="s">
        <v>75</v>
      </c>
      <c r="E85" s="3">
        <f t="shared" si="8"/>
        <v>2880.096435546875</v>
      </c>
      <c r="F85" s="3">
        <f t="shared" si="9"/>
        <v>6866.455078125</v>
      </c>
      <c r="G85" s="3">
        <f t="shared" si="10"/>
        <v>9746.551513671875</v>
      </c>
      <c r="H85" s="4">
        <f t="shared" si="11"/>
        <v>60</v>
      </c>
      <c r="I85" s="3">
        <f t="shared" si="15"/>
        <v>9.5367431640625</v>
      </c>
      <c r="J85" s="3">
        <f t="shared" si="13"/>
        <v>0</v>
      </c>
      <c r="K85" s="3">
        <f t="shared" si="12"/>
        <v>9.5367431640625</v>
      </c>
      <c r="L85" s="3">
        <f ca="1">IFERROR(MAX(0,$G85-SUMIFS($G$2:$G$349,$A$2:$A$349,$A85,$C$2:$C$349,$C85,$B$2:$B$349,_xludf.MINIFS($B$2:$B$349,$A$2:$A$349,$A85,$C$2:$C$349,$C85))),0)</f>
        <v>9746.551513671875</v>
      </c>
    </row>
    <row r="86" spans="1:12" x14ac:dyDescent="0.2">
      <c r="A86" t="s">
        <v>33</v>
      </c>
      <c r="B86">
        <v>1767073560</v>
      </c>
      <c r="C86" t="s">
        <v>13</v>
      </c>
      <c r="D86" t="s">
        <v>76</v>
      </c>
      <c r="E86" s="3">
        <f t="shared" si="8"/>
        <v>779.15191650390625</v>
      </c>
      <c r="F86" s="3">
        <f t="shared" si="9"/>
        <v>308.990478515625</v>
      </c>
      <c r="G86" s="3">
        <f t="shared" si="10"/>
        <v>1088.1423950195312</v>
      </c>
      <c r="H86" s="4">
        <f t="shared" si="11"/>
        <v>65</v>
      </c>
      <c r="I86" s="3">
        <f t="shared" si="15"/>
        <v>1.9073486328125</v>
      </c>
      <c r="J86" s="3">
        <f t="shared" si="13"/>
        <v>0</v>
      </c>
      <c r="K86" s="3">
        <f t="shared" si="12"/>
        <v>1.9073486328125</v>
      </c>
      <c r="L86" s="3">
        <f ca="1">IFERROR(MAX(0,$G86-SUMIFS($G$2:$G$349,$A$2:$A$349,$A86,$C$2:$C$349,$C86,$B$2:$B$349,_xludf.MINIFS($B$2:$B$349,$A$2:$A$349,$A86,$C$2:$C$349,$C86))),0)</f>
        <v>1088.1423950195312</v>
      </c>
    </row>
    <row r="87" spans="1:12" x14ac:dyDescent="0.2">
      <c r="A87" t="s">
        <v>33</v>
      </c>
      <c r="B87">
        <v>1767073560</v>
      </c>
      <c r="C87" t="s">
        <v>15</v>
      </c>
      <c r="D87" t="s">
        <v>73</v>
      </c>
      <c r="E87" s="3">
        <f t="shared" si="8"/>
        <v>3957.748413085938</v>
      </c>
      <c r="F87" s="3">
        <f t="shared" si="9"/>
        <v>4510.8795166015625</v>
      </c>
      <c r="G87" s="3">
        <f t="shared" si="10"/>
        <v>8468.6279296875</v>
      </c>
      <c r="H87" s="4">
        <f t="shared" si="11"/>
        <v>65</v>
      </c>
      <c r="I87" s="3">
        <f t="shared" si="15"/>
        <v>0</v>
      </c>
      <c r="J87" s="3">
        <f t="shared" si="13"/>
        <v>0</v>
      </c>
      <c r="K87" s="3">
        <f t="shared" si="12"/>
        <v>0</v>
      </c>
      <c r="L87" s="3">
        <f ca="1">IFERROR(MAX(0,$G87-SUMIFS($G$2:$G$349,$A$2:$A$349,$A87,$C$2:$C$349,$C87,$B$2:$B$349,_xludf.MINIFS($B$2:$B$349,$A$2:$A$349,$A87,$C$2:$C$349,$C87))),0)</f>
        <v>8468.6279296875</v>
      </c>
    </row>
    <row r="88" spans="1:12" x14ac:dyDescent="0.2">
      <c r="A88" t="s">
        <v>33</v>
      </c>
      <c r="B88">
        <v>1767073560</v>
      </c>
      <c r="C88" t="s">
        <v>17</v>
      </c>
      <c r="D88" t="s">
        <v>77</v>
      </c>
      <c r="E88" s="3">
        <f t="shared" si="8"/>
        <v>245.09429931640625</v>
      </c>
      <c r="F88" s="3">
        <f t="shared" si="9"/>
        <v>423.431396484375</v>
      </c>
      <c r="G88" s="3">
        <f t="shared" si="10"/>
        <v>668.52569580078125</v>
      </c>
      <c r="H88" s="4">
        <f t="shared" si="11"/>
        <v>65</v>
      </c>
      <c r="I88" s="3">
        <f t="shared" si="15"/>
        <v>2.86102294921875</v>
      </c>
      <c r="J88" s="3">
        <f>IF($B88=_xlfn.MINIFS($B$2:$B$349,$A$2:$A$349,$A88,$C$2:$C$349,$C88),0,IFERROR(MAX(0,$F88-SUMIFS($F$2:$F$349,$A$2:$A$349,$A88,$C$2:$C$349,$C88,$B$2:$B$349,_xlfn.MAXIFS($B$2:$B$349,$A$2:$A$349,$A88,$C$2:$C$349,$C88,$B$2:$B$349,"&lt;"&amp;$B88))),0))</f>
        <v>0</v>
      </c>
      <c r="K88" s="3">
        <f t="shared" si="12"/>
        <v>2.86102294921875</v>
      </c>
      <c r="L88" s="3">
        <f ca="1">IFERROR(MAX(0,$G88-SUMIFS($G$2:$G$349,$A$2:$A$349,$A88,$C$2:$C$349,$C88,$B$2:$B$349,_xludf.MINIFS($B$2:$B$349,$A$2:$A$349,$A88,$C$2:$C$349,$C88))),0)</f>
        <v>668.52569580078125</v>
      </c>
    </row>
    <row r="89" spans="1:12" x14ac:dyDescent="0.2">
      <c r="A89" t="s">
        <v>33</v>
      </c>
      <c r="B89">
        <v>1767073560</v>
      </c>
      <c r="C89" t="s">
        <v>19</v>
      </c>
      <c r="D89" t="s">
        <v>78</v>
      </c>
      <c r="E89" s="3">
        <f t="shared" si="8"/>
        <v>2899.169921875</v>
      </c>
      <c r="F89" s="3">
        <f t="shared" si="9"/>
        <v>6866.455078125</v>
      </c>
      <c r="G89" s="3">
        <f t="shared" si="10"/>
        <v>9765.625</v>
      </c>
      <c r="H89" s="4">
        <f t="shared" si="11"/>
        <v>65</v>
      </c>
      <c r="I89" s="3">
        <f t="shared" si="15"/>
        <v>19.073486328125</v>
      </c>
      <c r="J89" s="3">
        <f t="shared" ref="J89:J107" si="16">IF($B89=_xlfn.MINIFS($B$2:$B$349,$A$2:$A$349,$A89,$C$2:$C$349,$C89),0,IFERROR(MAX(0,$F89-SUMIFS($F$2:$F$349,$A$2:$A$349,$A89,$C$2:$C$349,$C89,$B$2:$B$349,_xlfn.MAXIFS($B$2:$B$349,$A$2:$A$349,$A89,$C$2:$C$349,$C89,$B$2:$B$349,"&lt;"&amp;$B89))),0))</f>
        <v>0</v>
      </c>
      <c r="K89" s="3">
        <f t="shared" si="12"/>
        <v>19.073486328125</v>
      </c>
      <c r="L89" s="3">
        <f ca="1">IFERROR(MAX(0,$G89-SUMIFS($G$2:$G$349,$A$2:$A$349,$A89,$C$2:$C$349,$C89,$B$2:$B$349,_xludf.MINIFS($B$2:$B$349,$A$2:$A$349,$A89,$C$2:$C$349,$C89))),0)</f>
        <v>9765.625</v>
      </c>
    </row>
    <row r="90" spans="1:12" x14ac:dyDescent="0.2">
      <c r="A90" t="s">
        <v>33</v>
      </c>
      <c r="B90">
        <v>1767073568</v>
      </c>
      <c r="C90" t="s">
        <v>13</v>
      </c>
      <c r="D90" t="s">
        <v>79</v>
      </c>
      <c r="E90" s="3">
        <f t="shared" si="8"/>
        <v>780.1055908203125</v>
      </c>
      <c r="F90" s="3">
        <f t="shared" si="9"/>
        <v>308.990478515625</v>
      </c>
      <c r="G90" s="3">
        <f t="shared" si="10"/>
        <v>1089.0960693359375</v>
      </c>
      <c r="H90" s="4">
        <f t="shared" si="11"/>
        <v>70</v>
      </c>
      <c r="I90" s="3">
        <f t="shared" si="15"/>
        <v>0.95367431640625</v>
      </c>
      <c r="J90" s="3">
        <f t="shared" si="16"/>
        <v>0</v>
      </c>
      <c r="K90" s="3">
        <f t="shared" si="12"/>
        <v>0.95367431640625</v>
      </c>
      <c r="L90" s="3">
        <f ca="1">IFERROR(MAX(0,$G90-SUMIFS($G$2:$G$349,$A$2:$A$349,$A90,$C$2:$C$349,$C90,$B$2:$B$349,_xludf.MINIFS($B$2:$B$349,$A$2:$A$349,$A90,$C$2:$C$349,$C90))),0)</f>
        <v>1089.0960693359375</v>
      </c>
    </row>
    <row r="91" spans="1:12" x14ac:dyDescent="0.2">
      <c r="A91" t="s">
        <v>33</v>
      </c>
      <c r="B91">
        <v>1767073568</v>
      </c>
      <c r="C91" t="s">
        <v>15</v>
      </c>
      <c r="D91" t="s">
        <v>73</v>
      </c>
      <c r="E91" s="3">
        <f t="shared" si="8"/>
        <v>3957.748413085938</v>
      </c>
      <c r="F91" s="3">
        <f t="shared" si="9"/>
        <v>4510.8795166015625</v>
      </c>
      <c r="G91" s="3">
        <f t="shared" si="10"/>
        <v>8468.6279296875</v>
      </c>
      <c r="H91" s="4">
        <f t="shared" si="11"/>
        <v>70</v>
      </c>
      <c r="I91" s="3">
        <f t="shared" si="15"/>
        <v>0</v>
      </c>
      <c r="J91" s="3">
        <f t="shared" si="16"/>
        <v>0</v>
      </c>
      <c r="K91" s="3">
        <f t="shared" si="12"/>
        <v>0</v>
      </c>
      <c r="L91" s="3">
        <f ca="1">IFERROR(MAX(0,$G91-SUMIFS($G$2:$G$349,$A$2:$A$349,$A91,$C$2:$C$349,$C91,$B$2:$B$349,_xludf.MINIFS($B$2:$B$349,$A$2:$A$349,$A91,$C$2:$C$349,$C91))),0)</f>
        <v>8468.6279296875</v>
      </c>
    </row>
    <row r="92" spans="1:12" x14ac:dyDescent="0.2">
      <c r="A92" t="s">
        <v>33</v>
      </c>
      <c r="B92">
        <v>1767073568</v>
      </c>
      <c r="C92" t="s">
        <v>17</v>
      </c>
      <c r="D92" t="s">
        <v>77</v>
      </c>
      <c r="E92" s="3">
        <f t="shared" si="8"/>
        <v>245.09429931640625</v>
      </c>
      <c r="F92" s="3">
        <f t="shared" si="9"/>
        <v>423.431396484375</v>
      </c>
      <c r="G92" s="3">
        <f t="shared" si="10"/>
        <v>668.52569580078125</v>
      </c>
      <c r="H92" s="4">
        <f t="shared" si="11"/>
        <v>70</v>
      </c>
      <c r="I92" s="3">
        <f t="shared" si="15"/>
        <v>0</v>
      </c>
      <c r="J92" s="3">
        <f t="shared" si="16"/>
        <v>0</v>
      </c>
      <c r="K92" s="3">
        <f t="shared" si="12"/>
        <v>0</v>
      </c>
      <c r="L92" s="3">
        <f ca="1">IFERROR(MAX(0,$G92-SUMIFS($G$2:$G$349,$A$2:$A$349,$A92,$C$2:$C$349,$C92,$B$2:$B$349,_xludf.MINIFS($B$2:$B$349,$A$2:$A$349,$A92,$C$2:$C$349,$C92))),0)</f>
        <v>668.52569580078125</v>
      </c>
    </row>
    <row r="93" spans="1:12" x14ac:dyDescent="0.2">
      <c r="A93" t="s">
        <v>33</v>
      </c>
      <c r="B93">
        <v>1767073568</v>
      </c>
      <c r="C93" t="s">
        <v>19</v>
      </c>
      <c r="D93" t="s">
        <v>78</v>
      </c>
      <c r="E93" s="3">
        <f t="shared" si="8"/>
        <v>2899.169921875</v>
      </c>
      <c r="F93" s="3">
        <f t="shared" si="9"/>
        <v>6866.455078125</v>
      </c>
      <c r="G93" s="3">
        <f t="shared" si="10"/>
        <v>9765.625</v>
      </c>
      <c r="H93" s="4">
        <f t="shared" si="11"/>
        <v>70</v>
      </c>
      <c r="I93" s="3">
        <f t="shared" si="15"/>
        <v>0</v>
      </c>
      <c r="J93" s="3">
        <f t="shared" si="16"/>
        <v>0</v>
      </c>
      <c r="K93" s="3">
        <f t="shared" si="12"/>
        <v>0</v>
      </c>
      <c r="L93" s="3">
        <f ca="1">IFERROR(MAX(0,$G93-SUMIFS($G$2:$G$349,$A$2:$A$349,$A93,$C$2:$C$349,$C93,$B$2:$B$349,_xludf.MINIFS($B$2:$B$349,$A$2:$A$349,$A93,$C$2:$C$349,$C93))),0)</f>
        <v>9765.625</v>
      </c>
    </row>
    <row r="94" spans="1:12" x14ac:dyDescent="0.2">
      <c r="A94" t="s">
        <v>33</v>
      </c>
      <c r="B94">
        <v>1767073575</v>
      </c>
      <c r="C94" t="s">
        <v>13</v>
      </c>
      <c r="D94" t="s">
        <v>79</v>
      </c>
      <c r="E94" s="3">
        <f t="shared" si="8"/>
        <v>780.1055908203125</v>
      </c>
      <c r="F94" s="3">
        <f t="shared" si="9"/>
        <v>308.990478515625</v>
      </c>
      <c r="G94" s="3">
        <f t="shared" si="10"/>
        <v>1089.0960693359375</v>
      </c>
      <c r="H94" s="4">
        <f t="shared" si="11"/>
        <v>75</v>
      </c>
      <c r="I94" s="3">
        <f t="shared" si="15"/>
        <v>0</v>
      </c>
      <c r="J94" s="3">
        <f t="shared" si="16"/>
        <v>0</v>
      </c>
      <c r="K94" s="3">
        <f t="shared" si="12"/>
        <v>0</v>
      </c>
      <c r="L94" s="3">
        <f ca="1">IFERROR(MAX(0,$G94-SUMIFS($G$2:$G$349,$A$2:$A$349,$A94,$C$2:$C$349,$C94,$B$2:$B$349,_xludf.MINIFS($B$2:$B$349,$A$2:$A$349,$A94,$C$2:$C$349,$C94))),0)</f>
        <v>1089.0960693359375</v>
      </c>
    </row>
    <row r="95" spans="1:12" x14ac:dyDescent="0.2">
      <c r="A95" t="s">
        <v>33</v>
      </c>
      <c r="B95">
        <v>1767073575</v>
      </c>
      <c r="C95" t="s">
        <v>15</v>
      </c>
      <c r="D95" t="s">
        <v>73</v>
      </c>
      <c r="E95" s="3">
        <f t="shared" si="8"/>
        <v>3957.748413085938</v>
      </c>
      <c r="F95" s="3">
        <f t="shared" si="9"/>
        <v>4510.8795166015625</v>
      </c>
      <c r="G95" s="3">
        <f t="shared" si="10"/>
        <v>8468.6279296875</v>
      </c>
      <c r="H95" s="4">
        <f t="shared" si="11"/>
        <v>75</v>
      </c>
      <c r="I95" s="3">
        <f t="shared" si="15"/>
        <v>0</v>
      </c>
      <c r="J95" s="3">
        <f t="shared" si="16"/>
        <v>0</v>
      </c>
      <c r="K95" s="3">
        <f t="shared" si="12"/>
        <v>0</v>
      </c>
      <c r="L95" s="3">
        <f ca="1">IFERROR(MAX(0,$G95-SUMIFS($G$2:$G$349,$A$2:$A$349,$A95,$C$2:$C$349,$C95,$B$2:$B$349,_xludf.MINIFS($B$2:$B$349,$A$2:$A$349,$A95,$C$2:$C$349,$C95))),0)</f>
        <v>8468.6279296875</v>
      </c>
    </row>
    <row r="96" spans="1:12" x14ac:dyDescent="0.2">
      <c r="A96" t="s">
        <v>33</v>
      </c>
      <c r="B96">
        <v>1767073575</v>
      </c>
      <c r="C96" t="s">
        <v>17</v>
      </c>
      <c r="D96" t="s">
        <v>80</v>
      </c>
      <c r="E96" s="3">
        <f t="shared" si="8"/>
        <v>246.0479736328125</v>
      </c>
      <c r="F96" s="3">
        <f t="shared" si="9"/>
        <v>423.431396484375</v>
      </c>
      <c r="G96" s="3">
        <f t="shared" si="10"/>
        <v>669.4793701171875</v>
      </c>
      <c r="H96" s="4">
        <f t="shared" si="11"/>
        <v>75</v>
      </c>
      <c r="I96" s="3">
        <f t="shared" si="15"/>
        <v>0.95367431640625</v>
      </c>
      <c r="J96" s="3">
        <f t="shared" si="16"/>
        <v>0</v>
      </c>
      <c r="K96" s="3">
        <f t="shared" si="12"/>
        <v>0.95367431640625</v>
      </c>
      <c r="L96" s="3">
        <f ca="1">IFERROR(MAX(0,$G96-SUMIFS($G$2:$G$349,$A$2:$A$349,$A96,$C$2:$C$349,$C96,$B$2:$B$349,_xludf.MINIFS($B$2:$B$349,$A$2:$A$349,$A96,$C$2:$C$349,$C96))),0)</f>
        <v>669.4793701171875</v>
      </c>
    </row>
    <row r="97" spans="1:12" x14ac:dyDescent="0.2">
      <c r="A97" t="s">
        <v>33</v>
      </c>
      <c r="B97">
        <v>1767073575</v>
      </c>
      <c r="C97" t="s">
        <v>19</v>
      </c>
      <c r="D97" t="s">
        <v>81</v>
      </c>
      <c r="E97" s="3">
        <f t="shared" si="8"/>
        <v>2899.169921875</v>
      </c>
      <c r="F97" s="3">
        <f t="shared" si="9"/>
        <v>6904.60205078125</v>
      </c>
      <c r="G97" s="3">
        <f t="shared" si="10"/>
        <v>9803.77197265625</v>
      </c>
      <c r="H97" s="4">
        <f t="shared" si="11"/>
        <v>75</v>
      </c>
      <c r="I97" s="3">
        <f t="shared" si="15"/>
        <v>0</v>
      </c>
      <c r="J97" s="3">
        <f t="shared" si="16"/>
        <v>38.14697265625</v>
      </c>
      <c r="K97" s="3">
        <f t="shared" si="12"/>
        <v>38.14697265625</v>
      </c>
      <c r="L97" s="3">
        <f ca="1">IFERROR(MAX(0,$G97-SUMIFS($G$2:$G$349,$A$2:$A$349,$A97,$C$2:$C$349,$C97,$B$2:$B$349,_xludf.MINIFS($B$2:$B$349,$A$2:$A$349,$A97,$C$2:$C$349,$C97))),0)</f>
        <v>9803.77197265625</v>
      </c>
    </row>
    <row r="98" spans="1:12" x14ac:dyDescent="0.2">
      <c r="A98" t="s">
        <v>82</v>
      </c>
      <c r="B98">
        <v>1767073603</v>
      </c>
      <c r="C98" t="s">
        <v>13</v>
      </c>
      <c r="D98" t="s">
        <v>83</v>
      </c>
      <c r="E98" s="3">
        <f t="shared" si="8"/>
        <v>1049.041748046875</v>
      </c>
      <c r="F98" s="3">
        <f t="shared" si="9"/>
        <v>324.249267578125</v>
      </c>
      <c r="G98" s="3">
        <f t="shared" si="10"/>
        <v>1373.291015625</v>
      </c>
      <c r="H98" s="4">
        <f t="shared" si="11"/>
        <v>0</v>
      </c>
      <c r="I98" s="3">
        <f t="shared" si="15"/>
        <v>0</v>
      </c>
      <c r="J98" s="3">
        <f t="shared" si="16"/>
        <v>0</v>
      </c>
      <c r="K98" s="3">
        <f t="shared" si="12"/>
        <v>0</v>
      </c>
      <c r="L98" s="3">
        <f ca="1">IFERROR(MAX(0,$G98-SUMIFS($G$2:$G$349,$A$2:$A$349,$A98,$C$2:$C$349,$C98,$B$2:$B$349,_xludf.MINIFS($B$2:$B$349,$A$2:$A$349,$A98,$C$2:$C$349,$C98))),0)</f>
        <v>1373.291015625</v>
      </c>
    </row>
    <row r="99" spans="1:12" x14ac:dyDescent="0.2">
      <c r="A99" t="s">
        <v>82</v>
      </c>
      <c r="B99">
        <v>1767073603</v>
      </c>
      <c r="C99" t="s">
        <v>15</v>
      </c>
      <c r="D99" t="s">
        <v>84</v>
      </c>
      <c r="E99" s="3">
        <f t="shared" si="8"/>
        <v>4005.43212890625</v>
      </c>
      <c r="F99" s="3">
        <f t="shared" si="9"/>
        <v>5521.7742919921875</v>
      </c>
      <c r="G99" s="3">
        <f t="shared" si="10"/>
        <v>9527.2064208984375</v>
      </c>
      <c r="H99" s="4">
        <f t="shared" si="11"/>
        <v>0</v>
      </c>
      <c r="I99" s="3">
        <f t="shared" si="15"/>
        <v>0</v>
      </c>
      <c r="J99" s="3">
        <f t="shared" si="16"/>
        <v>0</v>
      </c>
      <c r="K99" s="3">
        <f t="shared" si="12"/>
        <v>0</v>
      </c>
      <c r="L99" s="3">
        <f ca="1">IFERROR(MAX(0,$G99-SUMIFS($G$2:$G$349,$A$2:$A$349,$A99,$C$2:$C$349,$C99,$B$2:$B$349,_xludf.MINIFS($B$2:$B$349,$A$2:$A$349,$A99,$C$2:$C$349,$C99))),0)</f>
        <v>9527.2064208984375</v>
      </c>
    </row>
    <row r="100" spans="1:12" x14ac:dyDescent="0.2">
      <c r="A100" t="s">
        <v>82</v>
      </c>
      <c r="B100">
        <v>1767073603</v>
      </c>
      <c r="C100" t="s">
        <v>17</v>
      </c>
      <c r="D100" t="s">
        <v>85</v>
      </c>
      <c r="E100" s="3">
        <f t="shared" si="8"/>
        <v>247.00164794921875</v>
      </c>
      <c r="F100" s="3">
        <f t="shared" si="9"/>
        <v>426.29241943359375</v>
      </c>
      <c r="G100" s="3">
        <f t="shared" si="10"/>
        <v>673.2940673828125</v>
      </c>
      <c r="H100" s="4">
        <f t="shared" si="11"/>
        <v>0</v>
      </c>
      <c r="I100" s="3">
        <f>IF($B100=_xlfn.MINIFS($B$2:$B$349,$A$2:$A$349,$A100,$C$2:$C$349,$C100),0,IFERROR(MAX(0,$E100-SUMIFS($E$2:$E$349,$A$2:$A$349,$A100,$C$2:$C$349,$C100,$B$2:$B$349,_xlfn.MAXIFS($B$2:$B$349,$A$2:$A$349,$A100,$C$2:$C$349,$C100,$B$2:$B$349,"&lt;"&amp;$B100))),0))</f>
        <v>0</v>
      </c>
      <c r="J100" s="3">
        <f t="shared" si="16"/>
        <v>0</v>
      </c>
      <c r="K100" s="3">
        <f t="shared" si="12"/>
        <v>0</v>
      </c>
      <c r="L100" s="3">
        <f ca="1">IFERROR(MAX(0,$G100-SUMIFS($G$2:$G$349,$A$2:$A$349,$A100,$C$2:$C$349,$C100,$B$2:$B$349,_xludf.MINIFS($B$2:$B$349,$A$2:$A$349,$A100,$C$2:$C$349,$C100))),0)</f>
        <v>673.2940673828125</v>
      </c>
    </row>
    <row r="101" spans="1:12" x14ac:dyDescent="0.2">
      <c r="A101" t="s">
        <v>82</v>
      </c>
      <c r="B101">
        <v>1767073603</v>
      </c>
      <c r="C101" t="s">
        <v>19</v>
      </c>
      <c r="D101" t="s">
        <v>86</v>
      </c>
      <c r="E101" s="3">
        <f t="shared" si="8"/>
        <v>2899.169921875</v>
      </c>
      <c r="F101" s="3">
        <f t="shared" si="9"/>
        <v>6933.2122802734375</v>
      </c>
      <c r="G101" s="3">
        <f t="shared" si="10"/>
        <v>9832.3822021484375</v>
      </c>
      <c r="H101" s="4">
        <f t="shared" si="11"/>
        <v>0</v>
      </c>
      <c r="I101" s="3">
        <f>IF($B101=_xlfn.MINIFS($B$2:$B$349,$A$2:$A$349,$A101,$C$2:$C$349,$C101),0,IFERROR(MAX(0,$E101-SUMIFS($E$2:$E$349,$A$2:$A$349,$A101,$C$2:$C$349,$C101,$B$2:$B$349,_xlfn.MAXIFS($B$2:$B$349,$A$2:$A$349,$A101,$C$2:$C$349,$C101,$B$2:$B$349,"&lt;"&amp;$B101))),0))</f>
        <v>0</v>
      </c>
      <c r="J101" s="3">
        <f t="shared" si="16"/>
        <v>0</v>
      </c>
      <c r="K101" s="3">
        <f t="shared" si="12"/>
        <v>0</v>
      </c>
      <c r="L101" s="3">
        <f ca="1">IFERROR(MAX(0,$G101-SUMIFS($G$2:$G$349,$A$2:$A$349,$A101,$C$2:$C$349,$C101,$B$2:$B$349,_xludf.MINIFS($B$2:$B$349,$A$2:$A$349,$A101,$C$2:$C$349,$C101))),0)</f>
        <v>9832.3822021484375</v>
      </c>
    </row>
    <row r="102" spans="1:12" x14ac:dyDescent="0.2">
      <c r="A102" t="s">
        <v>82</v>
      </c>
      <c r="B102">
        <v>1767073611</v>
      </c>
      <c r="C102" t="s">
        <v>13</v>
      </c>
      <c r="D102" t="s">
        <v>87</v>
      </c>
      <c r="E102" s="3">
        <f t="shared" si="8"/>
        <v>1068.115234375</v>
      </c>
      <c r="F102" s="3">
        <f t="shared" si="9"/>
        <v>324.249267578125</v>
      </c>
      <c r="G102" s="3">
        <f t="shared" si="10"/>
        <v>1392.364501953125</v>
      </c>
      <c r="H102" s="4">
        <f t="shared" si="11"/>
        <v>5</v>
      </c>
      <c r="I102" s="3">
        <f t="shared" ref="I102:I165" si="17">IF($B102=_xlfn.MINIFS($B$2:$B$349,$A$2:$A$349,$A102,$C$2:$C$349,$C102),0,IFERROR(MAX(0,$E102-SUMIFS($E$2:$E$349,$A$2:$A$349,$A102,$C$2:$C$349,$C102,$B$2:$B$349,_xlfn.MAXIFS($B$2:$B$349,$A$2:$A$349,$A102,$C$2:$C$349,$C102,$B$2:$B$349,"&lt;"&amp;$B102))),0))</f>
        <v>19.073486328125</v>
      </c>
      <c r="J102" s="3">
        <f t="shared" si="16"/>
        <v>0</v>
      </c>
      <c r="K102" s="3">
        <f t="shared" si="12"/>
        <v>19.073486328125</v>
      </c>
      <c r="L102" s="3">
        <f ca="1">IFERROR(MAX(0,$G102-SUMIFS($G$2:$G$349,$A$2:$A$349,$A102,$C$2:$C$349,$C102,$B$2:$B$349,_xludf.MINIFS($B$2:$B$349,$A$2:$A$349,$A102,$C$2:$C$349,$C102))),0)</f>
        <v>1392.364501953125</v>
      </c>
    </row>
    <row r="103" spans="1:12" x14ac:dyDescent="0.2">
      <c r="A103" t="s">
        <v>82</v>
      </c>
      <c r="B103">
        <v>1767073611</v>
      </c>
      <c r="C103" t="s">
        <v>15</v>
      </c>
      <c r="D103" t="s">
        <v>84</v>
      </c>
      <c r="E103" s="3">
        <f t="shared" si="8"/>
        <v>4005.43212890625</v>
      </c>
      <c r="F103" s="3">
        <f t="shared" si="9"/>
        <v>5521.7742919921875</v>
      </c>
      <c r="G103" s="3">
        <f t="shared" si="10"/>
        <v>9527.2064208984375</v>
      </c>
      <c r="H103" s="4">
        <f t="shared" si="11"/>
        <v>5</v>
      </c>
      <c r="I103" s="3">
        <f t="shared" si="17"/>
        <v>0</v>
      </c>
      <c r="J103" s="3">
        <f t="shared" si="16"/>
        <v>0</v>
      </c>
      <c r="K103" s="3">
        <f t="shared" si="12"/>
        <v>0</v>
      </c>
      <c r="L103" s="3">
        <f ca="1">IFERROR(MAX(0,$G103-SUMIFS($G$2:$G$349,$A$2:$A$349,$A103,$C$2:$C$349,$C103,$B$2:$B$349,_xludf.MINIFS($B$2:$B$349,$A$2:$A$349,$A103,$C$2:$C$349,$C103))),0)</f>
        <v>9527.2064208984375</v>
      </c>
    </row>
    <row r="104" spans="1:12" x14ac:dyDescent="0.2">
      <c r="A104" t="s">
        <v>82</v>
      </c>
      <c r="B104">
        <v>1767073611</v>
      </c>
      <c r="C104" t="s">
        <v>17</v>
      </c>
      <c r="D104" t="s">
        <v>88</v>
      </c>
      <c r="E104" s="3">
        <f t="shared" si="8"/>
        <v>249.8626708984375</v>
      </c>
      <c r="F104" s="3">
        <f t="shared" si="9"/>
        <v>426.29241943359375</v>
      </c>
      <c r="G104" s="3">
        <f t="shared" si="10"/>
        <v>676.15509033203125</v>
      </c>
      <c r="H104" s="4">
        <f t="shared" si="11"/>
        <v>5</v>
      </c>
      <c r="I104" s="3">
        <f t="shared" si="17"/>
        <v>2.86102294921875</v>
      </c>
      <c r="J104" s="3">
        <f t="shared" si="16"/>
        <v>0</v>
      </c>
      <c r="K104" s="3">
        <f t="shared" si="12"/>
        <v>2.86102294921875</v>
      </c>
      <c r="L104" s="3">
        <f ca="1">IFERROR(MAX(0,$G104-SUMIFS($G$2:$G$349,$A$2:$A$349,$A104,$C$2:$C$349,$C104,$B$2:$B$349,_xludf.MINIFS($B$2:$B$349,$A$2:$A$349,$A104,$C$2:$C$349,$C104))),0)</f>
        <v>676.15509033203125</v>
      </c>
    </row>
    <row r="105" spans="1:12" x14ac:dyDescent="0.2">
      <c r="A105" t="s">
        <v>82</v>
      </c>
      <c r="B105">
        <v>1767073611</v>
      </c>
      <c r="C105" t="s">
        <v>19</v>
      </c>
      <c r="D105" t="s">
        <v>89</v>
      </c>
      <c r="E105" s="3">
        <f t="shared" si="8"/>
        <v>2908.7066650390625</v>
      </c>
      <c r="F105" s="3">
        <f t="shared" si="9"/>
        <v>6933.2122802734375</v>
      </c>
      <c r="G105" s="3">
        <f t="shared" si="10"/>
        <v>9841.9189453125</v>
      </c>
      <c r="H105" s="4">
        <f t="shared" si="11"/>
        <v>5</v>
      </c>
      <c r="I105" s="3">
        <f t="shared" si="17"/>
        <v>9.5367431640625</v>
      </c>
      <c r="J105" s="3">
        <f t="shared" si="16"/>
        <v>0</v>
      </c>
      <c r="K105" s="3">
        <f t="shared" si="12"/>
        <v>9.5367431640625</v>
      </c>
      <c r="L105" s="3">
        <f ca="1">IFERROR(MAX(0,$G105-SUMIFS($G$2:$G$349,$A$2:$A$349,$A105,$C$2:$C$349,$C105,$B$2:$B$349,_xludf.MINIFS($B$2:$B$349,$A$2:$A$349,$A105,$C$2:$C$349,$C105))),0)</f>
        <v>9841.9189453125</v>
      </c>
    </row>
    <row r="106" spans="1:12" x14ac:dyDescent="0.2">
      <c r="A106" t="s">
        <v>82</v>
      </c>
      <c r="B106">
        <v>1767073618</v>
      </c>
      <c r="C106" t="s">
        <v>13</v>
      </c>
      <c r="D106" t="s">
        <v>87</v>
      </c>
      <c r="E106" s="3">
        <f t="shared" si="8"/>
        <v>1068.115234375</v>
      </c>
      <c r="F106" s="3">
        <f t="shared" si="9"/>
        <v>324.249267578125</v>
      </c>
      <c r="G106" s="3">
        <f t="shared" si="10"/>
        <v>1392.364501953125</v>
      </c>
      <c r="H106" s="4">
        <f t="shared" si="11"/>
        <v>10</v>
      </c>
      <c r="I106" s="3">
        <f t="shared" si="17"/>
        <v>0</v>
      </c>
      <c r="J106" s="3">
        <f t="shared" si="16"/>
        <v>0</v>
      </c>
      <c r="K106" s="3">
        <f t="shared" si="12"/>
        <v>0</v>
      </c>
      <c r="L106" s="3">
        <f ca="1">IFERROR(MAX(0,$G106-SUMIFS($G$2:$G$349,$A$2:$A$349,$A106,$C$2:$C$349,$C106,$B$2:$B$349,_xludf.MINIFS($B$2:$B$349,$A$2:$A$349,$A106,$C$2:$C$349,$C106))),0)</f>
        <v>1392.364501953125</v>
      </c>
    </row>
    <row r="107" spans="1:12" x14ac:dyDescent="0.2">
      <c r="A107" t="s">
        <v>82</v>
      </c>
      <c r="B107">
        <v>1767073618</v>
      </c>
      <c r="C107" t="s">
        <v>15</v>
      </c>
      <c r="D107" t="s">
        <v>90</v>
      </c>
      <c r="E107" s="3">
        <f t="shared" si="8"/>
        <v>4005.43212890625</v>
      </c>
      <c r="F107" s="3">
        <f t="shared" si="9"/>
        <v>5578.9947509765625</v>
      </c>
      <c r="G107" s="3">
        <f t="shared" si="10"/>
        <v>9584.4268798828125</v>
      </c>
      <c r="H107" s="4">
        <f t="shared" si="11"/>
        <v>10</v>
      </c>
      <c r="I107" s="3">
        <f t="shared" si="17"/>
        <v>0</v>
      </c>
      <c r="J107" s="3">
        <f t="shared" si="16"/>
        <v>57.220458984375</v>
      </c>
      <c r="K107" s="3">
        <f t="shared" si="12"/>
        <v>57.220458984375</v>
      </c>
      <c r="L107" s="3">
        <f ca="1">IFERROR(MAX(0,$G107-SUMIFS($G$2:$G$349,$A$2:$A$349,$A107,$C$2:$C$349,$C107,$B$2:$B$349,_xludf.MINIFS($B$2:$B$349,$A$2:$A$349,$A107,$C$2:$C$349,$C107))),0)</f>
        <v>9584.4268798828125</v>
      </c>
    </row>
    <row r="108" spans="1:12" x14ac:dyDescent="0.2">
      <c r="A108" t="s">
        <v>82</v>
      </c>
      <c r="B108">
        <v>1767073618</v>
      </c>
      <c r="C108" t="s">
        <v>17</v>
      </c>
      <c r="D108" t="s">
        <v>91</v>
      </c>
      <c r="E108" s="3">
        <f t="shared" si="8"/>
        <v>251.77001953125</v>
      </c>
      <c r="F108" s="3">
        <f t="shared" si="9"/>
        <v>426.29241943359375</v>
      </c>
      <c r="G108" s="3">
        <f t="shared" si="10"/>
        <v>678.06243896484375</v>
      </c>
      <c r="H108" s="4">
        <f t="shared" si="11"/>
        <v>10</v>
      </c>
      <c r="I108" s="3">
        <f t="shared" si="17"/>
        <v>1.9073486328125</v>
      </c>
      <c r="J108" s="3">
        <f>IF($B108=_xlfn.MINIFS($B$2:$B$349,$A$2:$A$349,$A108,$C$2:$C$349,$C108),0,IFERROR(MAX(0,$F108-SUMIFS($F$2:$F$349,$A$2:$A$349,$A108,$C$2:$C$349,$C108,$B$2:$B$349,_xlfn.MAXIFS($B$2:$B$349,$A$2:$A$349,$A108,$C$2:$C$349,$C108,$B$2:$B$349,"&lt;"&amp;$B108))),0))</f>
        <v>0</v>
      </c>
      <c r="K108" s="3">
        <f t="shared" si="12"/>
        <v>1.9073486328125</v>
      </c>
      <c r="L108" s="3">
        <f ca="1">IFERROR(MAX(0,$G108-SUMIFS($G$2:$G$349,$A$2:$A$349,$A108,$C$2:$C$349,$C108,$B$2:$B$349,_xludf.MINIFS($B$2:$B$349,$A$2:$A$349,$A108,$C$2:$C$349,$C108))),0)</f>
        <v>678.06243896484375</v>
      </c>
    </row>
    <row r="109" spans="1:12" x14ac:dyDescent="0.2">
      <c r="A109" t="s">
        <v>82</v>
      </c>
      <c r="B109">
        <v>1767073618</v>
      </c>
      <c r="C109" t="s">
        <v>19</v>
      </c>
      <c r="D109" t="s">
        <v>92</v>
      </c>
      <c r="E109" s="3">
        <f t="shared" si="8"/>
        <v>2927.7801513671875</v>
      </c>
      <c r="F109" s="3">
        <f t="shared" si="9"/>
        <v>6933.2122802734375</v>
      </c>
      <c r="G109" s="3">
        <f t="shared" si="10"/>
        <v>9860.992431640625</v>
      </c>
      <c r="H109" s="4">
        <f t="shared" si="11"/>
        <v>10</v>
      </c>
      <c r="I109" s="3">
        <f t="shared" si="17"/>
        <v>19.073486328125</v>
      </c>
      <c r="J109" s="3">
        <f t="shared" ref="J109:J121" si="18">IF($B109=_xlfn.MINIFS($B$2:$B$349,$A$2:$A$349,$A109,$C$2:$C$349,$C109),0,IFERROR(MAX(0,$F109-SUMIFS($F$2:$F$349,$A$2:$A$349,$A109,$C$2:$C$349,$C109,$B$2:$B$349,_xlfn.MAXIFS($B$2:$B$349,$A$2:$A$349,$A109,$C$2:$C$349,$C109,$B$2:$B$349,"&lt;"&amp;$B109))),0))</f>
        <v>0</v>
      </c>
      <c r="K109" s="3">
        <f t="shared" si="12"/>
        <v>19.073486328125</v>
      </c>
      <c r="L109" s="3">
        <f ca="1">IFERROR(MAX(0,$G109-SUMIFS($G$2:$G$349,$A$2:$A$349,$A109,$C$2:$C$349,$C109,$B$2:$B$349,_xludf.MINIFS($B$2:$B$349,$A$2:$A$349,$A109,$C$2:$C$349,$C109))),0)</f>
        <v>9860.992431640625</v>
      </c>
    </row>
    <row r="110" spans="1:12" x14ac:dyDescent="0.2">
      <c r="A110" t="s">
        <v>82</v>
      </c>
      <c r="B110">
        <v>1767073626</v>
      </c>
      <c r="C110" t="s">
        <v>13</v>
      </c>
      <c r="D110" t="s">
        <v>87</v>
      </c>
      <c r="E110" s="3">
        <f t="shared" si="8"/>
        <v>1068.115234375</v>
      </c>
      <c r="F110" s="3">
        <f t="shared" si="9"/>
        <v>324.249267578125</v>
      </c>
      <c r="G110" s="3">
        <f t="shared" si="10"/>
        <v>1392.364501953125</v>
      </c>
      <c r="H110" s="4">
        <f t="shared" si="11"/>
        <v>15</v>
      </c>
      <c r="I110" s="3">
        <f t="shared" si="17"/>
        <v>0</v>
      </c>
      <c r="J110" s="3">
        <f t="shared" si="18"/>
        <v>0</v>
      </c>
      <c r="K110" s="3">
        <f t="shared" si="12"/>
        <v>0</v>
      </c>
      <c r="L110" s="3">
        <f ca="1">IFERROR(MAX(0,$G110-SUMIFS($G$2:$G$349,$A$2:$A$349,$A110,$C$2:$C$349,$C110,$B$2:$B$349,_xludf.MINIFS($B$2:$B$349,$A$2:$A$349,$A110,$C$2:$C$349,$C110))),0)</f>
        <v>1392.364501953125</v>
      </c>
    </row>
    <row r="111" spans="1:12" x14ac:dyDescent="0.2">
      <c r="A111" t="s">
        <v>82</v>
      </c>
      <c r="B111">
        <v>1767073626</v>
      </c>
      <c r="C111" t="s">
        <v>15</v>
      </c>
      <c r="D111" t="s">
        <v>93</v>
      </c>
      <c r="E111" s="3">
        <f t="shared" si="8"/>
        <v>4072.189331054687</v>
      </c>
      <c r="F111" s="3">
        <f t="shared" si="9"/>
        <v>5578.9947509765625</v>
      </c>
      <c r="G111" s="3">
        <f t="shared" si="10"/>
        <v>9651.18408203125</v>
      </c>
      <c r="H111" s="4">
        <f t="shared" si="11"/>
        <v>15</v>
      </c>
      <c r="I111" s="3">
        <f t="shared" si="17"/>
        <v>66.757202148437045</v>
      </c>
      <c r="J111" s="3">
        <f t="shared" si="18"/>
        <v>0</v>
      </c>
      <c r="K111" s="3">
        <f t="shared" si="12"/>
        <v>66.7572021484375</v>
      </c>
      <c r="L111" s="3">
        <f ca="1">IFERROR(MAX(0,$G111-SUMIFS($G$2:$G$349,$A$2:$A$349,$A111,$C$2:$C$349,$C111,$B$2:$B$349,_xludf.MINIFS($B$2:$B$349,$A$2:$A$349,$A111,$C$2:$C$349,$C111))),0)</f>
        <v>9651.18408203125</v>
      </c>
    </row>
    <row r="112" spans="1:12" x14ac:dyDescent="0.2">
      <c r="A112" t="s">
        <v>82</v>
      </c>
      <c r="B112">
        <v>1767073626</v>
      </c>
      <c r="C112" t="s">
        <v>17</v>
      </c>
      <c r="D112" t="s">
        <v>94</v>
      </c>
      <c r="E112" s="3">
        <f t="shared" si="8"/>
        <v>252.72369384765625</v>
      </c>
      <c r="F112" s="3">
        <f t="shared" si="9"/>
        <v>426.29241943359375</v>
      </c>
      <c r="G112" s="3">
        <f t="shared" si="10"/>
        <v>679.01611328125</v>
      </c>
      <c r="H112" s="4">
        <f t="shared" si="11"/>
        <v>15</v>
      </c>
      <c r="I112" s="3">
        <f t="shared" si="17"/>
        <v>0.95367431640625</v>
      </c>
      <c r="J112" s="3">
        <f t="shared" si="18"/>
        <v>0</v>
      </c>
      <c r="K112" s="3">
        <f t="shared" si="12"/>
        <v>0.95367431640625</v>
      </c>
      <c r="L112" s="3">
        <f ca="1">IFERROR(MAX(0,$G112-SUMIFS($G$2:$G$349,$A$2:$A$349,$A112,$C$2:$C$349,$C112,$B$2:$B$349,_xludf.MINIFS($B$2:$B$349,$A$2:$A$349,$A112,$C$2:$C$349,$C112))),0)</f>
        <v>679.01611328125</v>
      </c>
    </row>
    <row r="113" spans="1:12" x14ac:dyDescent="0.2">
      <c r="A113" t="s">
        <v>82</v>
      </c>
      <c r="B113">
        <v>1767073626</v>
      </c>
      <c r="C113" t="s">
        <v>19</v>
      </c>
      <c r="D113" t="s">
        <v>92</v>
      </c>
      <c r="E113" s="3">
        <f t="shared" si="8"/>
        <v>2927.7801513671875</v>
      </c>
      <c r="F113" s="3">
        <f t="shared" si="9"/>
        <v>6933.2122802734375</v>
      </c>
      <c r="G113" s="3">
        <f t="shared" si="10"/>
        <v>9860.992431640625</v>
      </c>
      <c r="H113" s="4">
        <f t="shared" si="11"/>
        <v>15</v>
      </c>
      <c r="I113" s="3">
        <f t="shared" si="17"/>
        <v>0</v>
      </c>
      <c r="J113" s="3">
        <f t="shared" si="18"/>
        <v>0</v>
      </c>
      <c r="K113" s="3">
        <f t="shared" si="12"/>
        <v>0</v>
      </c>
      <c r="L113" s="3">
        <f ca="1">IFERROR(MAX(0,$G113-SUMIFS($G$2:$G$349,$A$2:$A$349,$A113,$C$2:$C$349,$C113,$B$2:$B$349,_xludf.MINIFS($B$2:$B$349,$A$2:$A$349,$A113,$C$2:$C$349,$C113))),0)</f>
        <v>9860.992431640625</v>
      </c>
    </row>
    <row r="114" spans="1:12" x14ac:dyDescent="0.2">
      <c r="A114" t="s">
        <v>82</v>
      </c>
      <c r="B114">
        <v>1767073633</v>
      </c>
      <c r="C114" t="s">
        <v>13</v>
      </c>
      <c r="D114" t="s">
        <v>87</v>
      </c>
      <c r="E114" s="3">
        <f t="shared" si="8"/>
        <v>1068.115234375</v>
      </c>
      <c r="F114" s="3">
        <f t="shared" si="9"/>
        <v>324.249267578125</v>
      </c>
      <c r="G114" s="3">
        <f t="shared" si="10"/>
        <v>1392.364501953125</v>
      </c>
      <c r="H114" s="4">
        <f t="shared" si="11"/>
        <v>20</v>
      </c>
      <c r="I114" s="3">
        <f t="shared" si="17"/>
        <v>0</v>
      </c>
      <c r="J114" s="3">
        <f t="shared" si="18"/>
        <v>0</v>
      </c>
      <c r="K114" s="3">
        <f t="shared" si="12"/>
        <v>0</v>
      </c>
      <c r="L114" s="3">
        <f ca="1">IFERROR(MAX(0,$G114-SUMIFS($G$2:$G$349,$A$2:$A$349,$A114,$C$2:$C$349,$C114,$B$2:$B$349,_xludf.MINIFS($B$2:$B$349,$A$2:$A$349,$A114,$C$2:$C$349,$C114))),0)</f>
        <v>1392.364501953125</v>
      </c>
    </row>
    <row r="115" spans="1:12" x14ac:dyDescent="0.2">
      <c r="A115" t="s">
        <v>82</v>
      </c>
      <c r="B115">
        <v>1767073633</v>
      </c>
      <c r="C115" t="s">
        <v>15</v>
      </c>
      <c r="D115" t="s">
        <v>95</v>
      </c>
      <c r="E115" s="3">
        <f t="shared" si="8"/>
        <v>4119.873046875</v>
      </c>
      <c r="F115" s="3">
        <f t="shared" si="9"/>
        <v>5598.0682373046875</v>
      </c>
      <c r="G115" s="3">
        <f t="shared" si="10"/>
        <v>9717.9412841796875</v>
      </c>
      <c r="H115" s="4">
        <f t="shared" si="11"/>
        <v>20</v>
      </c>
      <c r="I115" s="3">
        <f t="shared" si="17"/>
        <v>47.683715820312955</v>
      </c>
      <c r="J115" s="3">
        <f t="shared" si="18"/>
        <v>19.073486328125</v>
      </c>
      <c r="K115" s="3">
        <f t="shared" si="12"/>
        <v>66.7572021484375</v>
      </c>
      <c r="L115" s="3">
        <f ca="1">IFERROR(MAX(0,$G115-SUMIFS($G$2:$G$349,$A$2:$A$349,$A115,$C$2:$C$349,$C115,$B$2:$B$349,_xludf.MINIFS($B$2:$B$349,$A$2:$A$349,$A115,$C$2:$C$349,$C115))),0)</f>
        <v>9717.9412841796875</v>
      </c>
    </row>
    <row r="116" spans="1:12" x14ac:dyDescent="0.2">
      <c r="A116" t="s">
        <v>82</v>
      </c>
      <c r="B116">
        <v>1767073633</v>
      </c>
      <c r="C116" t="s">
        <v>17</v>
      </c>
      <c r="D116" t="s">
        <v>96</v>
      </c>
      <c r="E116" s="3">
        <f t="shared" si="8"/>
        <v>252.72369384765625</v>
      </c>
      <c r="F116" s="3">
        <f t="shared" si="9"/>
        <v>431.060791015625</v>
      </c>
      <c r="G116" s="3">
        <f t="shared" si="10"/>
        <v>683.78448486328125</v>
      </c>
      <c r="H116" s="4">
        <f t="shared" si="11"/>
        <v>20</v>
      </c>
      <c r="I116" s="3">
        <f t="shared" si="17"/>
        <v>0</v>
      </c>
      <c r="J116" s="3">
        <f t="shared" si="18"/>
        <v>4.76837158203125</v>
      </c>
      <c r="K116" s="3">
        <f t="shared" si="12"/>
        <v>4.76837158203125</v>
      </c>
      <c r="L116" s="3">
        <f ca="1">IFERROR(MAX(0,$G116-SUMIFS($G$2:$G$349,$A$2:$A$349,$A116,$C$2:$C$349,$C116,$B$2:$B$349,_xludf.MINIFS($B$2:$B$349,$A$2:$A$349,$A116,$C$2:$C$349,$C116))),0)</f>
        <v>683.78448486328125</v>
      </c>
    </row>
    <row r="117" spans="1:12" x14ac:dyDescent="0.2">
      <c r="A117" t="s">
        <v>82</v>
      </c>
      <c r="B117">
        <v>1767073633</v>
      </c>
      <c r="C117" t="s">
        <v>19</v>
      </c>
      <c r="D117" t="s">
        <v>97</v>
      </c>
      <c r="E117" s="3">
        <f t="shared" si="8"/>
        <v>2927.7801513671875</v>
      </c>
      <c r="F117" s="3">
        <f t="shared" si="9"/>
        <v>6961.822509765625</v>
      </c>
      <c r="G117" s="3">
        <f t="shared" si="10"/>
        <v>9889.6026611328125</v>
      </c>
      <c r="H117" s="4">
        <f t="shared" si="11"/>
        <v>20</v>
      </c>
      <c r="I117" s="3">
        <f t="shared" si="17"/>
        <v>0</v>
      </c>
      <c r="J117" s="3">
        <f t="shared" si="18"/>
        <v>28.6102294921875</v>
      </c>
      <c r="K117" s="3">
        <f t="shared" si="12"/>
        <v>28.6102294921875</v>
      </c>
      <c r="L117" s="3">
        <f ca="1">IFERROR(MAX(0,$G117-SUMIFS($G$2:$G$349,$A$2:$A$349,$A117,$C$2:$C$349,$C117,$B$2:$B$349,_xludf.MINIFS($B$2:$B$349,$A$2:$A$349,$A117,$C$2:$C$349,$C117))),0)</f>
        <v>9889.6026611328125</v>
      </c>
    </row>
    <row r="118" spans="1:12" x14ac:dyDescent="0.2">
      <c r="A118" t="s">
        <v>82</v>
      </c>
      <c r="B118">
        <v>1767073641</v>
      </c>
      <c r="C118" t="s">
        <v>13</v>
      </c>
      <c r="D118" t="s">
        <v>87</v>
      </c>
      <c r="E118" s="3">
        <f t="shared" si="8"/>
        <v>1068.115234375</v>
      </c>
      <c r="F118" s="3">
        <f t="shared" si="9"/>
        <v>324.249267578125</v>
      </c>
      <c r="G118" s="3">
        <f t="shared" si="10"/>
        <v>1392.364501953125</v>
      </c>
      <c r="H118" s="4">
        <f t="shared" si="11"/>
        <v>25</v>
      </c>
      <c r="I118" s="3">
        <f t="shared" si="17"/>
        <v>0</v>
      </c>
      <c r="J118" s="3">
        <f t="shared" si="18"/>
        <v>0</v>
      </c>
      <c r="K118" s="3">
        <f t="shared" si="12"/>
        <v>0</v>
      </c>
      <c r="L118" s="3">
        <f ca="1">IFERROR(MAX(0,$G118-SUMIFS($G$2:$G$349,$A$2:$A$349,$A118,$C$2:$C$349,$C118,$B$2:$B$349,_xludf.MINIFS($B$2:$B$349,$A$2:$A$349,$A118,$C$2:$C$349,$C118))),0)</f>
        <v>1392.364501953125</v>
      </c>
    </row>
    <row r="119" spans="1:12" x14ac:dyDescent="0.2">
      <c r="A119" t="s">
        <v>82</v>
      </c>
      <c r="B119">
        <v>1767073641</v>
      </c>
      <c r="C119" t="s">
        <v>15</v>
      </c>
      <c r="D119" t="s">
        <v>98</v>
      </c>
      <c r="E119" s="3">
        <f t="shared" si="8"/>
        <v>4148.4832763671875</v>
      </c>
      <c r="F119" s="3">
        <f t="shared" si="9"/>
        <v>5617.1417236328125</v>
      </c>
      <c r="G119" s="3">
        <f t="shared" si="10"/>
        <v>9765.625</v>
      </c>
      <c r="H119" s="4">
        <f t="shared" si="11"/>
        <v>25</v>
      </c>
      <c r="I119" s="3">
        <f t="shared" si="17"/>
        <v>28.6102294921875</v>
      </c>
      <c r="J119" s="3">
        <f t="shared" si="18"/>
        <v>19.073486328125</v>
      </c>
      <c r="K119" s="3">
        <f t="shared" si="12"/>
        <v>47.6837158203125</v>
      </c>
      <c r="L119" s="3">
        <f ca="1">IFERROR(MAX(0,$G119-SUMIFS($G$2:$G$349,$A$2:$A$349,$A119,$C$2:$C$349,$C119,$B$2:$B$349,_xludf.MINIFS($B$2:$B$349,$A$2:$A$349,$A119,$C$2:$C$349,$C119))),0)</f>
        <v>9765.625</v>
      </c>
    </row>
    <row r="120" spans="1:12" x14ac:dyDescent="0.2">
      <c r="A120" t="s">
        <v>82</v>
      </c>
      <c r="B120">
        <v>1767073641</v>
      </c>
      <c r="C120" t="s">
        <v>17</v>
      </c>
      <c r="D120" t="s">
        <v>99</v>
      </c>
      <c r="E120" s="3">
        <f t="shared" si="8"/>
        <v>252.72369384765625</v>
      </c>
      <c r="F120" s="3">
        <f t="shared" si="9"/>
        <v>432.01446533203125</v>
      </c>
      <c r="G120" s="3">
        <f t="shared" si="10"/>
        <v>684.7381591796875</v>
      </c>
      <c r="H120" s="4">
        <f t="shared" si="11"/>
        <v>25</v>
      </c>
      <c r="I120" s="3">
        <f t="shared" si="17"/>
        <v>0</v>
      </c>
      <c r="J120" s="3">
        <f t="shared" si="18"/>
        <v>0.95367431640625</v>
      </c>
      <c r="K120" s="3">
        <f t="shared" si="12"/>
        <v>0.95367431640625</v>
      </c>
      <c r="L120" s="3">
        <f ca="1">IFERROR(MAX(0,$G120-SUMIFS($G$2:$G$349,$A$2:$A$349,$A120,$C$2:$C$349,$C120,$B$2:$B$349,_xludf.MINIFS($B$2:$B$349,$A$2:$A$349,$A120,$C$2:$C$349,$C120))),0)</f>
        <v>684.7381591796875</v>
      </c>
    </row>
    <row r="121" spans="1:12" x14ac:dyDescent="0.2">
      <c r="A121" t="s">
        <v>82</v>
      </c>
      <c r="B121">
        <v>1767073641</v>
      </c>
      <c r="C121" t="s">
        <v>19</v>
      </c>
      <c r="D121" t="s">
        <v>100</v>
      </c>
      <c r="E121" s="3">
        <f t="shared" si="8"/>
        <v>2946.8536376953125</v>
      </c>
      <c r="F121" s="3">
        <f t="shared" si="9"/>
        <v>7114.410400390625</v>
      </c>
      <c r="G121" s="3">
        <f t="shared" si="10"/>
        <v>10061.264038085938</v>
      </c>
      <c r="H121" s="4">
        <f t="shared" si="11"/>
        <v>25</v>
      </c>
      <c r="I121" s="3">
        <f t="shared" si="17"/>
        <v>19.073486328125</v>
      </c>
      <c r="J121" s="3">
        <f t="shared" si="18"/>
        <v>152.587890625</v>
      </c>
      <c r="K121" s="3">
        <f t="shared" si="12"/>
        <v>171.661376953125</v>
      </c>
      <c r="L121" s="3">
        <f ca="1">IFERROR(MAX(0,$G121-SUMIFS($G$2:$G$349,$A$2:$A$349,$A121,$C$2:$C$349,$C121,$B$2:$B$349,_xludf.MINIFS($B$2:$B$349,$A$2:$A$349,$A121,$C$2:$C$349,$C121))),0)</f>
        <v>10061.264038085938</v>
      </c>
    </row>
    <row r="122" spans="1:12" x14ac:dyDescent="0.2">
      <c r="A122" t="s">
        <v>82</v>
      </c>
      <c r="B122">
        <v>1767073648</v>
      </c>
      <c r="C122" t="s">
        <v>13</v>
      </c>
      <c r="D122" t="s">
        <v>87</v>
      </c>
      <c r="E122" s="3">
        <f t="shared" si="8"/>
        <v>1068.115234375</v>
      </c>
      <c r="F122" s="3">
        <f t="shared" si="9"/>
        <v>324.249267578125</v>
      </c>
      <c r="G122" s="3">
        <f t="shared" si="10"/>
        <v>1392.364501953125</v>
      </c>
      <c r="H122" s="4">
        <f t="shared" si="11"/>
        <v>30</v>
      </c>
      <c r="I122" s="3">
        <f t="shared" si="17"/>
        <v>0</v>
      </c>
      <c r="J122" s="3">
        <f>IF($B122=_xlfn.MINIFS($B$2:$B$349,$A$2:$A$349,$A122,$C$2:$C$349,$C122),0,IFERROR(MAX(0,$F122-SUMIFS($F$2:$F$349,$A$2:$A$349,$A122,$C$2:$C$349,$C122,$B$2:$B$349,_xlfn.MAXIFS($B$2:$B$349,$A$2:$A$349,$A122,$C$2:$C$349,$C122,$B$2:$B$349,"&lt;"&amp;$B122))),0))</f>
        <v>0</v>
      </c>
      <c r="K122" s="3">
        <f t="shared" si="12"/>
        <v>0</v>
      </c>
      <c r="L122" s="3">
        <f ca="1">IFERROR(MAX(0,$G122-SUMIFS($G$2:$G$349,$A$2:$A$349,$A122,$C$2:$C$349,$C122,$B$2:$B$349,_xludf.MINIFS($B$2:$B$349,$A$2:$A$349,$A122,$C$2:$C$349,$C122))),0)</f>
        <v>1392.364501953125</v>
      </c>
    </row>
    <row r="123" spans="1:12" x14ac:dyDescent="0.2">
      <c r="A123" t="s">
        <v>82</v>
      </c>
      <c r="B123">
        <v>1767073648</v>
      </c>
      <c r="C123" t="s">
        <v>15</v>
      </c>
      <c r="D123" t="s">
        <v>101</v>
      </c>
      <c r="E123" s="3">
        <f t="shared" si="8"/>
        <v>4177.093505859375</v>
      </c>
      <c r="F123" s="3">
        <f t="shared" si="9"/>
        <v>5617.1417236328125</v>
      </c>
      <c r="G123" s="3">
        <f t="shared" si="10"/>
        <v>9794.2352294921875</v>
      </c>
      <c r="H123" s="4">
        <f t="shared" si="11"/>
        <v>30</v>
      </c>
      <c r="I123" s="3">
        <f>IF($B123=_xlfn.MINIFS($B$2:$B$349,$A$2:$A$349,$A123,$C$2:$C$349,$C123),0,IFERROR(MAX(0,$E123-SUMIFS($E$2:$E$349,$A$2:$A$349,$A123,$C$2:$C$349,$C123,$B$2:$B$349,_xlfn.MAXIFS($B$2:$B$349,$A$2:$A$349,$A123,$C$2:$C$349,$C123,$B$2:$B$349,"&lt;"&amp;$B123))),0))</f>
        <v>28.6102294921875</v>
      </c>
      <c r="J123" s="3">
        <f t="shared" ref="J123:J137" si="19">IF($B123=_xlfn.MINIFS($B$2:$B$349,$A$2:$A$349,$A123,$C$2:$C$349,$C123),0,IFERROR(MAX(0,$F123-SUMIFS($F$2:$F$349,$A$2:$A$349,$A123,$C$2:$C$349,$C123,$B$2:$B$349,_xlfn.MAXIFS($B$2:$B$349,$A$2:$A$349,$A123,$C$2:$C$349,$C123,$B$2:$B$349,"&lt;"&amp;$B123))),0))</f>
        <v>0</v>
      </c>
      <c r="K123" s="3">
        <f t="shared" si="12"/>
        <v>28.6102294921875</v>
      </c>
      <c r="L123" s="3">
        <f ca="1">IFERROR(MAX(0,$G123-SUMIFS($G$2:$G$349,$A$2:$A$349,$A123,$C$2:$C$349,$C123,$B$2:$B$349,_xludf.MINIFS($B$2:$B$349,$A$2:$A$349,$A123,$C$2:$C$349,$C123))),0)</f>
        <v>9794.2352294921875</v>
      </c>
    </row>
    <row r="124" spans="1:12" x14ac:dyDescent="0.2">
      <c r="A124" t="s">
        <v>82</v>
      </c>
      <c r="B124">
        <v>1767073648</v>
      </c>
      <c r="C124" t="s">
        <v>17</v>
      </c>
      <c r="D124" t="s">
        <v>102</v>
      </c>
      <c r="E124" s="3">
        <f t="shared" si="8"/>
        <v>253.6773681640625</v>
      </c>
      <c r="F124" s="3">
        <f t="shared" si="9"/>
        <v>432.01446533203125</v>
      </c>
      <c r="G124" s="3">
        <f t="shared" si="10"/>
        <v>685.69183349609375</v>
      </c>
      <c r="H124" s="4">
        <f t="shared" si="11"/>
        <v>30</v>
      </c>
      <c r="I124" s="3">
        <f t="shared" si="17"/>
        <v>0.95367431640625</v>
      </c>
      <c r="J124" s="3">
        <f t="shared" si="19"/>
        <v>0</v>
      </c>
      <c r="K124" s="3">
        <f t="shared" si="12"/>
        <v>0.95367431640625</v>
      </c>
      <c r="L124" s="3">
        <f ca="1">IFERROR(MAX(0,$G124-SUMIFS($G$2:$G$349,$A$2:$A$349,$A124,$C$2:$C$349,$C124,$B$2:$B$349,_xludf.MINIFS($B$2:$B$349,$A$2:$A$349,$A124,$C$2:$C$349,$C124))),0)</f>
        <v>685.69183349609375</v>
      </c>
    </row>
    <row r="125" spans="1:12" x14ac:dyDescent="0.2">
      <c r="A125" t="s">
        <v>82</v>
      </c>
      <c r="B125">
        <v>1767073648</v>
      </c>
      <c r="C125" t="s">
        <v>19</v>
      </c>
      <c r="D125" t="s">
        <v>103</v>
      </c>
      <c r="E125" s="3">
        <f t="shared" si="8"/>
        <v>2975.4638671875</v>
      </c>
      <c r="F125" s="3">
        <f t="shared" si="9"/>
        <v>7143.0206298828125</v>
      </c>
      <c r="G125" s="3">
        <f t="shared" si="10"/>
        <v>10118.484497070312</v>
      </c>
      <c r="H125" s="4">
        <f t="shared" si="11"/>
        <v>30</v>
      </c>
      <c r="I125" s="3">
        <f t="shared" si="17"/>
        <v>28.6102294921875</v>
      </c>
      <c r="J125" s="3">
        <f t="shared" si="19"/>
        <v>28.6102294921875</v>
      </c>
      <c r="K125" s="3">
        <f t="shared" si="12"/>
        <v>57.220458984375</v>
      </c>
      <c r="L125" s="3">
        <f ca="1">IFERROR(MAX(0,$G125-SUMIFS($G$2:$G$349,$A$2:$A$349,$A125,$C$2:$C$349,$C125,$B$2:$B$349,_xludf.MINIFS($B$2:$B$349,$A$2:$A$349,$A125,$C$2:$C$349,$C125))),0)</f>
        <v>10118.484497070312</v>
      </c>
    </row>
    <row r="126" spans="1:12" x14ac:dyDescent="0.2">
      <c r="A126" t="s">
        <v>82</v>
      </c>
      <c r="B126">
        <v>1767073656</v>
      </c>
      <c r="C126" t="s">
        <v>13</v>
      </c>
      <c r="D126" t="s">
        <v>87</v>
      </c>
      <c r="E126" s="3">
        <f t="shared" si="8"/>
        <v>1068.115234375</v>
      </c>
      <c r="F126" s="3">
        <f t="shared" si="9"/>
        <v>324.249267578125</v>
      </c>
      <c r="G126" s="3">
        <f t="shared" si="10"/>
        <v>1392.364501953125</v>
      </c>
      <c r="H126" s="4">
        <f t="shared" si="11"/>
        <v>35</v>
      </c>
      <c r="I126" s="3">
        <f t="shared" si="17"/>
        <v>0</v>
      </c>
      <c r="J126" s="3">
        <f t="shared" si="19"/>
        <v>0</v>
      </c>
      <c r="K126" s="3">
        <f t="shared" si="12"/>
        <v>0</v>
      </c>
      <c r="L126" s="3">
        <f ca="1">IFERROR(MAX(0,$G126-SUMIFS($G$2:$G$349,$A$2:$A$349,$A126,$C$2:$C$349,$C126,$B$2:$B$349,_xludf.MINIFS($B$2:$B$349,$A$2:$A$349,$A126,$C$2:$C$349,$C126))),0)</f>
        <v>1392.364501953125</v>
      </c>
    </row>
    <row r="127" spans="1:12" x14ac:dyDescent="0.2">
      <c r="A127" t="s">
        <v>82</v>
      </c>
      <c r="B127">
        <v>1767073656</v>
      </c>
      <c r="C127" t="s">
        <v>15</v>
      </c>
      <c r="D127" t="s">
        <v>104</v>
      </c>
      <c r="E127" s="3">
        <f t="shared" si="8"/>
        <v>4234.31396484375</v>
      </c>
      <c r="F127" s="3">
        <f t="shared" si="9"/>
        <v>5617.1417236328125</v>
      </c>
      <c r="G127" s="3">
        <f t="shared" si="10"/>
        <v>9851.4556884765625</v>
      </c>
      <c r="H127" s="4">
        <f t="shared" si="11"/>
        <v>35</v>
      </c>
      <c r="I127" s="3">
        <f t="shared" si="17"/>
        <v>57.220458984375</v>
      </c>
      <c r="J127" s="3">
        <f t="shared" si="19"/>
        <v>0</v>
      </c>
      <c r="K127" s="3">
        <f t="shared" si="12"/>
        <v>57.220458984375</v>
      </c>
      <c r="L127" s="3">
        <f ca="1">IFERROR(MAX(0,$G127-SUMIFS($G$2:$G$349,$A$2:$A$349,$A127,$C$2:$C$349,$C127,$B$2:$B$349,_xludf.MINIFS($B$2:$B$349,$A$2:$A$349,$A127,$C$2:$C$349,$C127))),0)</f>
        <v>9851.4556884765625</v>
      </c>
    </row>
    <row r="128" spans="1:12" x14ac:dyDescent="0.2">
      <c r="A128" t="s">
        <v>82</v>
      </c>
      <c r="B128">
        <v>1767073656</v>
      </c>
      <c r="C128" t="s">
        <v>17</v>
      </c>
      <c r="D128" t="s">
        <v>102</v>
      </c>
      <c r="E128" s="3">
        <f t="shared" si="8"/>
        <v>253.6773681640625</v>
      </c>
      <c r="F128" s="3">
        <f t="shared" si="9"/>
        <v>432.01446533203125</v>
      </c>
      <c r="G128" s="3">
        <f t="shared" si="10"/>
        <v>685.69183349609375</v>
      </c>
      <c r="H128" s="4">
        <f t="shared" si="11"/>
        <v>35</v>
      </c>
      <c r="I128" s="3">
        <f t="shared" si="17"/>
        <v>0</v>
      </c>
      <c r="J128" s="3">
        <f t="shared" si="19"/>
        <v>0</v>
      </c>
      <c r="K128" s="3">
        <f t="shared" si="12"/>
        <v>0</v>
      </c>
      <c r="L128" s="3">
        <f ca="1">IFERROR(MAX(0,$G128-SUMIFS($G$2:$G$349,$A$2:$A$349,$A128,$C$2:$C$349,$C128,$B$2:$B$349,_xludf.MINIFS($B$2:$B$349,$A$2:$A$349,$A128,$C$2:$C$349,$C128))),0)</f>
        <v>685.69183349609375</v>
      </c>
    </row>
    <row r="129" spans="1:12" x14ac:dyDescent="0.2">
      <c r="A129" t="s">
        <v>82</v>
      </c>
      <c r="B129">
        <v>1767073656</v>
      </c>
      <c r="C129" t="s">
        <v>19</v>
      </c>
      <c r="D129" t="s">
        <v>105</v>
      </c>
      <c r="E129" s="3">
        <f t="shared" si="8"/>
        <v>2985.0006103515625</v>
      </c>
      <c r="F129" s="3">
        <f t="shared" si="9"/>
        <v>7171.630859375</v>
      </c>
      <c r="G129" s="3">
        <f t="shared" si="10"/>
        <v>10156.631469726562</v>
      </c>
      <c r="H129" s="4">
        <f t="shared" si="11"/>
        <v>35</v>
      </c>
      <c r="I129" s="3">
        <f t="shared" si="17"/>
        <v>9.5367431640625</v>
      </c>
      <c r="J129" s="3">
        <f t="shared" si="19"/>
        <v>28.6102294921875</v>
      </c>
      <c r="K129" s="3">
        <f t="shared" si="12"/>
        <v>38.14697265625</v>
      </c>
      <c r="L129" s="3">
        <f ca="1">IFERROR(MAX(0,$G129-SUMIFS($G$2:$G$349,$A$2:$A$349,$A129,$C$2:$C$349,$C129,$B$2:$B$349,_xludf.MINIFS($B$2:$B$349,$A$2:$A$349,$A129,$C$2:$C$349,$C129))),0)</f>
        <v>10156.631469726562</v>
      </c>
    </row>
    <row r="130" spans="1:12" x14ac:dyDescent="0.2">
      <c r="A130" t="s">
        <v>82</v>
      </c>
      <c r="B130">
        <v>1767073662</v>
      </c>
      <c r="C130" t="s">
        <v>13</v>
      </c>
      <c r="D130" t="s">
        <v>87</v>
      </c>
      <c r="E130" s="3">
        <f t="shared" ref="E130:E193" si="20">IFERROR(IF(RIGHT(TRIM(LEFT($D130,FIND("/",$D130)-1)),2)="kB",VALUE(LEFT(TRIM(LEFT($D130,FIND("/",$D130)-1)),LEN(TRIM(LEFT($D130,FIND("/",$D130)-1)))-2))*1000/1024/1024,IF(RIGHT(TRIM(LEFT($D130,FIND("/",$D130)-1)),2)="MB",VALUE(LEFT(TRIM(LEFT($D130,FIND("/",$D130)-1)),LEN(TRIM(LEFT($D130,FIND("/",$D130)-1)))-2))*1000000/1024/1024,IF(RIGHT(TRIM(LEFT($D130,FIND("/",$D130)-1)),2)="GB",VALUE(LEFT(TRIM(LEFT($D130,FIND("/",$D130)-1)),LEN(TRIM(LEFT($D130,FIND("/",$D130)-1)))-2))*1000000000/1024/1024,""))),"")</f>
        <v>1068.115234375</v>
      </c>
      <c r="F130" s="3">
        <f t="shared" ref="F130:F193" si="21">IFERROR(IF(RIGHT(TRIM(MID($D130,FIND("/",$D130)+1,999)),2)="kB",VALUE(LEFT(TRIM(MID($D130,FIND("/",$D130)+1,999)),LEN(TRIM(MID($D130,FIND("/",$D130)+1,999)))-2))*1000/1024/1024,IF(RIGHT(TRIM(MID($D130,FIND("/",$D130)+1,999)),2)="MB",VALUE(LEFT(TRIM(MID($D130,FIND("/",$D130)+1,999)),LEN(TRIM(MID($D130,FIND("/",$D130)+1,999)))-2))*1000000/1024/1024,IF(RIGHT(TRIM(MID($D130,FIND("/",$D130)+1,999)),2)="GB",VALUE(LEFT(TRIM(MID($D130,FIND("/",$D130)+1,999)),LEN(TRIM(MID($D130,FIND("/",$D130)+1,999)))-2))*1000000000/1024/1024,""))),"")</f>
        <v>324.249267578125</v>
      </c>
      <c r="G130" s="3">
        <f t="shared" ref="G130:G193" si="22">IFERROR($E130+$F130,"")</f>
        <v>1392.364501953125</v>
      </c>
      <c r="H130" s="4">
        <f t="shared" ref="H130:H193" si="23">IF($A130&lt;&gt;$A129,0,IF($B130=$B129,$H129,$H129+5))</f>
        <v>40</v>
      </c>
      <c r="I130" s="3">
        <f t="shared" si="17"/>
        <v>0</v>
      </c>
      <c r="J130" s="3">
        <f t="shared" si="19"/>
        <v>0</v>
      </c>
      <c r="K130" s="3">
        <f t="shared" si="12"/>
        <v>0</v>
      </c>
      <c r="L130" s="3">
        <f ca="1">IFERROR(MAX(0,$G130-SUMIFS($G$2:$G$349,$A$2:$A$349,$A130,$C$2:$C$349,$C130,$B$2:$B$349,_xludf.MINIFS($B$2:$B$349,$A$2:$A$349,$A130,$C$2:$C$349,$C130))),0)</f>
        <v>1392.364501953125</v>
      </c>
    </row>
    <row r="131" spans="1:12" x14ac:dyDescent="0.2">
      <c r="A131" t="s">
        <v>82</v>
      </c>
      <c r="B131">
        <v>1767073662</v>
      </c>
      <c r="C131" t="s">
        <v>15</v>
      </c>
      <c r="D131" t="s">
        <v>106</v>
      </c>
      <c r="E131" s="3">
        <f t="shared" si="20"/>
        <v>4281.9976806640625</v>
      </c>
      <c r="F131" s="3">
        <f t="shared" si="21"/>
        <v>5617.1417236328125</v>
      </c>
      <c r="G131" s="3">
        <f t="shared" si="22"/>
        <v>9899.139404296875</v>
      </c>
      <c r="H131" s="4">
        <f t="shared" si="23"/>
        <v>40</v>
      </c>
      <c r="I131" s="3">
        <f t="shared" si="17"/>
        <v>47.6837158203125</v>
      </c>
      <c r="J131" s="3">
        <f t="shared" si="19"/>
        <v>0</v>
      </c>
      <c r="K131" s="3">
        <f t="shared" ref="K131:K194" si="24">IF($B131=_xlfn.MINIFS($B$2:$B$349,$A$2:$A$349,$A131,$C$2:$C$349,$C131),0,IFERROR(MAX(0,$G131-SUMIFS($G$2:$G$349,$A$2:$A$349,$A131,$C$2:$C$349,$C131,$B$2:$B$349,_xlfn.MAXIFS($B$2:$B$349,$A$2:$A$349,$A131,$C$2:$C$349,$C131,$B$2:$B$349,"&lt;"&amp;$B131))),0))</f>
        <v>47.6837158203125</v>
      </c>
      <c r="L131" s="3">
        <f ca="1">IFERROR(MAX(0,$G131-SUMIFS($G$2:$G$349,$A$2:$A$349,$A131,$C$2:$C$349,$C131,$B$2:$B$349,_xludf.MINIFS($B$2:$B$349,$A$2:$A$349,$A131,$C$2:$C$349,$C131))),0)</f>
        <v>9899.139404296875</v>
      </c>
    </row>
    <row r="132" spans="1:12" x14ac:dyDescent="0.2">
      <c r="A132" t="s">
        <v>82</v>
      </c>
      <c r="B132">
        <v>1767073662</v>
      </c>
      <c r="C132" t="s">
        <v>17</v>
      </c>
      <c r="D132" t="s">
        <v>102</v>
      </c>
      <c r="E132" s="3">
        <f t="shared" si="20"/>
        <v>253.6773681640625</v>
      </c>
      <c r="F132" s="3">
        <f t="shared" si="21"/>
        <v>432.01446533203125</v>
      </c>
      <c r="G132" s="3">
        <f t="shared" si="22"/>
        <v>685.69183349609375</v>
      </c>
      <c r="H132" s="4">
        <f t="shared" si="23"/>
        <v>40</v>
      </c>
      <c r="I132" s="3">
        <f t="shared" si="17"/>
        <v>0</v>
      </c>
      <c r="J132" s="3">
        <f t="shared" si="19"/>
        <v>0</v>
      </c>
      <c r="K132" s="3">
        <f t="shared" si="24"/>
        <v>0</v>
      </c>
      <c r="L132" s="3">
        <f ca="1">IFERROR(MAX(0,$G132-SUMIFS($G$2:$G$349,$A$2:$A$349,$A132,$C$2:$C$349,$C132,$B$2:$B$349,_xludf.MINIFS($B$2:$B$349,$A$2:$A$349,$A132,$C$2:$C$349,$C132))),0)</f>
        <v>685.69183349609375</v>
      </c>
    </row>
    <row r="133" spans="1:12" x14ac:dyDescent="0.2">
      <c r="A133" t="s">
        <v>82</v>
      </c>
      <c r="B133">
        <v>1767073662</v>
      </c>
      <c r="C133" t="s">
        <v>19</v>
      </c>
      <c r="D133" t="s">
        <v>107</v>
      </c>
      <c r="E133" s="3">
        <f t="shared" si="20"/>
        <v>2985.0006103515625</v>
      </c>
      <c r="F133" s="3">
        <f t="shared" si="21"/>
        <v>7209.77783203125</v>
      </c>
      <c r="G133" s="3">
        <f t="shared" si="22"/>
        <v>10194.778442382812</v>
      </c>
      <c r="H133" s="4">
        <f t="shared" si="23"/>
        <v>40</v>
      </c>
      <c r="I133" s="3">
        <f t="shared" si="17"/>
        <v>0</v>
      </c>
      <c r="J133" s="3">
        <f t="shared" si="19"/>
        <v>38.14697265625</v>
      </c>
      <c r="K133" s="3">
        <f t="shared" si="24"/>
        <v>38.14697265625</v>
      </c>
      <c r="L133" s="3">
        <f ca="1">IFERROR(MAX(0,$G133-SUMIFS($G$2:$G$349,$A$2:$A$349,$A133,$C$2:$C$349,$C133,$B$2:$B$349,_xludf.MINIFS($B$2:$B$349,$A$2:$A$349,$A133,$C$2:$C$349,$C133))),0)</f>
        <v>10194.778442382812</v>
      </c>
    </row>
    <row r="134" spans="1:12" x14ac:dyDescent="0.2">
      <c r="A134" t="s">
        <v>82</v>
      </c>
      <c r="B134">
        <v>1767073670</v>
      </c>
      <c r="C134" t="s">
        <v>13</v>
      </c>
      <c r="D134" t="s">
        <v>87</v>
      </c>
      <c r="E134" s="3">
        <f t="shared" si="20"/>
        <v>1068.115234375</v>
      </c>
      <c r="F134" s="3">
        <f t="shared" si="21"/>
        <v>324.249267578125</v>
      </c>
      <c r="G134" s="3">
        <f t="shared" si="22"/>
        <v>1392.364501953125</v>
      </c>
      <c r="H134" s="4">
        <f t="shared" si="23"/>
        <v>45</v>
      </c>
      <c r="I134" s="3">
        <f t="shared" si="17"/>
        <v>0</v>
      </c>
      <c r="J134" s="3">
        <f t="shared" si="19"/>
        <v>0</v>
      </c>
      <c r="K134" s="3">
        <f t="shared" si="24"/>
        <v>0</v>
      </c>
      <c r="L134" s="3">
        <f ca="1">IFERROR(MAX(0,$G134-SUMIFS($G$2:$G$349,$A$2:$A$349,$A134,$C$2:$C$349,$C134,$B$2:$B$349,_xludf.MINIFS($B$2:$B$349,$A$2:$A$349,$A134,$C$2:$C$349,$C134))),0)</f>
        <v>1392.364501953125</v>
      </c>
    </row>
    <row r="135" spans="1:12" x14ac:dyDescent="0.2">
      <c r="A135" t="s">
        <v>82</v>
      </c>
      <c r="B135">
        <v>1767073670</v>
      </c>
      <c r="C135" t="s">
        <v>15</v>
      </c>
      <c r="D135" t="s">
        <v>106</v>
      </c>
      <c r="E135" s="3">
        <f t="shared" si="20"/>
        <v>4281.9976806640625</v>
      </c>
      <c r="F135" s="3">
        <f t="shared" si="21"/>
        <v>5617.1417236328125</v>
      </c>
      <c r="G135" s="3">
        <f t="shared" si="22"/>
        <v>9899.139404296875</v>
      </c>
      <c r="H135" s="4">
        <f t="shared" si="23"/>
        <v>45</v>
      </c>
      <c r="I135" s="3">
        <f t="shared" si="17"/>
        <v>0</v>
      </c>
      <c r="J135" s="3">
        <f t="shared" si="19"/>
        <v>0</v>
      </c>
      <c r="K135" s="3">
        <f t="shared" si="24"/>
        <v>0</v>
      </c>
      <c r="L135" s="3">
        <f ca="1">IFERROR(MAX(0,$G135-SUMIFS($G$2:$G$349,$A$2:$A$349,$A135,$C$2:$C$349,$C135,$B$2:$B$349,_xludf.MINIFS($B$2:$B$349,$A$2:$A$349,$A135,$C$2:$C$349,$C135))),0)</f>
        <v>9899.139404296875</v>
      </c>
    </row>
    <row r="136" spans="1:12" x14ac:dyDescent="0.2">
      <c r="A136" t="s">
        <v>82</v>
      </c>
      <c r="B136">
        <v>1767073670</v>
      </c>
      <c r="C136" t="s">
        <v>17</v>
      </c>
      <c r="D136" t="s">
        <v>102</v>
      </c>
      <c r="E136" s="3">
        <f t="shared" si="20"/>
        <v>253.6773681640625</v>
      </c>
      <c r="F136" s="3">
        <f t="shared" si="21"/>
        <v>432.01446533203125</v>
      </c>
      <c r="G136" s="3">
        <f t="shared" si="22"/>
        <v>685.69183349609375</v>
      </c>
      <c r="H136" s="4">
        <f t="shared" si="23"/>
        <v>45</v>
      </c>
      <c r="I136" s="3">
        <f t="shared" si="17"/>
        <v>0</v>
      </c>
      <c r="J136" s="3">
        <f t="shared" si="19"/>
        <v>0</v>
      </c>
      <c r="K136" s="3">
        <f t="shared" si="24"/>
        <v>0</v>
      </c>
      <c r="L136" s="3">
        <f ca="1">IFERROR(MAX(0,$G136-SUMIFS($G$2:$G$349,$A$2:$A$349,$A136,$C$2:$C$349,$C136,$B$2:$B$349,_xludf.MINIFS($B$2:$B$349,$A$2:$A$349,$A136,$C$2:$C$349,$C136))),0)</f>
        <v>685.69183349609375</v>
      </c>
    </row>
    <row r="137" spans="1:12" x14ac:dyDescent="0.2">
      <c r="A137" t="s">
        <v>82</v>
      </c>
      <c r="B137">
        <v>1767073670</v>
      </c>
      <c r="C137" t="s">
        <v>19</v>
      </c>
      <c r="D137" t="s">
        <v>108</v>
      </c>
      <c r="E137" s="3">
        <f t="shared" si="20"/>
        <v>3032.684326171875</v>
      </c>
      <c r="F137" s="3">
        <f t="shared" si="21"/>
        <v>7390.9759521484375</v>
      </c>
      <c r="G137" s="3">
        <f t="shared" si="22"/>
        <v>10423.660278320312</v>
      </c>
      <c r="H137" s="4">
        <f t="shared" si="23"/>
        <v>45</v>
      </c>
      <c r="I137" s="3">
        <f t="shared" si="17"/>
        <v>47.6837158203125</v>
      </c>
      <c r="J137" s="3">
        <f t="shared" si="19"/>
        <v>181.1981201171875</v>
      </c>
      <c r="K137" s="3">
        <f t="shared" si="24"/>
        <v>228.8818359375</v>
      </c>
      <c r="L137" s="3">
        <f ca="1">IFERROR(MAX(0,$G137-SUMIFS($G$2:$G$349,$A$2:$A$349,$A137,$C$2:$C$349,$C137,$B$2:$B$349,_xludf.MINIFS($B$2:$B$349,$A$2:$A$349,$A137,$C$2:$C$349,$C137))),0)</f>
        <v>10423.660278320312</v>
      </c>
    </row>
    <row r="138" spans="1:12" x14ac:dyDescent="0.2">
      <c r="A138" t="s">
        <v>82</v>
      </c>
      <c r="B138">
        <v>1767073677</v>
      </c>
      <c r="C138" t="s">
        <v>13</v>
      </c>
      <c r="D138" t="s">
        <v>87</v>
      </c>
      <c r="E138" s="3">
        <f t="shared" si="20"/>
        <v>1068.115234375</v>
      </c>
      <c r="F138" s="3">
        <f t="shared" si="21"/>
        <v>324.249267578125</v>
      </c>
      <c r="G138" s="3">
        <f t="shared" si="22"/>
        <v>1392.364501953125</v>
      </c>
      <c r="H138" s="4">
        <f t="shared" si="23"/>
        <v>50</v>
      </c>
      <c r="I138" s="3">
        <f t="shared" si="17"/>
        <v>0</v>
      </c>
      <c r="J138" s="3">
        <f>IF($B138=_xlfn.MINIFS($B$2:$B$349,$A$2:$A$349,$A138,$C$2:$C$349,$C138),0,IFERROR(MAX(0,$F138-SUMIFS($F$2:$F$349,$A$2:$A$349,$A138,$C$2:$C$349,$C138,$B$2:$B$349,_xlfn.MAXIFS($B$2:$B$349,$A$2:$A$349,$A138,$C$2:$C$349,$C138,$B$2:$B$349,"&lt;"&amp;$B138))),0))</f>
        <v>0</v>
      </c>
      <c r="K138" s="3">
        <f t="shared" si="24"/>
        <v>0</v>
      </c>
      <c r="L138" s="3">
        <f ca="1">IFERROR(MAX(0,$G138-SUMIFS($G$2:$G$349,$A$2:$A$349,$A138,$C$2:$C$349,$C138,$B$2:$B$349,_xludf.MINIFS($B$2:$B$349,$A$2:$A$349,$A138,$C$2:$C$349,$C138))),0)</f>
        <v>1392.364501953125</v>
      </c>
    </row>
    <row r="139" spans="1:12" x14ac:dyDescent="0.2">
      <c r="A139" t="s">
        <v>82</v>
      </c>
      <c r="B139">
        <v>1767073677</v>
      </c>
      <c r="C139" t="s">
        <v>15</v>
      </c>
      <c r="D139" t="s">
        <v>109</v>
      </c>
      <c r="E139" s="3">
        <f t="shared" si="20"/>
        <v>4310.60791015625</v>
      </c>
      <c r="F139" s="3">
        <f t="shared" si="21"/>
        <v>5617.1417236328125</v>
      </c>
      <c r="G139" s="3">
        <f t="shared" si="22"/>
        <v>9927.7496337890625</v>
      </c>
      <c r="H139" s="4">
        <f t="shared" si="23"/>
        <v>50</v>
      </c>
      <c r="I139" s="3">
        <f t="shared" si="17"/>
        <v>28.6102294921875</v>
      </c>
      <c r="J139" s="3">
        <f t="shared" ref="J139:J202" si="25">IF($B139=_xlfn.MINIFS($B$2:$B$349,$A$2:$A$349,$A139,$C$2:$C$349,$C139),0,IFERROR(MAX(0,$F139-SUMIFS($F$2:$F$349,$A$2:$A$349,$A139,$C$2:$C$349,$C139,$B$2:$B$349,_xlfn.MAXIFS($B$2:$B$349,$A$2:$A$349,$A139,$C$2:$C$349,$C139,$B$2:$B$349,"&lt;"&amp;$B139))),0))</f>
        <v>0</v>
      </c>
      <c r="K139" s="3">
        <f t="shared" si="24"/>
        <v>28.6102294921875</v>
      </c>
      <c r="L139" s="3">
        <f ca="1">IFERROR(MAX(0,$G139-SUMIFS($G$2:$G$349,$A$2:$A$349,$A139,$C$2:$C$349,$C139,$B$2:$B$349,_xludf.MINIFS($B$2:$B$349,$A$2:$A$349,$A139,$C$2:$C$349,$C139))),0)</f>
        <v>9927.7496337890625</v>
      </c>
    </row>
    <row r="140" spans="1:12" x14ac:dyDescent="0.2">
      <c r="A140" t="s">
        <v>82</v>
      </c>
      <c r="B140">
        <v>1767073677</v>
      </c>
      <c r="C140" t="s">
        <v>17</v>
      </c>
      <c r="D140" t="s">
        <v>110</v>
      </c>
      <c r="E140" s="3">
        <f t="shared" si="20"/>
        <v>254.63104248046875</v>
      </c>
      <c r="F140" s="3">
        <f t="shared" si="21"/>
        <v>432.01446533203125</v>
      </c>
      <c r="G140" s="3">
        <f t="shared" si="22"/>
        <v>686.6455078125</v>
      </c>
      <c r="H140" s="4">
        <f t="shared" si="23"/>
        <v>50</v>
      </c>
      <c r="I140" s="3">
        <f t="shared" si="17"/>
        <v>0.95367431640625</v>
      </c>
      <c r="J140" s="3">
        <f t="shared" si="25"/>
        <v>0</v>
      </c>
      <c r="K140" s="3">
        <f t="shared" si="24"/>
        <v>0.95367431640625</v>
      </c>
      <c r="L140" s="3">
        <f ca="1">IFERROR(MAX(0,$G140-SUMIFS($G$2:$G$349,$A$2:$A$349,$A140,$C$2:$C$349,$C140,$B$2:$B$349,_xludf.MINIFS($B$2:$B$349,$A$2:$A$349,$A140,$C$2:$C$349,$C140))),0)</f>
        <v>686.6455078125</v>
      </c>
    </row>
    <row r="141" spans="1:12" x14ac:dyDescent="0.2">
      <c r="A141" t="s">
        <v>82</v>
      </c>
      <c r="B141">
        <v>1767073677</v>
      </c>
      <c r="C141" t="s">
        <v>19</v>
      </c>
      <c r="D141" t="s">
        <v>111</v>
      </c>
      <c r="E141" s="3">
        <f t="shared" si="20"/>
        <v>3051.7578125</v>
      </c>
      <c r="F141" s="3">
        <f t="shared" si="21"/>
        <v>7390.9759521484375</v>
      </c>
      <c r="G141" s="3">
        <f t="shared" si="22"/>
        <v>10442.733764648438</v>
      </c>
      <c r="H141" s="4">
        <f t="shared" si="23"/>
        <v>50</v>
      </c>
      <c r="I141" s="3">
        <f t="shared" si="17"/>
        <v>19.073486328125</v>
      </c>
      <c r="J141" s="3">
        <f t="shared" si="25"/>
        <v>0</v>
      </c>
      <c r="K141" s="3">
        <f t="shared" si="24"/>
        <v>19.073486328125</v>
      </c>
      <c r="L141" s="3">
        <f ca="1">IFERROR(MAX(0,$G141-SUMIFS($G$2:$G$349,$A$2:$A$349,$A141,$C$2:$C$349,$C141,$B$2:$B$349,_xludf.MINIFS($B$2:$B$349,$A$2:$A$349,$A141,$C$2:$C$349,$C141))),0)</f>
        <v>10442.733764648438</v>
      </c>
    </row>
    <row r="142" spans="1:12" x14ac:dyDescent="0.2">
      <c r="A142" t="s">
        <v>82</v>
      </c>
      <c r="B142">
        <v>1767073684</v>
      </c>
      <c r="C142" t="s">
        <v>13</v>
      </c>
      <c r="D142" t="s">
        <v>112</v>
      </c>
      <c r="E142" s="3">
        <f t="shared" si="20"/>
        <v>1068.115234375</v>
      </c>
      <c r="F142" s="3">
        <f t="shared" si="21"/>
        <v>327.11029052734375</v>
      </c>
      <c r="G142" s="3">
        <f t="shared" si="22"/>
        <v>1395.2255249023438</v>
      </c>
      <c r="H142" s="4">
        <f t="shared" si="23"/>
        <v>55</v>
      </c>
      <c r="I142" s="3">
        <f t="shared" si="17"/>
        <v>0</v>
      </c>
      <c r="J142" s="3">
        <f t="shared" si="25"/>
        <v>2.86102294921875</v>
      </c>
      <c r="K142" s="3">
        <f t="shared" si="24"/>
        <v>2.86102294921875</v>
      </c>
      <c r="L142" s="3">
        <f ca="1">IFERROR(MAX(0,$G142-SUMIFS($G$2:$G$349,$A$2:$A$349,$A142,$C$2:$C$349,$C142,$B$2:$B$349,_xludf.MINIFS($B$2:$B$349,$A$2:$A$349,$A142,$C$2:$C$349,$C142))),0)</f>
        <v>1395.2255249023438</v>
      </c>
    </row>
    <row r="143" spans="1:12" x14ac:dyDescent="0.2">
      <c r="A143" t="s">
        <v>82</v>
      </c>
      <c r="B143">
        <v>1767073684</v>
      </c>
      <c r="C143" t="s">
        <v>15</v>
      </c>
      <c r="D143" t="s">
        <v>113</v>
      </c>
      <c r="E143" s="3">
        <f t="shared" si="20"/>
        <v>4386.90185546875</v>
      </c>
      <c r="F143" s="3">
        <f t="shared" si="21"/>
        <v>5626.678466796875</v>
      </c>
      <c r="G143" s="3">
        <f t="shared" si="22"/>
        <v>10013.580322265625</v>
      </c>
      <c r="H143" s="4">
        <f t="shared" si="23"/>
        <v>55</v>
      </c>
      <c r="I143" s="3">
        <f t="shared" si="17"/>
        <v>76.2939453125</v>
      </c>
      <c r="J143" s="3">
        <f t="shared" si="25"/>
        <v>9.5367431640625</v>
      </c>
      <c r="K143" s="3">
        <f t="shared" si="24"/>
        <v>85.8306884765625</v>
      </c>
      <c r="L143" s="3">
        <f ca="1">IFERROR(MAX(0,$G143-SUMIFS($G$2:$G$349,$A$2:$A$349,$A143,$C$2:$C$349,$C143,$B$2:$B$349,_xludf.MINIFS($B$2:$B$349,$A$2:$A$349,$A143,$C$2:$C$349,$C143))),0)</f>
        <v>10013.580322265625</v>
      </c>
    </row>
    <row r="144" spans="1:12" x14ac:dyDescent="0.2">
      <c r="A144" t="s">
        <v>82</v>
      </c>
      <c r="B144">
        <v>1767073684</v>
      </c>
      <c r="C144" t="s">
        <v>17</v>
      </c>
      <c r="D144" t="s">
        <v>114</v>
      </c>
      <c r="E144" s="3">
        <f t="shared" si="20"/>
        <v>255.584716796875</v>
      </c>
      <c r="F144" s="3">
        <f t="shared" si="21"/>
        <v>432.01446533203125</v>
      </c>
      <c r="G144" s="3">
        <f t="shared" si="22"/>
        <v>687.59918212890625</v>
      </c>
      <c r="H144" s="4">
        <f t="shared" si="23"/>
        <v>55</v>
      </c>
      <c r="I144" s="3">
        <f t="shared" si="17"/>
        <v>0.95367431640625</v>
      </c>
      <c r="J144" s="3">
        <f t="shared" si="25"/>
        <v>0</v>
      </c>
      <c r="K144" s="3">
        <f t="shared" si="24"/>
        <v>0.95367431640625</v>
      </c>
      <c r="L144" s="3">
        <f ca="1">IFERROR(MAX(0,$G144-SUMIFS($G$2:$G$349,$A$2:$A$349,$A144,$C$2:$C$349,$C144,$B$2:$B$349,_xludf.MINIFS($B$2:$B$349,$A$2:$A$349,$A144,$C$2:$C$349,$C144))),0)</f>
        <v>687.59918212890625</v>
      </c>
    </row>
    <row r="145" spans="1:12" x14ac:dyDescent="0.2">
      <c r="A145" t="s">
        <v>82</v>
      </c>
      <c r="B145">
        <v>1767073684</v>
      </c>
      <c r="C145" t="s">
        <v>19</v>
      </c>
      <c r="D145" t="s">
        <v>115</v>
      </c>
      <c r="E145" s="3">
        <f t="shared" si="20"/>
        <v>3051.7578125</v>
      </c>
      <c r="F145" s="3">
        <f t="shared" si="21"/>
        <v>7438.65966796875</v>
      </c>
      <c r="G145" s="3">
        <f t="shared" si="22"/>
        <v>10490.41748046875</v>
      </c>
      <c r="H145" s="4">
        <f t="shared" si="23"/>
        <v>55</v>
      </c>
      <c r="I145" s="3">
        <f t="shared" si="17"/>
        <v>0</v>
      </c>
      <c r="J145" s="3">
        <f t="shared" si="25"/>
        <v>47.6837158203125</v>
      </c>
      <c r="K145" s="3">
        <f t="shared" si="24"/>
        <v>47.6837158203125</v>
      </c>
      <c r="L145" s="3">
        <f ca="1">IFERROR(MAX(0,$G145-SUMIFS($G$2:$G$349,$A$2:$A$349,$A145,$C$2:$C$349,$C145,$B$2:$B$349,_xludf.MINIFS($B$2:$B$349,$A$2:$A$349,$A145,$C$2:$C$349,$C145))),0)</f>
        <v>10490.41748046875</v>
      </c>
    </row>
    <row r="146" spans="1:12" x14ac:dyDescent="0.2">
      <c r="A146" t="s">
        <v>82</v>
      </c>
      <c r="B146">
        <v>1767073692</v>
      </c>
      <c r="C146" t="s">
        <v>13</v>
      </c>
      <c r="D146" t="s">
        <v>112</v>
      </c>
      <c r="E146" s="3">
        <f t="shared" si="20"/>
        <v>1068.115234375</v>
      </c>
      <c r="F146" s="3">
        <f t="shared" si="21"/>
        <v>327.11029052734375</v>
      </c>
      <c r="G146" s="3">
        <f t="shared" si="22"/>
        <v>1395.2255249023438</v>
      </c>
      <c r="H146" s="4">
        <f t="shared" si="23"/>
        <v>60</v>
      </c>
      <c r="I146" s="3">
        <f t="shared" si="17"/>
        <v>0</v>
      </c>
      <c r="J146" s="3">
        <f t="shared" si="25"/>
        <v>0</v>
      </c>
      <c r="K146" s="3">
        <f t="shared" si="24"/>
        <v>0</v>
      </c>
      <c r="L146" s="3">
        <f ca="1">IFERROR(MAX(0,$G146-SUMIFS($G$2:$G$349,$A$2:$A$349,$A146,$C$2:$C$349,$C146,$B$2:$B$349,_xludf.MINIFS($B$2:$B$349,$A$2:$A$349,$A146,$C$2:$C$349,$C146))),0)</f>
        <v>1395.2255249023438</v>
      </c>
    </row>
    <row r="147" spans="1:12" x14ac:dyDescent="0.2">
      <c r="A147" t="s">
        <v>82</v>
      </c>
      <c r="B147">
        <v>1767073692</v>
      </c>
      <c r="C147" t="s">
        <v>15</v>
      </c>
      <c r="D147" t="s">
        <v>116</v>
      </c>
      <c r="E147" s="3">
        <f t="shared" si="20"/>
        <v>4415.5120849609375</v>
      </c>
      <c r="F147" s="3">
        <f t="shared" si="21"/>
        <v>5626.678466796875</v>
      </c>
      <c r="G147" s="3">
        <f t="shared" si="22"/>
        <v>10042.190551757812</v>
      </c>
      <c r="H147" s="4">
        <f t="shared" si="23"/>
        <v>60</v>
      </c>
      <c r="I147" s="3">
        <f t="shared" si="17"/>
        <v>28.6102294921875</v>
      </c>
      <c r="J147" s="3">
        <f t="shared" si="25"/>
        <v>0</v>
      </c>
      <c r="K147" s="3">
        <f t="shared" si="24"/>
        <v>28.6102294921875</v>
      </c>
      <c r="L147" s="3">
        <f ca="1">IFERROR(MAX(0,$G147-SUMIFS($G$2:$G$349,$A$2:$A$349,$A147,$C$2:$C$349,$C147,$B$2:$B$349,_xludf.MINIFS($B$2:$B$349,$A$2:$A$349,$A147,$C$2:$C$349,$C147))),0)</f>
        <v>10042.190551757812</v>
      </c>
    </row>
    <row r="148" spans="1:12" x14ac:dyDescent="0.2">
      <c r="A148" t="s">
        <v>82</v>
      </c>
      <c r="B148">
        <v>1767073692</v>
      </c>
      <c r="C148" t="s">
        <v>17</v>
      </c>
      <c r="D148" t="s">
        <v>114</v>
      </c>
      <c r="E148" s="3">
        <f t="shared" si="20"/>
        <v>255.584716796875</v>
      </c>
      <c r="F148" s="3">
        <f t="shared" si="21"/>
        <v>432.01446533203125</v>
      </c>
      <c r="G148" s="3">
        <f t="shared" si="22"/>
        <v>687.59918212890625</v>
      </c>
      <c r="H148" s="4">
        <f t="shared" si="23"/>
        <v>60</v>
      </c>
      <c r="I148" s="3">
        <f t="shared" si="17"/>
        <v>0</v>
      </c>
      <c r="J148" s="3">
        <f t="shared" si="25"/>
        <v>0</v>
      </c>
      <c r="K148" s="3">
        <f t="shared" si="24"/>
        <v>0</v>
      </c>
      <c r="L148" s="3">
        <f ca="1">IFERROR(MAX(0,$G148-SUMIFS($G$2:$G$349,$A$2:$A$349,$A148,$C$2:$C$349,$C148,$B$2:$B$349,_xludf.MINIFS($B$2:$B$349,$A$2:$A$349,$A148,$C$2:$C$349,$C148))),0)</f>
        <v>687.59918212890625</v>
      </c>
    </row>
    <row r="149" spans="1:12" x14ac:dyDescent="0.2">
      <c r="A149" t="s">
        <v>82</v>
      </c>
      <c r="B149">
        <v>1767073692</v>
      </c>
      <c r="C149" t="s">
        <v>19</v>
      </c>
      <c r="D149" t="s">
        <v>117</v>
      </c>
      <c r="E149" s="3">
        <f t="shared" si="20"/>
        <v>3051.7578125</v>
      </c>
      <c r="F149" s="3">
        <f t="shared" si="21"/>
        <v>7476.806640625</v>
      </c>
      <c r="G149" s="3">
        <f t="shared" si="22"/>
        <v>10528.564453125</v>
      </c>
      <c r="H149" s="4">
        <f t="shared" si="23"/>
        <v>60</v>
      </c>
      <c r="I149" s="3">
        <f t="shared" si="17"/>
        <v>0</v>
      </c>
      <c r="J149" s="3">
        <f t="shared" si="25"/>
        <v>38.14697265625</v>
      </c>
      <c r="K149" s="3">
        <f t="shared" si="24"/>
        <v>38.14697265625</v>
      </c>
      <c r="L149" s="3">
        <f ca="1">IFERROR(MAX(0,$G149-SUMIFS($G$2:$G$349,$A$2:$A$349,$A149,$C$2:$C$349,$C149,$B$2:$B$349,_xludf.MINIFS($B$2:$B$349,$A$2:$A$349,$A149,$C$2:$C$349,$C149))),0)</f>
        <v>10528.564453125</v>
      </c>
    </row>
    <row r="150" spans="1:12" x14ac:dyDescent="0.2">
      <c r="A150" t="s">
        <v>82</v>
      </c>
      <c r="B150">
        <v>1767073699</v>
      </c>
      <c r="C150" t="s">
        <v>13</v>
      </c>
      <c r="D150" t="s">
        <v>118</v>
      </c>
      <c r="E150" s="3">
        <f t="shared" si="20"/>
        <v>1068.115234375</v>
      </c>
      <c r="F150" s="3">
        <f t="shared" si="21"/>
        <v>329.01763916015625</v>
      </c>
      <c r="G150" s="3">
        <f t="shared" si="22"/>
        <v>1397.1328735351562</v>
      </c>
      <c r="H150" s="4">
        <f t="shared" si="23"/>
        <v>65</v>
      </c>
      <c r="I150" s="3">
        <f t="shared" si="17"/>
        <v>0</v>
      </c>
      <c r="J150" s="3">
        <f t="shared" si="25"/>
        <v>1.9073486328125</v>
      </c>
      <c r="K150" s="3">
        <f t="shared" si="24"/>
        <v>1.9073486328125</v>
      </c>
      <c r="L150" s="3">
        <f ca="1">IFERROR(MAX(0,$G150-SUMIFS($G$2:$G$349,$A$2:$A$349,$A150,$C$2:$C$349,$C150,$B$2:$B$349,_xludf.MINIFS($B$2:$B$349,$A$2:$A$349,$A150,$C$2:$C$349,$C150))),0)</f>
        <v>1397.1328735351562</v>
      </c>
    </row>
    <row r="151" spans="1:12" x14ac:dyDescent="0.2">
      <c r="A151" t="s">
        <v>82</v>
      </c>
      <c r="B151">
        <v>1767073699</v>
      </c>
      <c r="C151" t="s">
        <v>15</v>
      </c>
      <c r="D151" t="s">
        <v>116</v>
      </c>
      <c r="E151" s="3">
        <f t="shared" si="20"/>
        <v>4415.5120849609375</v>
      </c>
      <c r="F151" s="3">
        <f t="shared" si="21"/>
        <v>5626.678466796875</v>
      </c>
      <c r="G151" s="3">
        <f t="shared" si="22"/>
        <v>10042.190551757812</v>
      </c>
      <c r="H151" s="4">
        <f t="shared" si="23"/>
        <v>65</v>
      </c>
      <c r="I151" s="3">
        <f t="shared" si="17"/>
        <v>0</v>
      </c>
      <c r="J151" s="3">
        <f t="shared" si="25"/>
        <v>0</v>
      </c>
      <c r="K151" s="3">
        <f t="shared" si="24"/>
        <v>0</v>
      </c>
      <c r="L151" s="3">
        <f ca="1">IFERROR(MAX(0,$G151-SUMIFS($G$2:$G$349,$A$2:$A$349,$A151,$C$2:$C$349,$C151,$B$2:$B$349,_xludf.MINIFS($B$2:$B$349,$A$2:$A$349,$A151,$C$2:$C$349,$C151))),0)</f>
        <v>10042.190551757812</v>
      </c>
    </row>
    <row r="152" spans="1:12" x14ac:dyDescent="0.2">
      <c r="A152" t="s">
        <v>82</v>
      </c>
      <c r="B152">
        <v>1767073699</v>
      </c>
      <c r="C152" t="s">
        <v>17</v>
      </c>
      <c r="D152" t="s">
        <v>119</v>
      </c>
      <c r="E152" s="3">
        <f t="shared" si="20"/>
        <v>256.53839111328125</v>
      </c>
      <c r="F152" s="3">
        <f t="shared" si="21"/>
        <v>432.01446533203125</v>
      </c>
      <c r="G152" s="3">
        <f t="shared" si="22"/>
        <v>688.5528564453125</v>
      </c>
      <c r="H152" s="4">
        <f t="shared" si="23"/>
        <v>65</v>
      </c>
      <c r="I152" s="3">
        <f t="shared" si="17"/>
        <v>0.95367431640625</v>
      </c>
      <c r="J152" s="3">
        <f t="shared" si="25"/>
        <v>0</v>
      </c>
      <c r="K152" s="3">
        <f t="shared" si="24"/>
        <v>0.95367431640625</v>
      </c>
      <c r="L152" s="3">
        <f ca="1">IFERROR(MAX(0,$G152-SUMIFS($G$2:$G$349,$A$2:$A$349,$A152,$C$2:$C$349,$C152,$B$2:$B$349,_xludf.MINIFS($B$2:$B$349,$A$2:$A$349,$A152,$C$2:$C$349,$C152))),0)</f>
        <v>688.5528564453125</v>
      </c>
    </row>
    <row r="153" spans="1:12" x14ac:dyDescent="0.2">
      <c r="A153" t="s">
        <v>82</v>
      </c>
      <c r="B153">
        <v>1767073699</v>
      </c>
      <c r="C153" t="s">
        <v>19</v>
      </c>
      <c r="D153" t="s">
        <v>120</v>
      </c>
      <c r="E153" s="3">
        <f t="shared" si="20"/>
        <v>3070.831298828125</v>
      </c>
      <c r="F153" s="3">
        <f t="shared" si="21"/>
        <v>7619.8577880859375</v>
      </c>
      <c r="G153" s="3">
        <f t="shared" si="22"/>
        <v>10690.689086914062</v>
      </c>
      <c r="H153" s="4">
        <f t="shared" si="23"/>
        <v>65</v>
      </c>
      <c r="I153" s="3">
        <f t="shared" si="17"/>
        <v>19.073486328125</v>
      </c>
      <c r="J153" s="3">
        <f t="shared" si="25"/>
        <v>143.0511474609375</v>
      </c>
      <c r="K153" s="3">
        <f t="shared" si="24"/>
        <v>162.1246337890625</v>
      </c>
      <c r="L153" s="3">
        <f ca="1">IFERROR(MAX(0,$G153-SUMIFS($G$2:$G$349,$A$2:$A$349,$A153,$C$2:$C$349,$C153,$B$2:$B$349,_xludf.MINIFS($B$2:$B$349,$A$2:$A$349,$A153,$C$2:$C$349,$C153))),0)</f>
        <v>10690.689086914062</v>
      </c>
    </row>
    <row r="154" spans="1:12" x14ac:dyDescent="0.2">
      <c r="A154" t="s">
        <v>82</v>
      </c>
      <c r="B154">
        <v>1767073706</v>
      </c>
      <c r="C154" t="s">
        <v>13</v>
      </c>
      <c r="D154" t="s">
        <v>118</v>
      </c>
      <c r="E154" s="3">
        <f t="shared" si="20"/>
        <v>1068.115234375</v>
      </c>
      <c r="F154" s="3">
        <f t="shared" si="21"/>
        <v>329.01763916015625</v>
      </c>
      <c r="G154" s="3">
        <f t="shared" si="22"/>
        <v>1397.1328735351562</v>
      </c>
      <c r="H154" s="4">
        <f t="shared" si="23"/>
        <v>70</v>
      </c>
      <c r="I154" s="3">
        <f t="shared" si="17"/>
        <v>0</v>
      </c>
      <c r="J154" s="3">
        <f t="shared" si="25"/>
        <v>0</v>
      </c>
      <c r="K154" s="3">
        <f t="shared" si="24"/>
        <v>0</v>
      </c>
      <c r="L154" s="3">
        <f ca="1">IFERROR(MAX(0,$G154-SUMIFS($G$2:$G$349,$A$2:$A$349,$A154,$C$2:$C$349,$C154,$B$2:$B$349,_xludf.MINIFS($B$2:$B$349,$A$2:$A$349,$A154,$C$2:$C$349,$C154))),0)</f>
        <v>1397.1328735351562</v>
      </c>
    </row>
    <row r="155" spans="1:12" x14ac:dyDescent="0.2">
      <c r="A155" t="s">
        <v>82</v>
      </c>
      <c r="B155">
        <v>1767073706</v>
      </c>
      <c r="C155" t="s">
        <v>15</v>
      </c>
      <c r="D155" t="s">
        <v>121</v>
      </c>
      <c r="E155" s="3">
        <f t="shared" si="20"/>
        <v>4472.7325439453125</v>
      </c>
      <c r="F155" s="3">
        <f t="shared" si="21"/>
        <v>5626.678466796875</v>
      </c>
      <c r="G155" s="3">
        <f t="shared" si="22"/>
        <v>10099.411010742188</v>
      </c>
      <c r="H155" s="4">
        <f t="shared" si="23"/>
        <v>70</v>
      </c>
      <c r="I155" s="3">
        <f t="shared" si="17"/>
        <v>57.220458984375</v>
      </c>
      <c r="J155" s="3">
        <f t="shared" si="25"/>
        <v>0</v>
      </c>
      <c r="K155" s="3">
        <f t="shared" si="24"/>
        <v>57.220458984375</v>
      </c>
      <c r="L155" s="3">
        <f ca="1">IFERROR(MAX(0,$G155-SUMIFS($G$2:$G$349,$A$2:$A$349,$A155,$C$2:$C$349,$C155,$B$2:$B$349,_xludf.MINIFS($B$2:$B$349,$A$2:$A$349,$A155,$C$2:$C$349,$C155))),0)</f>
        <v>10099.411010742188</v>
      </c>
    </row>
    <row r="156" spans="1:12" x14ac:dyDescent="0.2">
      <c r="A156" t="s">
        <v>82</v>
      </c>
      <c r="B156">
        <v>1767073706</v>
      </c>
      <c r="C156" t="s">
        <v>17</v>
      </c>
      <c r="D156" t="s">
        <v>119</v>
      </c>
      <c r="E156" s="3">
        <f t="shared" si="20"/>
        <v>256.53839111328125</v>
      </c>
      <c r="F156" s="3">
        <f t="shared" si="21"/>
        <v>432.01446533203125</v>
      </c>
      <c r="G156" s="3">
        <f t="shared" si="22"/>
        <v>688.5528564453125</v>
      </c>
      <c r="H156" s="4">
        <f t="shared" si="23"/>
        <v>70</v>
      </c>
      <c r="I156" s="3">
        <f t="shared" si="17"/>
        <v>0</v>
      </c>
      <c r="J156" s="3">
        <f t="shared" si="25"/>
        <v>0</v>
      </c>
      <c r="K156" s="3">
        <f t="shared" si="24"/>
        <v>0</v>
      </c>
      <c r="L156" s="3">
        <f ca="1">IFERROR(MAX(0,$G156-SUMIFS($G$2:$G$349,$A$2:$A$349,$A156,$C$2:$C$349,$C156,$B$2:$B$349,_xludf.MINIFS($B$2:$B$349,$A$2:$A$349,$A156,$C$2:$C$349,$C156))),0)</f>
        <v>688.5528564453125</v>
      </c>
    </row>
    <row r="157" spans="1:12" x14ac:dyDescent="0.2">
      <c r="A157" t="s">
        <v>82</v>
      </c>
      <c r="B157">
        <v>1767073706</v>
      </c>
      <c r="C157" t="s">
        <v>19</v>
      </c>
      <c r="D157" t="s">
        <v>122</v>
      </c>
      <c r="E157" s="3">
        <f t="shared" si="20"/>
        <v>3108.978271484375</v>
      </c>
      <c r="F157" s="3">
        <f t="shared" si="21"/>
        <v>7619.8577880859375</v>
      </c>
      <c r="G157" s="3">
        <f t="shared" si="22"/>
        <v>10728.836059570312</v>
      </c>
      <c r="H157" s="4">
        <f t="shared" si="23"/>
        <v>70</v>
      </c>
      <c r="I157" s="3">
        <f t="shared" si="17"/>
        <v>38.14697265625</v>
      </c>
      <c r="J157" s="3">
        <f t="shared" si="25"/>
        <v>0</v>
      </c>
      <c r="K157" s="3">
        <f t="shared" si="24"/>
        <v>38.14697265625</v>
      </c>
      <c r="L157" s="3">
        <f ca="1">IFERROR(MAX(0,$G157-SUMIFS($G$2:$G$349,$A$2:$A$349,$A157,$C$2:$C$349,$C157,$B$2:$B$349,_xludf.MINIFS($B$2:$B$349,$A$2:$A$349,$A157,$C$2:$C$349,$C157))),0)</f>
        <v>10728.836059570312</v>
      </c>
    </row>
    <row r="158" spans="1:12" x14ac:dyDescent="0.2">
      <c r="A158" t="s">
        <v>82</v>
      </c>
      <c r="B158">
        <v>1767073712</v>
      </c>
      <c r="C158" t="s">
        <v>13</v>
      </c>
      <c r="D158" t="s">
        <v>123</v>
      </c>
      <c r="E158" s="3">
        <f t="shared" si="20"/>
        <v>1068.115234375</v>
      </c>
      <c r="F158" s="3">
        <f t="shared" si="21"/>
        <v>332.83233642578125</v>
      </c>
      <c r="G158" s="3">
        <f t="shared" si="22"/>
        <v>1400.9475708007812</v>
      </c>
      <c r="H158" s="4">
        <f t="shared" si="23"/>
        <v>75</v>
      </c>
      <c r="I158" s="3">
        <f t="shared" si="17"/>
        <v>0</v>
      </c>
      <c r="J158" s="3">
        <f t="shared" si="25"/>
        <v>3.814697265625</v>
      </c>
      <c r="K158" s="3">
        <f t="shared" si="24"/>
        <v>3.814697265625</v>
      </c>
      <c r="L158" s="3">
        <f ca="1">IFERROR(MAX(0,$G158-SUMIFS($G$2:$G$349,$A$2:$A$349,$A158,$C$2:$C$349,$C158,$B$2:$B$349,_xludf.MINIFS($B$2:$B$349,$A$2:$A$349,$A158,$C$2:$C$349,$C158))),0)</f>
        <v>1400.9475708007812</v>
      </c>
    </row>
    <row r="159" spans="1:12" x14ac:dyDescent="0.2">
      <c r="A159" t="s">
        <v>82</v>
      </c>
      <c r="B159">
        <v>1767073712</v>
      </c>
      <c r="C159" t="s">
        <v>15</v>
      </c>
      <c r="D159" t="s">
        <v>124</v>
      </c>
      <c r="E159" s="3">
        <f t="shared" si="20"/>
        <v>4520.416259765625</v>
      </c>
      <c r="F159" s="3">
        <f t="shared" si="21"/>
        <v>5626.678466796875</v>
      </c>
      <c r="G159" s="3">
        <f t="shared" si="22"/>
        <v>10147.0947265625</v>
      </c>
      <c r="H159" s="4">
        <f t="shared" si="23"/>
        <v>75</v>
      </c>
      <c r="I159" s="3">
        <f t="shared" si="17"/>
        <v>47.6837158203125</v>
      </c>
      <c r="J159" s="3">
        <f t="shared" si="25"/>
        <v>0</v>
      </c>
      <c r="K159" s="3">
        <f t="shared" si="24"/>
        <v>47.6837158203125</v>
      </c>
      <c r="L159" s="3">
        <f ca="1">IFERROR(MAX(0,$G159-SUMIFS($G$2:$G$349,$A$2:$A$349,$A159,$C$2:$C$349,$C159,$B$2:$B$349,_xludf.MINIFS($B$2:$B$349,$A$2:$A$349,$A159,$C$2:$C$349,$C159))),0)</f>
        <v>10147.0947265625</v>
      </c>
    </row>
    <row r="160" spans="1:12" x14ac:dyDescent="0.2">
      <c r="A160" t="s">
        <v>82</v>
      </c>
      <c r="B160">
        <v>1767073712</v>
      </c>
      <c r="C160" t="s">
        <v>17</v>
      </c>
      <c r="D160" t="s">
        <v>119</v>
      </c>
      <c r="E160" s="3">
        <f t="shared" si="20"/>
        <v>256.53839111328125</v>
      </c>
      <c r="F160" s="3">
        <f t="shared" si="21"/>
        <v>432.01446533203125</v>
      </c>
      <c r="G160" s="3">
        <f t="shared" si="22"/>
        <v>688.5528564453125</v>
      </c>
      <c r="H160" s="4">
        <f t="shared" si="23"/>
        <v>75</v>
      </c>
      <c r="I160" s="3">
        <f t="shared" si="17"/>
        <v>0</v>
      </c>
      <c r="J160" s="3">
        <f t="shared" si="25"/>
        <v>0</v>
      </c>
      <c r="K160" s="3">
        <f t="shared" si="24"/>
        <v>0</v>
      </c>
      <c r="L160" s="3">
        <f ca="1">IFERROR(MAX(0,$G160-SUMIFS($G$2:$G$349,$A$2:$A$349,$A160,$C$2:$C$349,$C160,$B$2:$B$349,_xludf.MINIFS($B$2:$B$349,$A$2:$A$349,$A160,$C$2:$C$349,$C160))),0)</f>
        <v>688.5528564453125</v>
      </c>
    </row>
    <row r="161" spans="1:12" x14ac:dyDescent="0.2">
      <c r="A161" t="s">
        <v>82</v>
      </c>
      <c r="B161">
        <v>1767073712</v>
      </c>
      <c r="C161" t="s">
        <v>19</v>
      </c>
      <c r="D161" t="s">
        <v>125</v>
      </c>
      <c r="E161" s="3">
        <f t="shared" si="20"/>
        <v>3108.978271484375</v>
      </c>
      <c r="F161" s="3">
        <f t="shared" si="21"/>
        <v>7677.0782470703134</v>
      </c>
      <c r="G161" s="3">
        <f t="shared" si="22"/>
        <v>10786.056518554688</v>
      </c>
      <c r="H161" s="4">
        <f t="shared" si="23"/>
        <v>75</v>
      </c>
      <c r="I161" s="3">
        <f t="shared" si="17"/>
        <v>0</v>
      </c>
      <c r="J161" s="3">
        <f t="shared" si="25"/>
        <v>57.220458984375909</v>
      </c>
      <c r="K161" s="3">
        <f t="shared" si="24"/>
        <v>57.220458984375</v>
      </c>
      <c r="L161" s="3">
        <f ca="1">IFERROR(MAX(0,$G161-SUMIFS($G$2:$G$349,$A$2:$A$349,$A161,$C$2:$C$349,$C161,$B$2:$B$349,_xludf.MINIFS($B$2:$B$349,$A$2:$A$349,$A161,$C$2:$C$349,$C161))),0)</f>
        <v>10786.056518554688</v>
      </c>
    </row>
    <row r="162" spans="1:12" x14ac:dyDescent="0.2">
      <c r="A162" t="s">
        <v>82</v>
      </c>
      <c r="B162">
        <v>1767073720</v>
      </c>
      <c r="C162" t="s">
        <v>13</v>
      </c>
      <c r="D162" t="s">
        <v>126</v>
      </c>
      <c r="E162" s="3">
        <f t="shared" si="20"/>
        <v>1068.115234375</v>
      </c>
      <c r="F162" s="3">
        <f t="shared" si="21"/>
        <v>333.7860107421875</v>
      </c>
      <c r="G162" s="3">
        <f t="shared" si="22"/>
        <v>1401.9012451171875</v>
      </c>
      <c r="H162" s="4">
        <f t="shared" si="23"/>
        <v>80</v>
      </c>
      <c r="I162" s="3">
        <f t="shared" si="17"/>
        <v>0</v>
      </c>
      <c r="J162" s="3">
        <f t="shared" si="25"/>
        <v>0.95367431640625</v>
      </c>
      <c r="K162" s="3">
        <f t="shared" si="24"/>
        <v>0.95367431640625</v>
      </c>
      <c r="L162" s="3">
        <f ca="1">IFERROR(MAX(0,$G162-SUMIFS($G$2:$G$349,$A$2:$A$349,$A162,$C$2:$C$349,$C162,$B$2:$B$349,_xludf.MINIFS($B$2:$B$349,$A$2:$A$349,$A162,$C$2:$C$349,$C162))),0)</f>
        <v>1401.9012451171875</v>
      </c>
    </row>
    <row r="163" spans="1:12" x14ac:dyDescent="0.2">
      <c r="A163" t="s">
        <v>82</v>
      </c>
      <c r="B163">
        <v>1767073720</v>
      </c>
      <c r="C163" t="s">
        <v>15</v>
      </c>
      <c r="D163" t="s">
        <v>127</v>
      </c>
      <c r="E163" s="3">
        <f t="shared" si="20"/>
        <v>4558.563232421875</v>
      </c>
      <c r="F163" s="3">
        <f t="shared" si="21"/>
        <v>5626.678466796875</v>
      </c>
      <c r="G163" s="3">
        <f t="shared" si="22"/>
        <v>10185.24169921875</v>
      </c>
      <c r="H163" s="4">
        <f t="shared" si="23"/>
        <v>80</v>
      </c>
      <c r="I163" s="3">
        <f t="shared" si="17"/>
        <v>38.14697265625</v>
      </c>
      <c r="J163" s="3">
        <f t="shared" si="25"/>
        <v>0</v>
      </c>
      <c r="K163" s="3">
        <f t="shared" si="24"/>
        <v>38.14697265625</v>
      </c>
      <c r="L163" s="3">
        <f ca="1">IFERROR(MAX(0,$G163-SUMIFS($G$2:$G$349,$A$2:$A$349,$A163,$C$2:$C$349,$C163,$B$2:$B$349,_xludf.MINIFS($B$2:$B$349,$A$2:$A$349,$A163,$C$2:$C$349,$C163))),0)</f>
        <v>10185.24169921875</v>
      </c>
    </row>
    <row r="164" spans="1:12" x14ac:dyDescent="0.2">
      <c r="A164" t="s">
        <v>82</v>
      </c>
      <c r="B164">
        <v>1767073720</v>
      </c>
      <c r="C164" t="s">
        <v>17</v>
      </c>
      <c r="D164" t="s">
        <v>128</v>
      </c>
      <c r="E164" s="3">
        <f t="shared" si="20"/>
        <v>266.07513427734375</v>
      </c>
      <c r="F164" s="3">
        <f t="shared" si="21"/>
        <v>432.01446533203125</v>
      </c>
      <c r="G164" s="3">
        <f t="shared" si="22"/>
        <v>698.089599609375</v>
      </c>
      <c r="H164" s="4">
        <f t="shared" si="23"/>
        <v>80</v>
      </c>
      <c r="I164" s="3">
        <f t="shared" si="17"/>
        <v>9.5367431640625</v>
      </c>
      <c r="J164" s="3">
        <f t="shared" si="25"/>
        <v>0</v>
      </c>
      <c r="K164" s="3">
        <f t="shared" si="24"/>
        <v>9.5367431640625</v>
      </c>
      <c r="L164" s="3">
        <f ca="1">IFERROR(MAX(0,$G164-SUMIFS($G$2:$G$349,$A$2:$A$349,$A164,$C$2:$C$349,$C164,$B$2:$B$349,_xludf.MINIFS($B$2:$B$349,$A$2:$A$349,$A164,$C$2:$C$349,$C164))),0)</f>
        <v>698.089599609375</v>
      </c>
    </row>
    <row r="165" spans="1:12" x14ac:dyDescent="0.2">
      <c r="A165" t="s">
        <v>82</v>
      </c>
      <c r="B165">
        <v>1767073720</v>
      </c>
      <c r="C165" t="s">
        <v>19</v>
      </c>
      <c r="D165" t="s">
        <v>129</v>
      </c>
      <c r="E165" s="3">
        <f t="shared" si="20"/>
        <v>3108.978271484375</v>
      </c>
      <c r="F165" s="3">
        <f t="shared" si="21"/>
        <v>7734.2987060546866</v>
      </c>
      <c r="G165" s="3">
        <f t="shared" si="22"/>
        <v>10843.276977539062</v>
      </c>
      <c r="H165" s="4">
        <f t="shared" si="23"/>
        <v>80</v>
      </c>
      <c r="I165" s="3">
        <f t="shared" si="17"/>
        <v>0</v>
      </c>
      <c r="J165" s="3">
        <f t="shared" si="25"/>
        <v>57.220458984373181</v>
      </c>
      <c r="K165" s="3">
        <f t="shared" si="24"/>
        <v>57.220458984375</v>
      </c>
      <c r="L165" s="3">
        <f ca="1">IFERROR(MAX(0,$G165-SUMIFS($G$2:$G$349,$A$2:$A$349,$A165,$C$2:$C$349,$C165,$B$2:$B$349,_xludf.MINIFS($B$2:$B$349,$A$2:$A$349,$A165,$C$2:$C$349,$C165))),0)</f>
        <v>10843.276977539062</v>
      </c>
    </row>
    <row r="166" spans="1:12" x14ac:dyDescent="0.2">
      <c r="A166" t="s">
        <v>82</v>
      </c>
      <c r="B166">
        <v>1767073727</v>
      </c>
      <c r="C166" t="s">
        <v>13</v>
      </c>
      <c r="D166" t="s">
        <v>130</v>
      </c>
      <c r="E166" s="3">
        <f t="shared" si="20"/>
        <v>1077.6519775390625</v>
      </c>
      <c r="F166" s="3">
        <f t="shared" si="21"/>
        <v>333.7860107421875</v>
      </c>
      <c r="G166" s="3">
        <f t="shared" si="22"/>
        <v>1411.43798828125</v>
      </c>
      <c r="H166" s="4">
        <f t="shared" si="23"/>
        <v>85</v>
      </c>
      <c r="I166" s="3">
        <f t="shared" ref="I166:I229" si="26">IF($B166=_xlfn.MINIFS($B$2:$B$349,$A$2:$A$349,$A166,$C$2:$C$349,$C166),0,IFERROR(MAX(0,$E166-SUMIFS($E$2:$E$349,$A$2:$A$349,$A166,$C$2:$C$349,$C166,$B$2:$B$349,_xlfn.MAXIFS($B$2:$B$349,$A$2:$A$349,$A166,$C$2:$C$349,$C166,$B$2:$B$349,"&lt;"&amp;$B166))),0))</f>
        <v>9.5367431640625</v>
      </c>
      <c r="J166" s="3">
        <f t="shared" si="25"/>
        <v>0</v>
      </c>
      <c r="K166" s="3">
        <f t="shared" si="24"/>
        <v>9.5367431640625</v>
      </c>
      <c r="L166" s="3">
        <f ca="1">IFERROR(MAX(0,$G166-SUMIFS($G$2:$G$349,$A$2:$A$349,$A166,$C$2:$C$349,$C166,$B$2:$B$349,_xludf.MINIFS($B$2:$B$349,$A$2:$A$349,$A166,$C$2:$C$349,$C166))),0)</f>
        <v>1411.43798828125</v>
      </c>
    </row>
    <row r="167" spans="1:12" x14ac:dyDescent="0.2">
      <c r="A167" t="s">
        <v>82</v>
      </c>
      <c r="B167">
        <v>1767073727</v>
      </c>
      <c r="C167" t="s">
        <v>15</v>
      </c>
      <c r="D167" t="s">
        <v>127</v>
      </c>
      <c r="E167" s="3">
        <f t="shared" si="20"/>
        <v>4558.563232421875</v>
      </c>
      <c r="F167" s="3">
        <f t="shared" si="21"/>
        <v>5626.678466796875</v>
      </c>
      <c r="G167" s="3">
        <f t="shared" si="22"/>
        <v>10185.24169921875</v>
      </c>
      <c r="H167" s="4">
        <f t="shared" si="23"/>
        <v>85</v>
      </c>
      <c r="I167" s="3">
        <f t="shared" si="26"/>
        <v>0</v>
      </c>
      <c r="J167" s="3">
        <f t="shared" si="25"/>
        <v>0</v>
      </c>
      <c r="K167" s="3">
        <f t="shared" si="24"/>
        <v>0</v>
      </c>
      <c r="L167" s="3">
        <f ca="1">IFERROR(MAX(0,$G167-SUMIFS($G$2:$G$349,$A$2:$A$349,$A167,$C$2:$C$349,$C167,$B$2:$B$349,_xludf.MINIFS($B$2:$B$349,$A$2:$A$349,$A167,$C$2:$C$349,$C167))),0)</f>
        <v>10185.24169921875</v>
      </c>
    </row>
    <row r="168" spans="1:12" x14ac:dyDescent="0.2">
      <c r="A168" t="s">
        <v>82</v>
      </c>
      <c r="B168">
        <v>1767073727</v>
      </c>
      <c r="C168" t="s">
        <v>17</v>
      </c>
      <c r="D168" t="s">
        <v>131</v>
      </c>
      <c r="E168" s="3">
        <f t="shared" si="20"/>
        <v>267.02880859375</v>
      </c>
      <c r="F168" s="3">
        <f t="shared" si="21"/>
        <v>432.01446533203125</v>
      </c>
      <c r="G168" s="3">
        <f t="shared" si="22"/>
        <v>699.04327392578125</v>
      </c>
      <c r="H168" s="4">
        <f t="shared" si="23"/>
        <v>85</v>
      </c>
      <c r="I168" s="3">
        <f t="shared" si="26"/>
        <v>0.95367431640625</v>
      </c>
      <c r="J168" s="3">
        <f t="shared" si="25"/>
        <v>0</v>
      </c>
      <c r="K168" s="3">
        <f t="shared" si="24"/>
        <v>0.95367431640625</v>
      </c>
      <c r="L168" s="3">
        <f ca="1">IFERROR(MAX(0,$G168-SUMIFS($G$2:$G$349,$A$2:$A$349,$A168,$C$2:$C$349,$C168,$B$2:$B$349,_xludf.MINIFS($B$2:$B$349,$A$2:$A$349,$A168,$C$2:$C$349,$C168))),0)</f>
        <v>699.04327392578125</v>
      </c>
    </row>
    <row r="169" spans="1:12" x14ac:dyDescent="0.2">
      <c r="A169" t="s">
        <v>82</v>
      </c>
      <c r="B169">
        <v>1767073727</v>
      </c>
      <c r="C169" t="s">
        <v>19</v>
      </c>
      <c r="D169" t="s">
        <v>132</v>
      </c>
      <c r="E169" s="3">
        <f t="shared" si="20"/>
        <v>3185.272216796875</v>
      </c>
      <c r="F169" s="3">
        <f t="shared" si="21"/>
        <v>7848.7396240234375</v>
      </c>
      <c r="G169" s="3">
        <f t="shared" si="22"/>
        <v>11034.011840820312</v>
      </c>
      <c r="H169" s="4">
        <f t="shared" si="23"/>
        <v>85</v>
      </c>
      <c r="I169" s="3">
        <f t="shared" si="26"/>
        <v>76.2939453125</v>
      </c>
      <c r="J169" s="3">
        <f t="shared" si="25"/>
        <v>114.44091796875091</v>
      </c>
      <c r="K169" s="3">
        <f t="shared" si="24"/>
        <v>190.73486328125</v>
      </c>
      <c r="L169" s="3">
        <f ca="1">IFERROR(MAX(0,$G169-SUMIFS($G$2:$G$349,$A$2:$A$349,$A169,$C$2:$C$349,$C169,$B$2:$B$349,_xludf.MINIFS($B$2:$B$349,$A$2:$A$349,$A169,$C$2:$C$349,$C169))),0)</f>
        <v>11034.011840820312</v>
      </c>
    </row>
    <row r="170" spans="1:12" x14ac:dyDescent="0.2">
      <c r="A170" t="s">
        <v>82</v>
      </c>
      <c r="B170">
        <v>1767073734</v>
      </c>
      <c r="C170" t="s">
        <v>13</v>
      </c>
      <c r="D170" t="s">
        <v>130</v>
      </c>
      <c r="E170" s="3">
        <f t="shared" si="20"/>
        <v>1077.6519775390625</v>
      </c>
      <c r="F170" s="3">
        <f t="shared" si="21"/>
        <v>333.7860107421875</v>
      </c>
      <c r="G170" s="3">
        <f t="shared" si="22"/>
        <v>1411.43798828125</v>
      </c>
      <c r="H170" s="4">
        <f t="shared" si="23"/>
        <v>90</v>
      </c>
      <c r="I170" s="3">
        <f t="shared" si="26"/>
        <v>0</v>
      </c>
      <c r="J170" s="3">
        <f t="shared" si="25"/>
        <v>0</v>
      </c>
      <c r="K170" s="3">
        <f t="shared" si="24"/>
        <v>0</v>
      </c>
      <c r="L170" s="3">
        <f ca="1">IFERROR(MAX(0,$G170-SUMIFS($G$2:$G$349,$A$2:$A$349,$A170,$C$2:$C$349,$C170,$B$2:$B$349,_xludf.MINIFS($B$2:$B$349,$A$2:$A$349,$A170,$C$2:$C$349,$C170))),0)</f>
        <v>1411.43798828125</v>
      </c>
    </row>
    <row r="171" spans="1:12" x14ac:dyDescent="0.2">
      <c r="A171" t="s">
        <v>82</v>
      </c>
      <c r="B171">
        <v>1767073734</v>
      </c>
      <c r="C171" t="s">
        <v>15</v>
      </c>
      <c r="D171" t="s">
        <v>133</v>
      </c>
      <c r="E171" s="3">
        <f t="shared" si="20"/>
        <v>4615.78369140625</v>
      </c>
      <c r="F171" s="3">
        <f t="shared" si="21"/>
        <v>5626.678466796875</v>
      </c>
      <c r="G171" s="3">
        <f t="shared" si="22"/>
        <v>10242.462158203125</v>
      </c>
      <c r="H171" s="4">
        <f t="shared" si="23"/>
        <v>90</v>
      </c>
      <c r="I171" s="3">
        <f t="shared" si="26"/>
        <v>57.220458984375</v>
      </c>
      <c r="J171" s="3">
        <f t="shared" si="25"/>
        <v>0</v>
      </c>
      <c r="K171" s="3">
        <f t="shared" si="24"/>
        <v>57.220458984375</v>
      </c>
      <c r="L171" s="3">
        <f ca="1">IFERROR(MAX(0,$G171-SUMIFS($G$2:$G$349,$A$2:$A$349,$A171,$C$2:$C$349,$C171,$B$2:$B$349,_xludf.MINIFS($B$2:$B$349,$A$2:$A$349,$A171,$C$2:$C$349,$C171))),0)</f>
        <v>10242.462158203125</v>
      </c>
    </row>
    <row r="172" spans="1:12" x14ac:dyDescent="0.2">
      <c r="A172" t="s">
        <v>82</v>
      </c>
      <c r="B172">
        <v>1767073734</v>
      </c>
      <c r="C172" t="s">
        <v>17</v>
      </c>
      <c r="D172" t="s">
        <v>131</v>
      </c>
      <c r="E172" s="3">
        <f t="shared" si="20"/>
        <v>267.02880859375</v>
      </c>
      <c r="F172" s="3">
        <f t="shared" si="21"/>
        <v>432.01446533203125</v>
      </c>
      <c r="G172" s="3">
        <f t="shared" si="22"/>
        <v>699.04327392578125</v>
      </c>
      <c r="H172" s="4">
        <f t="shared" si="23"/>
        <v>90</v>
      </c>
      <c r="I172" s="3">
        <f t="shared" si="26"/>
        <v>0</v>
      </c>
      <c r="J172" s="3">
        <f t="shared" si="25"/>
        <v>0</v>
      </c>
      <c r="K172" s="3">
        <f t="shared" si="24"/>
        <v>0</v>
      </c>
      <c r="L172" s="3">
        <f ca="1">IFERROR(MAX(0,$G172-SUMIFS($G$2:$G$349,$A$2:$A$349,$A172,$C$2:$C$349,$C172,$B$2:$B$349,_xludf.MINIFS($B$2:$B$349,$A$2:$A$349,$A172,$C$2:$C$349,$C172))),0)</f>
        <v>699.04327392578125</v>
      </c>
    </row>
    <row r="173" spans="1:12" x14ac:dyDescent="0.2">
      <c r="A173" t="s">
        <v>82</v>
      </c>
      <c r="B173">
        <v>1767073734</v>
      </c>
      <c r="C173" t="s">
        <v>19</v>
      </c>
      <c r="D173" t="s">
        <v>132</v>
      </c>
      <c r="E173" s="3">
        <f t="shared" si="20"/>
        <v>3185.272216796875</v>
      </c>
      <c r="F173" s="3">
        <f t="shared" si="21"/>
        <v>7848.7396240234375</v>
      </c>
      <c r="G173" s="3">
        <f t="shared" si="22"/>
        <v>11034.011840820312</v>
      </c>
      <c r="H173" s="4">
        <f t="shared" si="23"/>
        <v>90</v>
      </c>
      <c r="I173" s="3">
        <f t="shared" si="26"/>
        <v>0</v>
      </c>
      <c r="J173" s="3">
        <f t="shared" si="25"/>
        <v>0</v>
      </c>
      <c r="K173" s="3">
        <f t="shared" si="24"/>
        <v>0</v>
      </c>
      <c r="L173" s="3">
        <f ca="1">IFERROR(MAX(0,$G173-SUMIFS($G$2:$G$349,$A$2:$A$349,$A173,$C$2:$C$349,$C173,$B$2:$B$349,_xludf.MINIFS($B$2:$B$349,$A$2:$A$349,$A173,$C$2:$C$349,$C173))),0)</f>
        <v>11034.011840820312</v>
      </c>
    </row>
    <row r="174" spans="1:12" x14ac:dyDescent="0.2">
      <c r="A174" t="s">
        <v>82</v>
      </c>
      <c r="B174">
        <v>1767073742</v>
      </c>
      <c r="C174" t="s">
        <v>13</v>
      </c>
      <c r="D174" t="s">
        <v>130</v>
      </c>
      <c r="E174" s="3">
        <f t="shared" si="20"/>
        <v>1077.6519775390625</v>
      </c>
      <c r="F174" s="3">
        <f t="shared" si="21"/>
        <v>333.7860107421875</v>
      </c>
      <c r="G174" s="3">
        <f t="shared" si="22"/>
        <v>1411.43798828125</v>
      </c>
      <c r="H174" s="4">
        <f t="shared" si="23"/>
        <v>95</v>
      </c>
      <c r="I174" s="3">
        <f t="shared" si="26"/>
        <v>0</v>
      </c>
      <c r="J174" s="3">
        <f t="shared" si="25"/>
        <v>0</v>
      </c>
      <c r="K174" s="3">
        <f t="shared" si="24"/>
        <v>0</v>
      </c>
      <c r="L174" s="3">
        <f ca="1">IFERROR(MAX(0,$G174-SUMIFS($G$2:$G$349,$A$2:$A$349,$A174,$C$2:$C$349,$C174,$B$2:$B$349,_xludf.MINIFS($B$2:$B$349,$A$2:$A$349,$A174,$C$2:$C$349,$C174))),0)</f>
        <v>1411.43798828125</v>
      </c>
    </row>
    <row r="175" spans="1:12" x14ac:dyDescent="0.2">
      <c r="A175" t="s">
        <v>82</v>
      </c>
      <c r="B175">
        <v>1767073742</v>
      </c>
      <c r="C175" t="s">
        <v>15</v>
      </c>
      <c r="D175" t="s">
        <v>134</v>
      </c>
      <c r="E175" s="3">
        <f t="shared" si="20"/>
        <v>4663.4674072265625</v>
      </c>
      <c r="F175" s="3">
        <f t="shared" si="21"/>
        <v>5636.2152099609375</v>
      </c>
      <c r="G175" s="3">
        <f t="shared" si="22"/>
        <v>10299.6826171875</v>
      </c>
      <c r="H175" s="4">
        <f t="shared" si="23"/>
        <v>95</v>
      </c>
      <c r="I175" s="3">
        <f t="shared" si="26"/>
        <v>47.6837158203125</v>
      </c>
      <c r="J175" s="3">
        <f t="shared" si="25"/>
        <v>9.5367431640625</v>
      </c>
      <c r="K175" s="3">
        <f t="shared" si="24"/>
        <v>57.220458984375</v>
      </c>
      <c r="L175" s="3">
        <f ca="1">IFERROR(MAX(0,$G175-SUMIFS($G$2:$G$349,$A$2:$A$349,$A175,$C$2:$C$349,$C175,$B$2:$B$349,_xludf.MINIFS($B$2:$B$349,$A$2:$A$349,$A175,$C$2:$C$349,$C175))),0)</f>
        <v>10299.6826171875</v>
      </c>
    </row>
    <row r="176" spans="1:12" x14ac:dyDescent="0.2">
      <c r="A176" t="s">
        <v>82</v>
      </c>
      <c r="B176">
        <v>1767073742</v>
      </c>
      <c r="C176" t="s">
        <v>17</v>
      </c>
      <c r="D176" t="s">
        <v>135</v>
      </c>
      <c r="E176" s="3">
        <f t="shared" si="20"/>
        <v>267.98248291015625</v>
      </c>
      <c r="F176" s="3">
        <f t="shared" si="21"/>
        <v>432.01446533203125</v>
      </c>
      <c r="G176" s="3">
        <f t="shared" si="22"/>
        <v>699.9969482421875</v>
      </c>
      <c r="H176" s="4">
        <f t="shared" si="23"/>
        <v>95</v>
      </c>
      <c r="I176" s="3">
        <f t="shared" si="26"/>
        <v>0.95367431640625</v>
      </c>
      <c r="J176" s="3">
        <f t="shared" si="25"/>
        <v>0</v>
      </c>
      <c r="K176" s="3">
        <f t="shared" si="24"/>
        <v>0.95367431640625</v>
      </c>
      <c r="L176" s="3">
        <f ca="1">IFERROR(MAX(0,$G176-SUMIFS($G$2:$G$349,$A$2:$A$349,$A176,$C$2:$C$349,$C176,$B$2:$B$349,_xludf.MINIFS($B$2:$B$349,$A$2:$A$349,$A176,$C$2:$C$349,$C176))),0)</f>
        <v>699.9969482421875</v>
      </c>
    </row>
    <row r="177" spans="1:12" x14ac:dyDescent="0.2">
      <c r="A177" t="s">
        <v>82</v>
      </c>
      <c r="B177">
        <v>1767073742</v>
      </c>
      <c r="C177" t="s">
        <v>19</v>
      </c>
      <c r="D177" t="s">
        <v>136</v>
      </c>
      <c r="E177" s="3">
        <f t="shared" si="20"/>
        <v>3204.345703125</v>
      </c>
      <c r="F177" s="3">
        <f t="shared" si="21"/>
        <v>7886.8865966796875</v>
      </c>
      <c r="G177" s="3">
        <f t="shared" si="22"/>
        <v>11091.232299804688</v>
      </c>
      <c r="H177" s="4">
        <f t="shared" si="23"/>
        <v>95</v>
      </c>
      <c r="I177" s="3">
        <f t="shared" si="26"/>
        <v>19.073486328125</v>
      </c>
      <c r="J177" s="3">
        <f t="shared" si="25"/>
        <v>38.14697265625</v>
      </c>
      <c r="K177" s="3">
        <f t="shared" si="24"/>
        <v>57.220458984375</v>
      </c>
      <c r="L177" s="3">
        <f ca="1">IFERROR(MAX(0,$G177-SUMIFS($G$2:$G$349,$A$2:$A$349,$A177,$C$2:$C$349,$C177,$B$2:$B$349,_xludf.MINIFS($B$2:$B$349,$A$2:$A$349,$A177,$C$2:$C$349,$C177))),0)</f>
        <v>11091.232299804688</v>
      </c>
    </row>
    <row r="178" spans="1:12" x14ac:dyDescent="0.2">
      <c r="A178" t="s">
        <v>82</v>
      </c>
      <c r="B178">
        <v>1767073750</v>
      </c>
      <c r="C178" t="s">
        <v>13</v>
      </c>
      <c r="D178" t="s">
        <v>130</v>
      </c>
      <c r="E178" s="3">
        <f t="shared" si="20"/>
        <v>1077.6519775390625</v>
      </c>
      <c r="F178" s="3">
        <f t="shared" si="21"/>
        <v>333.7860107421875</v>
      </c>
      <c r="G178" s="3">
        <f t="shared" si="22"/>
        <v>1411.43798828125</v>
      </c>
      <c r="H178" s="4">
        <f t="shared" si="23"/>
        <v>100</v>
      </c>
      <c r="I178" s="3">
        <f t="shared" si="26"/>
        <v>0</v>
      </c>
      <c r="J178" s="3">
        <f t="shared" si="25"/>
        <v>0</v>
      </c>
      <c r="K178" s="3">
        <f t="shared" si="24"/>
        <v>0</v>
      </c>
      <c r="L178" s="3">
        <f ca="1">IFERROR(MAX(0,$G178-SUMIFS($G$2:$G$349,$A$2:$A$349,$A178,$C$2:$C$349,$C178,$B$2:$B$349,_xludf.MINIFS($B$2:$B$349,$A$2:$A$349,$A178,$C$2:$C$349,$C178))),0)</f>
        <v>1411.43798828125</v>
      </c>
    </row>
    <row r="179" spans="1:12" x14ac:dyDescent="0.2">
      <c r="A179" t="s">
        <v>82</v>
      </c>
      <c r="B179">
        <v>1767073750</v>
      </c>
      <c r="C179" t="s">
        <v>15</v>
      </c>
      <c r="D179" t="s">
        <v>137</v>
      </c>
      <c r="E179" s="3">
        <f t="shared" si="20"/>
        <v>4692.07763671875</v>
      </c>
      <c r="F179" s="3">
        <f t="shared" si="21"/>
        <v>5636.2152099609375</v>
      </c>
      <c r="G179" s="3">
        <f t="shared" si="22"/>
        <v>10328.292846679688</v>
      </c>
      <c r="H179" s="4">
        <f t="shared" si="23"/>
        <v>100</v>
      </c>
      <c r="I179" s="3">
        <f t="shared" si="26"/>
        <v>28.6102294921875</v>
      </c>
      <c r="J179" s="3">
        <f t="shared" si="25"/>
        <v>0</v>
      </c>
      <c r="K179" s="3">
        <f t="shared" si="24"/>
        <v>28.6102294921875</v>
      </c>
      <c r="L179" s="3">
        <f ca="1">IFERROR(MAX(0,$G179-SUMIFS($G$2:$G$349,$A$2:$A$349,$A179,$C$2:$C$349,$C179,$B$2:$B$349,_xludf.MINIFS($B$2:$B$349,$A$2:$A$349,$A179,$C$2:$C$349,$C179))),0)</f>
        <v>10328.292846679688</v>
      </c>
    </row>
    <row r="180" spans="1:12" x14ac:dyDescent="0.2">
      <c r="A180" t="s">
        <v>82</v>
      </c>
      <c r="B180">
        <v>1767073750</v>
      </c>
      <c r="C180" t="s">
        <v>17</v>
      </c>
      <c r="D180" t="s">
        <v>135</v>
      </c>
      <c r="E180" s="3">
        <f t="shared" si="20"/>
        <v>267.98248291015625</v>
      </c>
      <c r="F180" s="3">
        <f t="shared" si="21"/>
        <v>432.01446533203125</v>
      </c>
      <c r="G180" s="3">
        <f t="shared" si="22"/>
        <v>699.9969482421875</v>
      </c>
      <c r="H180" s="4">
        <f t="shared" si="23"/>
        <v>100</v>
      </c>
      <c r="I180" s="3">
        <f t="shared" si="26"/>
        <v>0</v>
      </c>
      <c r="J180" s="3">
        <f t="shared" si="25"/>
        <v>0</v>
      </c>
      <c r="K180" s="3">
        <f t="shared" si="24"/>
        <v>0</v>
      </c>
      <c r="L180" s="3">
        <f ca="1">IFERROR(MAX(0,$G180-SUMIFS($G$2:$G$349,$A$2:$A$349,$A180,$C$2:$C$349,$C180,$B$2:$B$349,_xludf.MINIFS($B$2:$B$349,$A$2:$A$349,$A180,$C$2:$C$349,$C180))),0)</f>
        <v>699.9969482421875</v>
      </c>
    </row>
    <row r="181" spans="1:12" x14ac:dyDescent="0.2">
      <c r="A181" t="s">
        <v>82</v>
      </c>
      <c r="B181">
        <v>1767073750</v>
      </c>
      <c r="C181" t="s">
        <v>19</v>
      </c>
      <c r="D181" t="s">
        <v>138</v>
      </c>
      <c r="E181" s="3">
        <f t="shared" si="20"/>
        <v>3204.345703125</v>
      </c>
      <c r="F181" s="3">
        <f t="shared" si="21"/>
        <v>8039.4744873046875</v>
      </c>
      <c r="G181" s="3">
        <f t="shared" si="22"/>
        <v>11243.820190429688</v>
      </c>
      <c r="H181" s="4">
        <f t="shared" si="23"/>
        <v>100</v>
      </c>
      <c r="I181" s="3">
        <f t="shared" si="26"/>
        <v>0</v>
      </c>
      <c r="J181" s="3">
        <f t="shared" si="25"/>
        <v>152.587890625</v>
      </c>
      <c r="K181" s="3">
        <f t="shared" si="24"/>
        <v>152.587890625</v>
      </c>
      <c r="L181" s="3">
        <f ca="1">IFERROR(MAX(0,$G181-SUMIFS($G$2:$G$349,$A$2:$A$349,$A181,$C$2:$C$349,$C181,$B$2:$B$349,_xludf.MINIFS($B$2:$B$349,$A$2:$A$349,$A181,$C$2:$C$349,$C181))),0)</f>
        <v>11243.820190429688</v>
      </c>
    </row>
    <row r="182" spans="1:12" x14ac:dyDescent="0.2">
      <c r="A182" t="s">
        <v>82</v>
      </c>
      <c r="B182">
        <v>1767073757</v>
      </c>
      <c r="C182" t="s">
        <v>13</v>
      </c>
      <c r="D182" t="s">
        <v>130</v>
      </c>
      <c r="E182" s="3">
        <f t="shared" si="20"/>
        <v>1077.6519775390625</v>
      </c>
      <c r="F182" s="3">
        <f t="shared" si="21"/>
        <v>333.7860107421875</v>
      </c>
      <c r="G182" s="3">
        <f t="shared" si="22"/>
        <v>1411.43798828125</v>
      </c>
      <c r="H182" s="4">
        <f t="shared" si="23"/>
        <v>105</v>
      </c>
      <c r="I182" s="3">
        <f t="shared" si="26"/>
        <v>0</v>
      </c>
      <c r="J182" s="3">
        <f t="shared" si="25"/>
        <v>0</v>
      </c>
      <c r="K182" s="3">
        <f t="shared" si="24"/>
        <v>0</v>
      </c>
      <c r="L182" s="3">
        <f ca="1">IFERROR(MAX(0,$G182-SUMIFS($G$2:$G$349,$A$2:$A$349,$A182,$C$2:$C$349,$C182,$B$2:$B$349,_xludf.MINIFS($B$2:$B$349,$A$2:$A$349,$A182,$C$2:$C$349,$C182))),0)</f>
        <v>1411.43798828125</v>
      </c>
    </row>
    <row r="183" spans="1:12" x14ac:dyDescent="0.2">
      <c r="A183" t="s">
        <v>82</v>
      </c>
      <c r="B183">
        <v>1767073757</v>
      </c>
      <c r="C183" t="s">
        <v>15</v>
      </c>
      <c r="D183" t="s">
        <v>137</v>
      </c>
      <c r="E183" s="3">
        <f t="shared" si="20"/>
        <v>4692.07763671875</v>
      </c>
      <c r="F183" s="3">
        <f t="shared" si="21"/>
        <v>5636.2152099609375</v>
      </c>
      <c r="G183" s="3">
        <f t="shared" si="22"/>
        <v>10328.292846679688</v>
      </c>
      <c r="H183" s="4">
        <f t="shared" si="23"/>
        <v>105</v>
      </c>
      <c r="I183" s="3">
        <f t="shared" si="26"/>
        <v>0</v>
      </c>
      <c r="J183" s="3">
        <f t="shared" si="25"/>
        <v>0</v>
      </c>
      <c r="K183" s="3">
        <f t="shared" si="24"/>
        <v>0</v>
      </c>
      <c r="L183" s="3">
        <f ca="1">IFERROR(MAX(0,$G183-SUMIFS($G$2:$G$349,$A$2:$A$349,$A183,$C$2:$C$349,$C183,$B$2:$B$349,_xludf.MINIFS($B$2:$B$349,$A$2:$A$349,$A183,$C$2:$C$349,$C183))),0)</f>
        <v>10328.292846679688</v>
      </c>
    </row>
    <row r="184" spans="1:12" x14ac:dyDescent="0.2">
      <c r="A184" t="s">
        <v>82</v>
      </c>
      <c r="B184">
        <v>1767073757</v>
      </c>
      <c r="C184" t="s">
        <v>17</v>
      </c>
      <c r="D184" t="s">
        <v>139</v>
      </c>
      <c r="E184" s="3">
        <f t="shared" si="20"/>
        <v>268.9361572265625</v>
      </c>
      <c r="F184" s="3">
        <f t="shared" si="21"/>
        <v>432.01446533203125</v>
      </c>
      <c r="G184" s="3">
        <f t="shared" si="22"/>
        <v>700.95062255859375</v>
      </c>
      <c r="H184" s="4">
        <f t="shared" si="23"/>
        <v>105</v>
      </c>
      <c r="I184" s="3">
        <f t="shared" si="26"/>
        <v>0.95367431640625</v>
      </c>
      <c r="J184" s="3">
        <f t="shared" si="25"/>
        <v>0</v>
      </c>
      <c r="K184" s="3">
        <f t="shared" si="24"/>
        <v>0.95367431640625</v>
      </c>
      <c r="L184" s="3">
        <f ca="1">IFERROR(MAX(0,$G184-SUMIFS($G$2:$G$349,$A$2:$A$349,$A184,$C$2:$C$349,$C184,$B$2:$B$349,_xludf.MINIFS($B$2:$B$349,$A$2:$A$349,$A184,$C$2:$C$349,$C184))),0)</f>
        <v>700.95062255859375</v>
      </c>
    </row>
    <row r="185" spans="1:12" x14ac:dyDescent="0.2">
      <c r="A185" t="s">
        <v>82</v>
      </c>
      <c r="B185">
        <v>1767073757</v>
      </c>
      <c r="C185" t="s">
        <v>19</v>
      </c>
      <c r="D185" t="s">
        <v>140</v>
      </c>
      <c r="E185" s="3">
        <f t="shared" si="20"/>
        <v>3232.9559326171875</v>
      </c>
      <c r="F185" s="3">
        <f t="shared" si="21"/>
        <v>8115.7684326171875</v>
      </c>
      <c r="G185" s="3">
        <f t="shared" si="22"/>
        <v>11348.724365234375</v>
      </c>
      <c r="H185" s="4">
        <f t="shared" si="23"/>
        <v>105</v>
      </c>
      <c r="I185" s="3">
        <f t="shared" si="26"/>
        <v>28.6102294921875</v>
      </c>
      <c r="J185" s="3">
        <f t="shared" si="25"/>
        <v>76.2939453125</v>
      </c>
      <c r="K185" s="3">
        <f t="shared" si="24"/>
        <v>104.9041748046875</v>
      </c>
      <c r="L185" s="3">
        <f ca="1">IFERROR(MAX(0,$G185-SUMIFS($G$2:$G$349,$A$2:$A$349,$A185,$C$2:$C$349,$C185,$B$2:$B$349,_xludf.MINIFS($B$2:$B$349,$A$2:$A$349,$A185,$C$2:$C$349,$C185))),0)</f>
        <v>11348.724365234375</v>
      </c>
    </row>
    <row r="186" spans="1:12" x14ac:dyDescent="0.2">
      <c r="A186" t="s">
        <v>82</v>
      </c>
      <c r="B186">
        <v>1767073764</v>
      </c>
      <c r="C186" t="s">
        <v>13</v>
      </c>
      <c r="D186" t="s">
        <v>130</v>
      </c>
      <c r="E186" s="3">
        <f t="shared" si="20"/>
        <v>1077.6519775390625</v>
      </c>
      <c r="F186" s="3">
        <f t="shared" si="21"/>
        <v>333.7860107421875</v>
      </c>
      <c r="G186" s="3">
        <f t="shared" si="22"/>
        <v>1411.43798828125</v>
      </c>
      <c r="H186" s="4">
        <f t="shared" si="23"/>
        <v>110</v>
      </c>
      <c r="I186" s="3">
        <f t="shared" si="26"/>
        <v>0</v>
      </c>
      <c r="J186" s="3">
        <f t="shared" si="25"/>
        <v>0</v>
      </c>
      <c r="K186" s="3">
        <f t="shared" si="24"/>
        <v>0</v>
      </c>
      <c r="L186" s="3">
        <f ca="1">IFERROR(MAX(0,$G186-SUMIFS($G$2:$G$349,$A$2:$A$349,$A186,$C$2:$C$349,$C186,$B$2:$B$349,_xludf.MINIFS($B$2:$B$349,$A$2:$A$349,$A186,$C$2:$C$349,$C186))),0)</f>
        <v>1411.43798828125</v>
      </c>
    </row>
    <row r="187" spans="1:12" x14ac:dyDescent="0.2">
      <c r="A187" t="s">
        <v>82</v>
      </c>
      <c r="B187">
        <v>1767073764</v>
      </c>
      <c r="C187" t="s">
        <v>15</v>
      </c>
      <c r="D187" t="s">
        <v>141</v>
      </c>
      <c r="E187" s="3">
        <f t="shared" si="20"/>
        <v>4758.8348388671875</v>
      </c>
      <c r="F187" s="3">
        <f t="shared" si="21"/>
        <v>5636.2152099609375</v>
      </c>
      <c r="G187" s="3">
        <f t="shared" si="22"/>
        <v>10395.050048828125</v>
      </c>
      <c r="H187" s="4">
        <f t="shared" si="23"/>
        <v>110</v>
      </c>
      <c r="I187" s="3">
        <f t="shared" si="26"/>
        <v>66.7572021484375</v>
      </c>
      <c r="J187" s="3">
        <f t="shared" si="25"/>
        <v>0</v>
      </c>
      <c r="K187" s="3">
        <f t="shared" si="24"/>
        <v>66.7572021484375</v>
      </c>
      <c r="L187" s="3">
        <f ca="1">IFERROR(MAX(0,$G187-SUMIFS($G$2:$G$349,$A$2:$A$349,$A187,$C$2:$C$349,$C187,$B$2:$B$349,_xludf.MINIFS($B$2:$B$349,$A$2:$A$349,$A187,$C$2:$C$349,$C187))),0)</f>
        <v>10395.050048828125</v>
      </c>
    </row>
    <row r="188" spans="1:12" x14ac:dyDescent="0.2">
      <c r="A188" t="s">
        <v>82</v>
      </c>
      <c r="B188">
        <v>1767073764</v>
      </c>
      <c r="C188" t="s">
        <v>17</v>
      </c>
      <c r="D188" t="s">
        <v>139</v>
      </c>
      <c r="E188" s="3">
        <f t="shared" si="20"/>
        <v>268.9361572265625</v>
      </c>
      <c r="F188" s="3">
        <f t="shared" si="21"/>
        <v>432.01446533203125</v>
      </c>
      <c r="G188" s="3">
        <f t="shared" si="22"/>
        <v>700.95062255859375</v>
      </c>
      <c r="H188" s="4">
        <f t="shared" si="23"/>
        <v>110</v>
      </c>
      <c r="I188" s="3">
        <f t="shared" si="26"/>
        <v>0</v>
      </c>
      <c r="J188" s="3">
        <f t="shared" si="25"/>
        <v>0</v>
      </c>
      <c r="K188" s="3">
        <f t="shared" si="24"/>
        <v>0</v>
      </c>
      <c r="L188" s="3">
        <f ca="1">IFERROR(MAX(0,$G188-SUMIFS($G$2:$G$349,$A$2:$A$349,$A188,$C$2:$C$349,$C188,$B$2:$B$349,_xludf.MINIFS($B$2:$B$349,$A$2:$A$349,$A188,$C$2:$C$349,$C188))),0)</f>
        <v>700.95062255859375</v>
      </c>
    </row>
    <row r="189" spans="1:12" x14ac:dyDescent="0.2">
      <c r="A189" t="s">
        <v>82</v>
      </c>
      <c r="B189">
        <v>1767073764</v>
      </c>
      <c r="C189" t="s">
        <v>19</v>
      </c>
      <c r="D189" t="s">
        <v>140</v>
      </c>
      <c r="E189" s="3">
        <f t="shared" si="20"/>
        <v>3232.9559326171875</v>
      </c>
      <c r="F189" s="3">
        <f t="shared" si="21"/>
        <v>8115.7684326171875</v>
      </c>
      <c r="G189" s="3">
        <f t="shared" si="22"/>
        <v>11348.724365234375</v>
      </c>
      <c r="H189" s="4">
        <f t="shared" si="23"/>
        <v>110</v>
      </c>
      <c r="I189" s="3">
        <f t="shared" si="26"/>
        <v>0</v>
      </c>
      <c r="J189" s="3">
        <f t="shared" si="25"/>
        <v>0</v>
      </c>
      <c r="K189" s="3">
        <f t="shared" si="24"/>
        <v>0</v>
      </c>
      <c r="L189" s="3">
        <f ca="1">IFERROR(MAX(0,$G189-SUMIFS($G$2:$G$349,$A$2:$A$349,$A189,$C$2:$C$349,$C189,$B$2:$B$349,_xludf.MINIFS($B$2:$B$349,$A$2:$A$349,$A189,$C$2:$C$349,$C189))),0)</f>
        <v>11348.724365234375</v>
      </c>
    </row>
    <row r="190" spans="1:12" x14ac:dyDescent="0.2">
      <c r="A190" t="s">
        <v>82</v>
      </c>
      <c r="B190">
        <v>1767073772</v>
      </c>
      <c r="C190" t="s">
        <v>13</v>
      </c>
      <c r="D190" t="s">
        <v>142</v>
      </c>
      <c r="E190" s="3">
        <f t="shared" si="20"/>
        <v>1077.6519775390625</v>
      </c>
      <c r="F190" s="3">
        <f t="shared" si="21"/>
        <v>339.508056640625</v>
      </c>
      <c r="G190" s="3">
        <f t="shared" si="22"/>
        <v>1417.1600341796875</v>
      </c>
      <c r="H190" s="4">
        <f t="shared" si="23"/>
        <v>115</v>
      </c>
      <c r="I190" s="3">
        <f t="shared" si="26"/>
        <v>0</v>
      </c>
      <c r="J190" s="3">
        <f t="shared" si="25"/>
        <v>5.7220458984375</v>
      </c>
      <c r="K190" s="3">
        <f t="shared" si="24"/>
        <v>5.7220458984375</v>
      </c>
      <c r="L190" s="3">
        <f ca="1">IFERROR(MAX(0,$G190-SUMIFS($G$2:$G$349,$A$2:$A$349,$A190,$C$2:$C$349,$C190,$B$2:$B$349,_xludf.MINIFS($B$2:$B$349,$A$2:$A$349,$A190,$C$2:$C$349,$C190))),0)</f>
        <v>1417.1600341796875</v>
      </c>
    </row>
    <row r="191" spans="1:12" x14ac:dyDescent="0.2">
      <c r="A191" t="s">
        <v>82</v>
      </c>
      <c r="B191">
        <v>1767073772</v>
      </c>
      <c r="C191" t="s">
        <v>15</v>
      </c>
      <c r="D191" t="s">
        <v>143</v>
      </c>
      <c r="E191" s="3">
        <f t="shared" si="20"/>
        <v>4825.592041015625</v>
      </c>
      <c r="F191" s="3">
        <f t="shared" si="21"/>
        <v>5636.2152099609375</v>
      </c>
      <c r="G191" s="3">
        <f t="shared" si="22"/>
        <v>10461.807250976562</v>
      </c>
      <c r="H191" s="4">
        <f t="shared" si="23"/>
        <v>115</v>
      </c>
      <c r="I191" s="3">
        <f t="shared" si="26"/>
        <v>66.7572021484375</v>
      </c>
      <c r="J191" s="3">
        <f t="shared" si="25"/>
        <v>0</v>
      </c>
      <c r="K191" s="3">
        <f t="shared" si="24"/>
        <v>66.7572021484375</v>
      </c>
      <c r="L191" s="3">
        <f ca="1">IFERROR(MAX(0,$G191-SUMIFS($G$2:$G$349,$A$2:$A$349,$A191,$C$2:$C$349,$C191,$B$2:$B$349,_xludf.MINIFS($B$2:$B$349,$A$2:$A$349,$A191,$C$2:$C$349,$C191))),0)</f>
        <v>10461.807250976562</v>
      </c>
    </row>
    <row r="192" spans="1:12" x14ac:dyDescent="0.2">
      <c r="A192" t="s">
        <v>82</v>
      </c>
      <c r="B192">
        <v>1767073772</v>
      </c>
      <c r="C192" t="s">
        <v>17</v>
      </c>
      <c r="D192" t="s">
        <v>144</v>
      </c>
      <c r="E192" s="3">
        <f t="shared" si="20"/>
        <v>268.9361572265625</v>
      </c>
      <c r="F192" s="3">
        <f t="shared" si="21"/>
        <v>432.9681396484375</v>
      </c>
      <c r="G192" s="3">
        <f t="shared" si="22"/>
        <v>701.904296875</v>
      </c>
      <c r="H192" s="4">
        <f t="shared" si="23"/>
        <v>115</v>
      </c>
      <c r="I192" s="3">
        <f t="shared" si="26"/>
        <v>0</v>
      </c>
      <c r="J192" s="3">
        <f t="shared" si="25"/>
        <v>0.95367431640625</v>
      </c>
      <c r="K192" s="3">
        <f t="shared" si="24"/>
        <v>0.95367431640625</v>
      </c>
      <c r="L192" s="3">
        <f ca="1">IFERROR(MAX(0,$G192-SUMIFS($G$2:$G$349,$A$2:$A$349,$A192,$C$2:$C$349,$C192,$B$2:$B$349,_xludf.MINIFS($B$2:$B$349,$A$2:$A$349,$A192,$C$2:$C$349,$C192))),0)</f>
        <v>701.904296875</v>
      </c>
    </row>
    <row r="193" spans="1:12" x14ac:dyDescent="0.2">
      <c r="A193" t="s">
        <v>82</v>
      </c>
      <c r="B193">
        <v>1767073772</v>
      </c>
      <c r="C193" t="s">
        <v>19</v>
      </c>
      <c r="D193" t="s">
        <v>145</v>
      </c>
      <c r="E193" s="3">
        <f t="shared" si="20"/>
        <v>3232.9559326171875</v>
      </c>
      <c r="F193" s="3">
        <f t="shared" si="21"/>
        <v>8192.0623779296875</v>
      </c>
      <c r="G193" s="3">
        <f t="shared" si="22"/>
        <v>11425.018310546875</v>
      </c>
      <c r="H193" s="4">
        <f t="shared" si="23"/>
        <v>115</v>
      </c>
      <c r="I193" s="3">
        <f t="shared" si="26"/>
        <v>0</v>
      </c>
      <c r="J193" s="3">
        <f t="shared" si="25"/>
        <v>76.2939453125</v>
      </c>
      <c r="K193" s="3">
        <f t="shared" si="24"/>
        <v>76.2939453125</v>
      </c>
      <c r="L193" s="3">
        <f ca="1">IFERROR(MAX(0,$G193-SUMIFS($G$2:$G$349,$A$2:$A$349,$A193,$C$2:$C$349,$C193,$B$2:$B$349,_xludf.MINIFS($B$2:$B$349,$A$2:$A$349,$A193,$C$2:$C$349,$C193))),0)</f>
        <v>11425.018310546875</v>
      </c>
    </row>
    <row r="194" spans="1:12" x14ac:dyDescent="0.2">
      <c r="A194" t="s">
        <v>82</v>
      </c>
      <c r="B194">
        <v>1767073779</v>
      </c>
      <c r="C194" t="s">
        <v>13</v>
      </c>
      <c r="D194" t="s">
        <v>142</v>
      </c>
      <c r="E194" s="3">
        <f t="shared" ref="E194:E257" si="27">IFERROR(IF(RIGHT(TRIM(LEFT($D194,FIND("/",$D194)-1)),2)="kB",VALUE(LEFT(TRIM(LEFT($D194,FIND("/",$D194)-1)),LEN(TRIM(LEFT($D194,FIND("/",$D194)-1)))-2))*1000/1024/1024,IF(RIGHT(TRIM(LEFT($D194,FIND("/",$D194)-1)),2)="MB",VALUE(LEFT(TRIM(LEFT($D194,FIND("/",$D194)-1)),LEN(TRIM(LEFT($D194,FIND("/",$D194)-1)))-2))*1000000/1024/1024,IF(RIGHT(TRIM(LEFT($D194,FIND("/",$D194)-1)),2)="GB",VALUE(LEFT(TRIM(LEFT($D194,FIND("/",$D194)-1)),LEN(TRIM(LEFT($D194,FIND("/",$D194)-1)))-2))*1000000000/1024/1024,""))),"")</f>
        <v>1077.6519775390625</v>
      </c>
      <c r="F194" s="3">
        <f t="shared" ref="F194:F257" si="28">IFERROR(IF(RIGHT(TRIM(MID($D194,FIND("/",$D194)+1,999)),2)="kB",VALUE(LEFT(TRIM(MID($D194,FIND("/",$D194)+1,999)),LEN(TRIM(MID($D194,FIND("/",$D194)+1,999)))-2))*1000/1024/1024,IF(RIGHT(TRIM(MID($D194,FIND("/",$D194)+1,999)),2)="MB",VALUE(LEFT(TRIM(MID($D194,FIND("/",$D194)+1,999)),LEN(TRIM(MID($D194,FIND("/",$D194)+1,999)))-2))*1000000/1024/1024,IF(RIGHT(TRIM(MID($D194,FIND("/",$D194)+1,999)),2)="GB",VALUE(LEFT(TRIM(MID($D194,FIND("/",$D194)+1,999)),LEN(TRIM(MID($D194,FIND("/",$D194)+1,999)))-2))*1000000000/1024/1024,""))),"")</f>
        <v>339.508056640625</v>
      </c>
      <c r="G194" s="3">
        <f t="shared" ref="G194:G257" si="29">IFERROR($E194+$F194,"")</f>
        <v>1417.1600341796875</v>
      </c>
      <c r="H194" s="4">
        <f t="shared" ref="H194:H257" si="30">IF($A194&lt;&gt;$A193,0,IF($B194=$B193,$H193,$H193+5))</f>
        <v>120</v>
      </c>
      <c r="I194" s="3">
        <f t="shared" si="26"/>
        <v>0</v>
      </c>
      <c r="J194" s="3">
        <f t="shared" si="25"/>
        <v>0</v>
      </c>
      <c r="K194" s="3">
        <f t="shared" si="24"/>
        <v>0</v>
      </c>
      <c r="L194" s="3">
        <f ca="1">IFERROR(MAX(0,$G194-SUMIFS($G$2:$G$349,$A$2:$A$349,$A194,$C$2:$C$349,$C194,$B$2:$B$349,_xludf.MINIFS($B$2:$B$349,$A$2:$A$349,$A194,$C$2:$C$349,$C194))),0)</f>
        <v>1417.1600341796875</v>
      </c>
    </row>
    <row r="195" spans="1:12" x14ac:dyDescent="0.2">
      <c r="A195" t="s">
        <v>82</v>
      </c>
      <c r="B195">
        <v>1767073779</v>
      </c>
      <c r="C195" t="s">
        <v>15</v>
      </c>
      <c r="D195" t="s">
        <v>143</v>
      </c>
      <c r="E195" s="3">
        <f t="shared" si="27"/>
        <v>4825.592041015625</v>
      </c>
      <c r="F195" s="3">
        <f t="shared" si="28"/>
        <v>5636.2152099609375</v>
      </c>
      <c r="G195" s="3">
        <f t="shared" si="29"/>
        <v>10461.807250976562</v>
      </c>
      <c r="H195" s="4">
        <f t="shared" si="30"/>
        <v>120</v>
      </c>
      <c r="I195" s="3">
        <f t="shared" si="26"/>
        <v>0</v>
      </c>
      <c r="J195" s="3">
        <f t="shared" si="25"/>
        <v>0</v>
      </c>
      <c r="K195" s="3">
        <f t="shared" ref="K195:K258" si="31">IF($B195=_xlfn.MINIFS($B$2:$B$349,$A$2:$A$349,$A195,$C$2:$C$349,$C195),0,IFERROR(MAX(0,$G195-SUMIFS($G$2:$G$349,$A$2:$A$349,$A195,$C$2:$C$349,$C195,$B$2:$B$349,_xlfn.MAXIFS($B$2:$B$349,$A$2:$A$349,$A195,$C$2:$C$349,$C195,$B$2:$B$349,"&lt;"&amp;$B195))),0))</f>
        <v>0</v>
      </c>
      <c r="L195" s="3">
        <f ca="1">IFERROR(MAX(0,$G195-SUMIFS($G$2:$G$349,$A$2:$A$349,$A195,$C$2:$C$349,$C195,$B$2:$B$349,_xludf.MINIFS($B$2:$B$349,$A$2:$A$349,$A195,$C$2:$C$349,$C195))),0)</f>
        <v>10461.807250976562</v>
      </c>
    </row>
    <row r="196" spans="1:12" x14ac:dyDescent="0.2">
      <c r="A196" t="s">
        <v>82</v>
      </c>
      <c r="B196">
        <v>1767073779</v>
      </c>
      <c r="C196" t="s">
        <v>17</v>
      </c>
      <c r="D196" t="s">
        <v>146</v>
      </c>
      <c r="E196" s="3">
        <f t="shared" si="27"/>
        <v>269.88983154296875</v>
      </c>
      <c r="F196" s="3">
        <f t="shared" si="28"/>
        <v>432.9681396484375</v>
      </c>
      <c r="G196" s="3">
        <f t="shared" si="29"/>
        <v>702.85797119140625</v>
      </c>
      <c r="H196" s="4">
        <f t="shared" si="30"/>
        <v>120</v>
      </c>
      <c r="I196" s="3">
        <f t="shared" si="26"/>
        <v>0.95367431640625</v>
      </c>
      <c r="J196" s="3">
        <f t="shared" si="25"/>
        <v>0</v>
      </c>
      <c r="K196" s="3">
        <f t="shared" si="31"/>
        <v>0.95367431640625</v>
      </c>
      <c r="L196" s="3">
        <f ca="1">IFERROR(MAX(0,$G196-SUMIFS($G$2:$G$349,$A$2:$A$349,$A196,$C$2:$C$349,$C196,$B$2:$B$349,_xludf.MINIFS($B$2:$B$349,$A$2:$A$349,$A196,$C$2:$C$349,$C196))),0)</f>
        <v>702.85797119140625</v>
      </c>
    </row>
    <row r="197" spans="1:12" x14ac:dyDescent="0.2">
      <c r="A197" t="s">
        <v>82</v>
      </c>
      <c r="B197">
        <v>1767073779</v>
      </c>
      <c r="C197" t="s">
        <v>19</v>
      </c>
      <c r="D197" t="s">
        <v>147</v>
      </c>
      <c r="E197" s="3">
        <f t="shared" si="27"/>
        <v>3242.49267578125</v>
      </c>
      <c r="F197" s="3">
        <f t="shared" si="28"/>
        <v>8306.5032958984375</v>
      </c>
      <c r="G197" s="3">
        <f t="shared" si="29"/>
        <v>11548.995971679688</v>
      </c>
      <c r="H197" s="4">
        <f t="shared" si="30"/>
        <v>120</v>
      </c>
      <c r="I197" s="3">
        <f t="shared" si="26"/>
        <v>9.5367431640625</v>
      </c>
      <c r="J197" s="3">
        <f t="shared" si="25"/>
        <v>114.44091796875</v>
      </c>
      <c r="K197" s="3">
        <f t="shared" si="31"/>
        <v>123.9776611328125</v>
      </c>
      <c r="L197" s="3">
        <f ca="1">IFERROR(MAX(0,$G197-SUMIFS($G$2:$G$349,$A$2:$A$349,$A197,$C$2:$C$349,$C197,$B$2:$B$349,_xludf.MINIFS($B$2:$B$349,$A$2:$A$349,$A197,$C$2:$C$349,$C197))),0)</f>
        <v>11548.995971679688</v>
      </c>
    </row>
    <row r="198" spans="1:12" x14ac:dyDescent="0.2">
      <c r="A198" t="s">
        <v>82</v>
      </c>
      <c r="B198">
        <v>1767073787</v>
      </c>
      <c r="C198" t="s">
        <v>13</v>
      </c>
      <c r="D198" t="s">
        <v>142</v>
      </c>
      <c r="E198" s="3">
        <f t="shared" si="27"/>
        <v>1077.6519775390625</v>
      </c>
      <c r="F198" s="3">
        <f t="shared" si="28"/>
        <v>339.508056640625</v>
      </c>
      <c r="G198" s="3">
        <f t="shared" si="29"/>
        <v>1417.1600341796875</v>
      </c>
      <c r="H198" s="4">
        <f t="shared" si="30"/>
        <v>125</v>
      </c>
      <c r="I198" s="3">
        <f t="shared" si="26"/>
        <v>0</v>
      </c>
      <c r="J198" s="3">
        <f t="shared" si="25"/>
        <v>0</v>
      </c>
      <c r="K198" s="3">
        <f t="shared" si="31"/>
        <v>0</v>
      </c>
      <c r="L198" s="3">
        <f ca="1">IFERROR(MAX(0,$G198-SUMIFS($G$2:$G$349,$A$2:$A$349,$A198,$C$2:$C$349,$C198,$B$2:$B$349,_xludf.MINIFS($B$2:$B$349,$A$2:$A$349,$A198,$C$2:$C$349,$C198))),0)</f>
        <v>1417.1600341796875</v>
      </c>
    </row>
    <row r="199" spans="1:12" x14ac:dyDescent="0.2">
      <c r="A199" t="s">
        <v>82</v>
      </c>
      <c r="B199">
        <v>1767073787</v>
      </c>
      <c r="C199" t="s">
        <v>15</v>
      </c>
      <c r="D199" t="s">
        <v>148</v>
      </c>
      <c r="E199" s="3">
        <f t="shared" si="27"/>
        <v>4901.885986328125</v>
      </c>
      <c r="F199" s="3">
        <f t="shared" si="28"/>
        <v>5636.2152099609375</v>
      </c>
      <c r="G199" s="3">
        <f t="shared" si="29"/>
        <v>10538.101196289062</v>
      </c>
      <c r="H199" s="4">
        <f t="shared" si="30"/>
        <v>125</v>
      </c>
      <c r="I199" s="3">
        <f t="shared" si="26"/>
        <v>76.2939453125</v>
      </c>
      <c r="J199" s="3">
        <f t="shared" si="25"/>
        <v>0</v>
      </c>
      <c r="K199" s="3">
        <f t="shared" si="31"/>
        <v>76.2939453125</v>
      </c>
      <c r="L199" s="3">
        <f ca="1">IFERROR(MAX(0,$G199-SUMIFS($G$2:$G$349,$A$2:$A$349,$A199,$C$2:$C$349,$C199,$B$2:$B$349,_xludf.MINIFS($B$2:$B$349,$A$2:$A$349,$A199,$C$2:$C$349,$C199))),0)</f>
        <v>10538.101196289062</v>
      </c>
    </row>
    <row r="200" spans="1:12" x14ac:dyDescent="0.2">
      <c r="A200" t="s">
        <v>82</v>
      </c>
      <c r="B200">
        <v>1767073787</v>
      </c>
      <c r="C200" t="s">
        <v>17</v>
      </c>
      <c r="D200" t="s">
        <v>146</v>
      </c>
      <c r="E200" s="3">
        <f t="shared" si="27"/>
        <v>269.88983154296875</v>
      </c>
      <c r="F200" s="3">
        <f t="shared" si="28"/>
        <v>432.9681396484375</v>
      </c>
      <c r="G200" s="3">
        <f t="shared" si="29"/>
        <v>702.85797119140625</v>
      </c>
      <c r="H200" s="4">
        <f t="shared" si="30"/>
        <v>125</v>
      </c>
      <c r="I200" s="3">
        <f t="shared" si="26"/>
        <v>0</v>
      </c>
      <c r="J200" s="3">
        <f t="shared" si="25"/>
        <v>0</v>
      </c>
      <c r="K200" s="3">
        <f t="shared" si="31"/>
        <v>0</v>
      </c>
      <c r="L200" s="3">
        <f ca="1">IFERROR(MAX(0,$G200-SUMIFS($G$2:$G$349,$A$2:$A$349,$A200,$C$2:$C$349,$C200,$B$2:$B$349,_xludf.MINIFS($B$2:$B$349,$A$2:$A$349,$A200,$C$2:$C$349,$C200))),0)</f>
        <v>702.85797119140625</v>
      </c>
    </row>
    <row r="201" spans="1:12" x14ac:dyDescent="0.2">
      <c r="A201" t="s">
        <v>82</v>
      </c>
      <c r="B201">
        <v>1767073787</v>
      </c>
      <c r="C201" t="s">
        <v>19</v>
      </c>
      <c r="D201" t="s">
        <v>149</v>
      </c>
      <c r="E201" s="3">
        <f t="shared" si="27"/>
        <v>3261.566162109375</v>
      </c>
      <c r="F201" s="3">
        <f t="shared" si="28"/>
        <v>8306.5032958984375</v>
      </c>
      <c r="G201" s="3">
        <f t="shared" si="29"/>
        <v>11568.069458007812</v>
      </c>
      <c r="H201" s="4">
        <f t="shared" si="30"/>
        <v>125</v>
      </c>
      <c r="I201" s="3">
        <f t="shared" si="26"/>
        <v>19.073486328125</v>
      </c>
      <c r="J201" s="3">
        <f t="shared" si="25"/>
        <v>0</v>
      </c>
      <c r="K201" s="3">
        <f t="shared" si="31"/>
        <v>19.073486328125</v>
      </c>
      <c r="L201" s="3">
        <f ca="1">IFERROR(MAX(0,$G201-SUMIFS($G$2:$G$349,$A$2:$A$349,$A201,$C$2:$C$349,$C201,$B$2:$B$349,_xludf.MINIFS($B$2:$B$349,$A$2:$A$349,$A201,$C$2:$C$349,$C201))),0)</f>
        <v>11568.069458007812</v>
      </c>
    </row>
    <row r="202" spans="1:12" x14ac:dyDescent="0.2">
      <c r="A202" t="s">
        <v>82</v>
      </c>
      <c r="B202">
        <v>1767073794</v>
      </c>
      <c r="C202" t="s">
        <v>13</v>
      </c>
      <c r="D202" t="s">
        <v>142</v>
      </c>
      <c r="E202" s="3">
        <f t="shared" si="27"/>
        <v>1077.6519775390625</v>
      </c>
      <c r="F202" s="3">
        <f t="shared" si="28"/>
        <v>339.508056640625</v>
      </c>
      <c r="G202" s="3">
        <f t="shared" si="29"/>
        <v>1417.1600341796875</v>
      </c>
      <c r="H202" s="4">
        <f t="shared" si="30"/>
        <v>130</v>
      </c>
      <c r="I202" s="3">
        <f t="shared" si="26"/>
        <v>0</v>
      </c>
      <c r="J202" s="3">
        <f t="shared" si="25"/>
        <v>0</v>
      </c>
      <c r="K202" s="3">
        <f t="shared" si="31"/>
        <v>0</v>
      </c>
      <c r="L202" s="3">
        <f ca="1">IFERROR(MAX(0,$G202-SUMIFS($G$2:$G$349,$A$2:$A$349,$A202,$C$2:$C$349,$C202,$B$2:$B$349,_xludf.MINIFS($B$2:$B$349,$A$2:$A$349,$A202,$C$2:$C$349,$C202))),0)</f>
        <v>1417.1600341796875</v>
      </c>
    </row>
    <row r="203" spans="1:12" x14ac:dyDescent="0.2">
      <c r="A203" t="s">
        <v>82</v>
      </c>
      <c r="B203">
        <v>1767073794</v>
      </c>
      <c r="C203" t="s">
        <v>15</v>
      </c>
      <c r="D203" t="s">
        <v>150</v>
      </c>
      <c r="E203" s="3">
        <f t="shared" si="27"/>
        <v>4959.1064453125</v>
      </c>
      <c r="F203" s="3">
        <f t="shared" si="28"/>
        <v>5655.2886962890625</v>
      </c>
      <c r="G203" s="3">
        <f t="shared" si="29"/>
        <v>10614.395141601562</v>
      </c>
      <c r="H203" s="4">
        <f t="shared" si="30"/>
        <v>130</v>
      </c>
      <c r="I203" s="3">
        <f t="shared" si="26"/>
        <v>57.220458984375</v>
      </c>
      <c r="J203" s="3">
        <f t="shared" ref="J203:J266" si="32">IF($B203=_xlfn.MINIFS($B$2:$B$349,$A$2:$A$349,$A203,$C$2:$C$349,$C203),0,IFERROR(MAX(0,$F203-SUMIFS($F$2:$F$349,$A$2:$A$349,$A203,$C$2:$C$349,$C203,$B$2:$B$349,_xlfn.MAXIFS($B$2:$B$349,$A$2:$A$349,$A203,$C$2:$C$349,$C203,$B$2:$B$349,"&lt;"&amp;$B203))),0))</f>
        <v>19.073486328125</v>
      </c>
      <c r="K203" s="3">
        <f t="shared" si="31"/>
        <v>76.2939453125</v>
      </c>
      <c r="L203" s="3">
        <f ca="1">IFERROR(MAX(0,$G203-SUMIFS($G$2:$G$349,$A$2:$A$349,$A203,$C$2:$C$349,$C203,$B$2:$B$349,_xludf.MINIFS($B$2:$B$349,$A$2:$A$349,$A203,$C$2:$C$349,$C203))),0)</f>
        <v>10614.395141601562</v>
      </c>
    </row>
    <row r="204" spans="1:12" x14ac:dyDescent="0.2">
      <c r="A204" t="s">
        <v>82</v>
      </c>
      <c r="B204">
        <v>1767073794</v>
      </c>
      <c r="C204" t="s">
        <v>17</v>
      </c>
      <c r="D204" t="s">
        <v>151</v>
      </c>
      <c r="E204" s="3">
        <f t="shared" si="27"/>
        <v>270.843505859375</v>
      </c>
      <c r="F204" s="3">
        <f t="shared" si="28"/>
        <v>432.9681396484375</v>
      </c>
      <c r="G204" s="3">
        <f t="shared" si="29"/>
        <v>703.8116455078125</v>
      </c>
      <c r="H204" s="4">
        <f t="shared" si="30"/>
        <v>130</v>
      </c>
      <c r="I204" s="3">
        <f t="shared" si="26"/>
        <v>0.95367431640625</v>
      </c>
      <c r="J204" s="3">
        <f t="shared" si="32"/>
        <v>0</v>
      </c>
      <c r="K204" s="3">
        <f t="shared" si="31"/>
        <v>0.95367431640625</v>
      </c>
      <c r="L204" s="3">
        <f ca="1">IFERROR(MAX(0,$G204-SUMIFS($G$2:$G$349,$A$2:$A$349,$A204,$C$2:$C$349,$C204,$B$2:$B$349,_xludf.MINIFS($B$2:$B$349,$A$2:$A$349,$A204,$C$2:$C$349,$C204))),0)</f>
        <v>703.8116455078125</v>
      </c>
    </row>
    <row r="205" spans="1:12" x14ac:dyDescent="0.2">
      <c r="A205" t="s">
        <v>82</v>
      </c>
      <c r="B205">
        <v>1767073794</v>
      </c>
      <c r="C205" t="s">
        <v>19</v>
      </c>
      <c r="D205" t="s">
        <v>152</v>
      </c>
      <c r="E205" s="3">
        <f t="shared" si="27"/>
        <v>3271.1029052734375</v>
      </c>
      <c r="F205" s="3">
        <f t="shared" si="28"/>
        <v>8335.113525390625</v>
      </c>
      <c r="G205" s="3">
        <f t="shared" si="29"/>
        <v>11606.216430664062</v>
      </c>
      <c r="H205" s="4">
        <f t="shared" si="30"/>
        <v>130</v>
      </c>
      <c r="I205" s="3">
        <f t="shared" si="26"/>
        <v>9.5367431640625</v>
      </c>
      <c r="J205" s="3">
        <f t="shared" si="32"/>
        <v>28.6102294921875</v>
      </c>
      <c r="K205" s="3">
        <f t="shared" si="31"/>
        <v>38.14697265625</v>
      </c>
      <c r="L205" s="3">
        <f ca="1">IFERROR(MAX(0,$G205-SUMIFS($G$2:$G$349,$A$2:$A$349,$A205,$C$2:$C$349,$C205,$B$2:$B$349,_xludf.MINIFS($B$2:$B$349,$A$2:$A$349,$A205,$C$2:$C$349,$C205))),0)</f>
        <v>11606.216430664062</v>
      </c>
    </row>
    <row r="206" spans="1:12" x14ac:dyDescent="0.2">
      <c r="A206" t="s">
        <v>82</v>
      </c>
      <c r="B206">
        <v>1767073802</v>
      </c>
      <c r="C206" t="s">
        <v>13</v>
      </c>
      <c r="D206" t="s">
        <v>142</v>
      </c>
      <c r="E206" s="3">
        <f t="shared" si="27"/>
        <v>1077.6519775390625</v>
      </c>
      <c r="F206" s="3">
        <f t="shared" si="28"/>
        <v>339.508056640625</v>
      </c>
      <c r="G206" s="3">
        <f t="shared" si="29"/>
        <v>1417.1600341796875</v>
      </c>
      <c r="H206" s="4">
        <f t="shared" si="30"/>
        <v>135</v>
      </c>
      <c r="I206" s="3">
        <f t="shared" si="26"/>
        <v>0</v>
      </c>
      <c r="J206" s="3">
        <f t="shared" si="32"/>
        <v>0</v>
      </c>
      <c r="K206" s="3">
        <f t="shared" si="31"/>
        <v>0</v>
      </c>
      <c r="L206" s="3">
        <f ca="1">IFERROR(MAX(0,$G206-SUMIFS($G$2:$G$349,$A$2:$A$349,$A206,$C$2:$C$349,$C206,$B$2:$B$349,_xludf.MINIFS($B$2:$B$349,$A$2:$A$349,$A206,$C$2:$C$349,$C206))),0)</f>
        <v>1417.1600341796875</v>
      </c>
    </row>
    <row r="207" spans="1:12" x14ac:dyDescent="0.2">
      <c r="A207" t="s">
        <v>82</v>
      </c>
      <c r="B207">
        <v>1767073802</v>
      </c>
      <c r="C207" t="s">
        <v>15</v>
      </c>
      <c r="D207" t="s">
        <v>153</v>
      </c>
      <c r="E207" s="3">
        <f t="shared" si="27"/>
        <v>4978.179931640625</v>
      </c>
      <c r="F207" s="3">
        <f t="shared" si="28"/>
        <v>5655.2886962890625</v>
      </c>
      <c r="G207" s="3">
        <f t="shared" si="29"/>
        <v>10633.468627929688</v>
      </c>
      <c r="H207" s="4">
        <f t="shared" si="30"/>
        <v>135</v>
      </c>
      <c r="I207" s="3">
        <f t="shared" si="26"/>
        <v>19.073486328125</v>
      </c>
      <c r="J207" s="3">
        <f t="shared" si="32"/>
        <v>0</v>
      </c>
      <c r="K207" s="3">
        <f t="shared" si="31"/>
        <v>19.073486328125</v>
      </c>
      <c r="L207" s="3">
        <f ca="1">IFERROR(MAX(0,$G207-SUMIFS($G$2:$G$349,$A$2:$A$349,$A207,$C$2:$C$349,$C207,$B$2:$B$349,_xludf.MINIFS($B$2:$B$349,$A$2:$A$349,$A207,$C$2:$C$349,$C207))),0)</f>
        <v>10633.468627929688</v>
      </c>
    </row>
    <row r="208" spans="1:12" x14ac:dyDescent="0.2">
      <c r="A208" t="s">
        <v>82</v>
      </c>
      <c r="B208">
        <v>1767073802</v>
      </c>
      <c r="C208" t="s">
        <v>17</v>
      </c>
      <c r="D208" t="s">
        <v>151</v>
      </c>
      <c r="E208" s="3">
        <f t="shared" si="27"/>
        <v>270.843505859375</v>
      </c>
      <c r="F208" s="3">
        <f t="shared" si="28"/>
        <v>432.9681396484375</v>
      </c>
      <c r="G208" s="3">
        <f t="shared" si="29"/>
        <v>703.8116455078125</v>
      </c>
      <c r="H208" s="4">
        <f t="shared" si="30"/>
        <v>135</v>
      </c>
      <c r="I208" s="3">
        <f t="shared" si="26"/>
        <v>0</v>
      </c>
      <c r="J208" s="3">
        <f t="shared" si="32"/>
        <v>0</v>
      </c>
      <c r="K208" s="3">
        <f t="shared" si="31"/>
        <v>0</v>
      </c>
      <c r="L208" s="3">
        <f ca="1">IFERROR(MAX(0,$G208-SUMIFS($G$2:$G$349,$A$2:$A$349,$A208,$C$2:$C$349,$C208,$B$2:$B$349,_xludf.MINIFS($B$2:$B$349,$A$2:$A$349,$A208,$C$2:$C$349,$C208))),0)</f>
        <v>703.8116455078125</v>
      </c>
    </row>
    <row r="209" spans="1:12" x14ac:dyDescent="0.2">
      <c r="A209" t="s">
        <v>82</v>
      </c>
      <c r="B209">
        <v>1767073802</v>
      </c>
      <c r="C209" t="s">
        <v>19</v>
      </c>
      <c r="D209" t="s">
        <v>154</v>
      </c>
      <c r="E209" s="3">
        <f t="shared" si="27"/>
        <v>3271.1029052734375</v>
      </c>
      <c r="F209" s="3">
        <f t="shared" si="28"/>
        <v>8459.0911865234375</v>
      </c>
      <c r="G209" s="3">
        <f t="shared" si="29"/>
        <v>11730.194091796875</v>
      </c>
      <c r="H209" s="4">
        <f t="shared" si="30"/>
        <v>135</v>
      </c>
      <c r="I209" s="3">
        <f t="shared" si="26"/>
        <v>0</v>
      </c>
      <c r="J209" s="3">
        <f t="shared" si="32"/>
        <v>123.9776611328125</v>
      </c>
      <c r="K209" s="3">
        <f t="shared" si="31"/>
        <v>123.9776611328125</v>
      </c>
      <c r="L209" s="3">
        <f ca="1">IFERROR(MAX(0,$G209-SUMIFS($G$2:$G$349,$A$2:$A$349,$A209,$C$2:$C$349,$C209,$B$2:$B$349,_xludf.MINIFS($B$2:$B$349,$A$2:$A$349,$A209,$C$2:$C$349,$C209))),0)</f>
        <v>11730.194091796875</v>
      </c>
    </row>
    <row r="210" spans="1:12" x14ac:dyDescent="0.2">
      <c r="A210" t="s">
        <v>82</v>
      </c>
      <c r="B210">
        <v>1767073810</v>
      </c>
      <c r="C210" t="s">
        <v>13</v>
      </c>
      <c r="D210" t="s">
        <v>142</v>
      </c>
      <c r="E210" s="3">
        <f t="shared" si="27"/>
        <v>1077.6519775390625</v>
      </c>
      <c r="F210" s="3">
        <f t="shared" si="28"/>
        <v>339.508056640625</v>
      </c>
      <c r="G210" s="3">
        <f t="shared" si="29"/>
        <v>1417.1600341796875</v>
      </c>
      <c r="H210" s="4">
        <f t="shared" si="30"/>
        <v>140</v>
      </c>
      <c r="I210" s="3">
        <f t="shared" si="26"/>
        <v>0</v>
      </c>
      <c r="J210" s="3">
        <f t="shared" si="32"/>
        <v>0</v>
      </c>
      <c r="K210" s="3">
        <f t="shared" si="31"/>
        <v>0</v>
      </c>
      <c r="L210" s="3">
        <f ca="1">IFERROR(MAX(0,$G210-SUMIFS($G$2:$G$349,$A$2:$A$349,$A210,$C$2:$C$349,$C210,$B$2:$B$349,_xludf.MINIFS($B$2:$B$349,$A$2:$A$349,$A210,$C$2:$C$349,$C210))),0)</f>
        <v>1417.1600341796875</v>
      </c>
    </row>
    <row r="211" spans="1:12" x14ac:dyDescent="0.2">
      <c r="A211" t="s">
        <v>82</v>
      </c>
      <c r="B211">
        <v>1767073810</v>
      </c>
      <c r="C211" t="s">
        <v>15</v>
      </c>
      <c r="D211" t="s">
        <v>153</v>
      </c>
      <c r="E211" s="3">
        <f t="shared" si="27"/>
        <v>4978.179931640625</v>
      </c>
      <c r="F211" s="3">
        <f t="shared" si="28"/>
        <v>5655.2886962890625</v>
      </c>
      <c r="G211" s="3">
        <f t="shared" si="29"/>
        <v>10633.468627929688</v>
      </c>
      <c r="H211" s="4">
        <f t="shared" si="30"/>
        <v>140</v>
      </c>
      <c r="I211" s="3">
        <f t="shared" si="26"/>
        <v>0</v>
      </c>
      <c r="J211" s="3">
        <f t="shared" si="32"/>
        <v>0</v>
      </c>
      <c r="K211" s="3">
        <f t="shared" si="31"/>
        <v>0</v>
      </c>
      <c r="L211" s="3">
        <f ca="1">IFERROR(MAX(0,$G211-SUMIFS($G$2:$G$349,$A$2:$A$349,$A211,$C$2:$C$349,$C211,$B$2:$B$349,_xludf.MINIFS($B$2:$B$349,$A$2:$A$349,$A211,$C$2:$C$349,$C211))),0)</f>
        <v>10633.468627929688</v>
      </c>
    </row>
    <row r="212" spans="1:12" x14ac:dyDescent="0.2">
      <c r="A212" t="s">
        <v>82</v>
      </c>
      <c r="B212">
        <v>1767073810</v>
      </c>
      <c r="C212" t="s">
        <v>17</v>
      </c>
      <c r="D212" t="s">
        <v>155</v>
      </c>
      <c r="E212" s="3">
        <f t="shared" si="27"/>
        <v>271.79718017578125</v>
      </c>
      <c r="F212" s="3">
        <f t="shared" si="28"/>
        <v>432.9681396484375</v>
      </c>
      <c r="G212" s="3">
        <f t="shared" si="29"/>
        <v>704.76531982421875</v>
      </c>
      <c r="H212" s="4">
        <f t="shared" si="30"/>
        <v>140</v>
      </c>
      <c r="I212" s="3">
        <f t="shared" si="26"/>
        <v>0.95367431640625</v>
      </c>
      <c r="J212" s="3">
        <f t="shared" si="32"/>
        <v>0</v>
      </c>
      <c r="K212" s="3">
        <f t="shared" si="31"/>
        <v>0.95367431640625</v>
      </c>
      <c r="L212" s="3">
        <f ca="1">IFERROR(MAX(0,$G212-SUMIFS($G$2:$G$349,$A$2:$A$349,$A212,$C$2:$C$349,$C212,$B$2:$B$349,_xludf.MINIFS($B$2:$B$349,$A$2:$A$349,$A212,$C$2:$C$349,$C212))),0)</f>
        <v>704.76531982421875</v>
      </c>
    </row>
    <row r="213" spans="1:12" x14ac:dyDescent="0.2">
      <c r="A213" t="s">
        <v>82</v>
      </c>
      <c r="B213">
        <v>1767073810</v>
      </c>
      <c r="C213" t="s">
        <v>19</v>
      </c>
      <c r="D213" t="s">
        <v>156</v>
      </c>
      <c r="E213" s="3">
        <f t="shared" si="27"/>
        <v>3328.3233642578125</v>
      </c>
      <c r="F213" s="3">
        <f t="shared" si="28"/>
        <v>8525.848388671875</v>
      </c>
      <c r="G213" s="3">
        <f t="shared" si="29"/>
        <v>11854.171752929688</v>
      </c>
      <c r="H213" s="4">
        <f t="shared" si="30"/>
        <v>140</v>
      </c>
      <c r="I213" s="3">
        <f t="shared" si="26"/>
        <v>57.220458984375</v>
      </c>
      <c r="J213" s="3">
        <f t="shared" si="32"/>
        <v>66.7572021484375</v>
      </c>
      <c r="K213" s="3">
        <f t="shared" si="31"/>
        <v>123.9776611328125</v>
      </c>
      <c r="L213" s="3">
        <f ca="1">IFERROR(MAX(0,$G213-SUMIFS($G$2:$G$349,$A$2:$A$349,$A213,$C$2:$C$349,$C213,$B$2:$B$349,_xludf.MINIFS($B$2:$B$349,$A$2:$A$349,$A213,$C$2:$C$349,$C213))),0)</f>
        <v>11854.171752929688</v>
      </c>
    </row>
    <row r="214" spans="1:12" x14ac:dyDescent="0.2">
      <c r="A214" t="s">
        <v>82</v>
      </c>
      <c r="B214">
        <v>1767073817</v>
      </c>
      <c r="C214" t="s">
        <v>13</v>
      </c>
      <c r="D214" t="s">
        <v>142</v>
      </c>
      <c r="E214" s="3">
        <f t="shared" si="27"/>
        <v>1077.6519775390625</v>
      </c>
      <c r="F214" s="3">
        <f t="shared" si="28"/>
        <v>339.508056640625</v>
      </c>
      <c r="G214" s="3">
        <f t="shared" si="29"/>
        <v>1417.1600341796875</v>
      </c>
      <c r="H214" s="4">
        <f t="shared" si="30"/>
        <v>145</v>
      </c>
      <c r="I214" s="3">
        <f t="shared" si="26"/>
        <v>0</v>
      </c>
      <c r="J214" s="3">
        <f t="shared" si="32"/>
        <v>0</v>
      </c>
      <c r="K214" s="3">
        <f t="shared" si="31"/>
        <v>0</v>
      </c>
      <c r="L214" s="3">
        <f ca="1">IFERROR(MAX(0,$G214-SUMIFS($G$2:$G$349,$A$2:$A$349,$A214,$C$2:$C$349,$C214,$B$2:$B$349,_xludf.MINIFS($B$2:$B$349,$A$2:$A$349,$A214,$C$2:$C$349,$C214))),0)</f>
        <v>1417.1600341796875</v>
      </c>
    </row>
    <row r="215" spans="1:12" x14ac:dyDescent="0.2">
      <c r="A215" t="s">
        <v>82</v>
      </c>
      <c r="B215">
        <v>1767073817</v>
      </c>
      <c r="C215" t="s">
        <v>15</v>
      </c>
      <c r="D215" t="s">
        <v>157</v>
      </c>
      <c r="E215" s="3">
        <f t="shared" si="27"/>
        <v>5054.473876953125</v>
      </c>
      <c r="F215" s="3">
        <f t="shared" si="28"/>
        <v>5655.2886962890625</v>
      </c>
      <c r="G215" s="3">
        <f t="shared" si="29"/>
        <v>10709.762573242188</v>
      </c>
      <c r="H215" s="4">
        <f t="shared" si="30"/>
        <v>145</v>
      </c>
      <c r="I215" s="3">
        <f t="shared" si="26"/>
        <v>76.2939453125</v>
      </c>
      <c r="J215" s="3">
        <f t="shared" si="32"/>
        <v>0</v>
      </c>
      <c r="K215" s="3">
        <f t="shared" si="31"/>
        <v>76.2939453125</v>
      </c>
      <c r="L215" s="3">
        <f ca="1">IFERROR(MAX(0,$G215-SUMIFS($G$2:$G$349,$A$2:$A$349,$A215,$C$2:$C$349,$C215,$B$2:$B$349,_xludf.MINIFS($B$2:$B$349,$A$2:$A$349,$A215,$C$2:$C$349,$C215))),0)</f>
        <v>10709.762573242188</v>
      </c>
    </row>
    <row r="216" spans="1:12" x14ac:dyDescent="0.2">
      <c r="A216" t="s">
        <v>82</v>
      </c>
      <c r="B216">
        <v>1767073817</v>
      </c>
      <c r="C216" t="s">
        <v>17</v>
      </c>
      <c r="D216" t="s">
        <v>155</v>
      </c>
      <c r="E216" s="3">
        <f t="shared" si="27"/>
        <v>271.79718017578125</v>
      </c>
      <c r="F216" s="3">
        <f t="shared" si="28"/>
        <v>432.9681396484375</v>
      </c>
      <c r="G216" s="3">
        <f t="shared" si="29"/>
        <v>704.76531982421875</v>
      </c>
      <c r="H216" s="4">
        <f t="shared" si="30"/>
        <v>145</v>
      </c>
      <c r="I216" s="3">
        <f t="shared" si="26"/>
        <v>0</v>
      </c>
      <c r="J216" s="3">
        <f t="shared" si="32"/>
        <v>0</v>
      </c>
      <c r="K216" s="3">
        <f t="shared" si="31"/>
        <v>0</v>
      </c>
      <c r="L216" s="3">
        <f ca="1">IFERROR(MAX(0,$G216-SUMIFS($G$2:$G$349,$A$2:$A$349,$A216,$C$2:$C$349,$C216,$B$2:$B$349,_xludf.MINIFS($B$2:$B$349,$A$2:$A$349,$A216,$C$2:$C$349,$C216))),0)</f>
        <v>704.76531982421875</v>
      </c>
    </row>
    <row r="217" spans="1:12" x14ac:dyDescent="0.2">
      <c r="A217" t="s">
        <v>82</v>
      </c>
      <c r="B217">
        <v>1767073817</v>
      </c>
      <c r="C217" t="s">
        <v>19</v>
      </c>
      <c r="D217" t="s">
        <v>158</v>
      </c>
      <c r="E217" s="3">
        <f t="shared" si="27"/>
        <v>3337.860107421875</v>
      </c>
      <c r="F217" s="3">
        <f t="shared" si="28"/>
        <v>8525.848388671875</v>
      </c>
      <c r="G217" s="3">
        <f t="shared" si="29"/>
        <v>11863.70849609375</v>
      </c>
      <c r="H217" s="4">
        <f t="shared" si="30"/>
        <v>145</v>
      </c>
      <c r="I217" s="3">
        <f t="shared" si="26"/>
        <v>9.5367431640625</v>
      </c>
      <c r="J217" s="3">
        <f t="shared" si="32"/>
        <v>0</v>
      </c>
      <c r="K217" s="3">
        <f t="shared" si="31"/>
        <v>9.5367431640625</v>
      </c>
      <c r="L217" s="3">
        <f ca="1">IFERROR(MAX(0,$G217-SUMIFS($G$2:$G$349,$A$2:$A$349,$A217,$C$2:$C$349,$C217,$B$2:$B$349,_xludf.MINIFS($B$2:$B$349,$A$2:$A$349,$A217,$C$2:$C$349,$C217))),0)</f>
        <v>11863.70849609375</v>
      </c>
    </row>
    <row r="218" spans="1:12" x14ac:dyDescent="0.2">
      <c r="A218" t="s">
        <v>82</v>
      </c>
      <c r="B218">
        <v>1767073824</v>
      </c>
      <c r="C218" t="s">
        <v>13</v>
      </c>
      <c r="D218" t="s">
        <v>142</v>
      </c>
      <c r="E218" s="3">
        <f t="shared" si="27"/>
        <v>1077.6519775390625</v>
      </c>
      <c r="F218" s="3">
        <f t="shared" si="28"/>
        <v>339.508056640625</v>
      </c>
      <c r="G218" s="3">
        <f t="shared" si="29"/>
        <v>1417.1600341796875</v>
      </c>
      <c r="H218" s="4">
        <f t="shared" si="30"/>
        <v>150</v>
      </c>
      <c r="I218" s="3">
        <f t="shared" si="26"/>
        <v>0</v>
      </c>
      <c r="J218" s="3">
        <f t="shared" si="32"/>
        <v>0</v>
      </c>
      <c r="K218" s="3">
        <f t="shared" si="31"/>
        <v>0</v>
      </c>
      <c r="L218" s="3">
        <f ca="1">IFERROR(MAX(0,$G218-SUMIFS($G$2:$G$349,$A$2:$A$349,$A218,$C$2:$C$349,$C218,$B$2:$B$349,_xludf.MINIFS($B$2:$B$349,$A$2:$A$349,$A218,$C$2:$C$349,$C218))),0)</f>
        <v>1417.1600341796875</v>
      </c>
    </row>
    <row r="219" spans="1:12" x14ac:dyDescent="0.2">
      <c r="A219" t="s">
        <v>82</v>
      </c>
      <c r="B219">
        <v>1767073824</v>
      </c>
      <c r="C219" t="s">
        <v>15</v>
      </c>
      <c r="D219" t="s">
        <v>159</v>
      </c>
      <c r="E219" s="3">
        <f t="shared" si="27"/>
        <v>5121.2310791015625</v>
      </c>
      <c r="F219" s="3">
        <f t="shared" si="28"/>
        <v>5664.825439453125</v>
      </c>
      <c r="G219" s="3">
        <f t="shared" si="29"/>
        <v>10786.056518554688</v>
      </c>
      <c r="H219" s="4">
        <f t="shared" si="30"/>
        <v>150</v>
      </c>
      <c r="I219" s="3">
        <f t="shared" si="26"/>
        <v>66.7572021484375</v>
      </c>
      <c r="J219" s="3">
        <f t="shared" si="32"/>
        <v>9.5367431640625</v>
      </c>
      <c r="K219" s="3">
        <f t="shared" si="31"/>
        <v>76.2939453125</v>
      </c>
      <c r="L219" s="3">
        <f ca="1">IFERROR(MAX(0,$G219-SUMIFS($G$2:$G$349,$A$2:$A$349,$A219,$C$2:$C$349,$C219,$B$2:$B$349,_xludf.MINIFS($B$2:$B$349,$A$2:$A$349,$A219,$C$2:$C$349,$C219))),0)</f>
        <v>10786.056518554688</v>
      </c>
    </row>
    <row r="220" spans="1:12" x14ac:dyDescent="0.2">
      <c r="A220" t="s">
        <v>82</v>
      </c>
      <c r="B220">
        <v>1767073824</v>
      </c>
      <c r="C220" t="s">
        <v>17</v>
      </c>
      <c r="D220" t="s">
        <v>160</v>
      </c>
      <c r="E220" s="3">
        <f t="shared" si="27"/>
        <v>272.7508544921875</v>
      </c>
      <c r="F220" s="3">
        <f t="shared" si="28"/>
        <v>432.9681396484375</v>
      </c>
      <c r="G220" s="3">
        <f t="shared" si="29"/>
        <v>705.718994140625</v>
      </c>
      <c r="H220" s="4">
        <f t="shared" si="30"/>
        <v>150</v>
      </c>
      <c r="I220" s="3">
        <f t="shared" si="26"/>
        <v>0.95367431640625</v>
      </c>
      <c r="J220" s="3">
        <f t="shared" si="32"/>
        <v>0</v>
      </c>
      <c r="K220" s="3">
        <f t="shared" si="31"/>
        <v>0.95367431640625</v>
      </c>
      <c r="L220" s="3">
        <f ca="1">IFERROR(MAX(0,$G220-SUMIFS($G$2:$G$349,$A$2:$A$349,$A220,$C$2:$C$349,$C220,$B$2:$B$349,_xludf.MINIFS($B$2:$B$349,$A$2:$A$349,$A220,$C$2:$C$349,$C220))),0)</f>
        <v>705.718994140625</v>
      </c>
    </row>
    <row r="221" spans="1:12" x14ac:dyDescent="0.2">
      <c r="A221" t="s">
        <v>82</v>
      </c>
      <c r="B221">
        <v>1767073824</v>
      </c>
      <c r="C221" t="s">
        <v>19</v>
      </c>
      <c r="D221" t="s">
        <v>161</v>
      </c>
      <c r="E221" s="3">
        <f t="shared" si="27"/>
        <v>3347.3968505859375</v>
      </c>
      <c r="F221" s="3">
        <f t="shared" si="28"/>
        <v>8649.8260498046875</v>
      </c>
      <c r="G221" s="3">
        <f t="shared" si="29"/>
        <v>11997.222900390625</v>
      </c>
      <c r="H221" s="4">
        <f t="shared" si="30"/>
        <v>150</v>
      </c>
      <c r="I221" s="3">
        <f t="shared" si="26"/>
        <v>9.5367431640625</v>
      </c>
      <c r="J221" s="3">
        <f t="shared" si="32"/>
        <v>123.9776611328125</v>
      </c>
      <c r="K221" s="3">
        <f t="shared" si="31"/>
        <v>133.514404296875</v>
      </c>
      <c r="L221" s="3">
        <f ca="1">IFERROR(MAX(0,$G221-SUMIFS($G$2:$G$349,$A$2:$A$349,$A221,$C$2:$C$349,$C221,$B$2:$B$349,_xludf.MINIFS($B$2:$B$349,$A$2:$A$349,$A221,$C$2:$C$349,$C221))),0)</f>
        <v>11997.222900390625</v>
      </c>
    </row>
    <row r="222" spans="1:12" x14ac:dyDescent="0.2">
      <c r="A222" t="s">
        <v>82</v>
      </c>
      <c r="B222">
        <v>1767073832</v>
      </c>
      <c r="C222" t="s">
        <v>13</v>
      </c>
      <c r="D222" t="s">
        <v>142</v>
      </c>
      <c r="E222" s="3">
        <f t="shared" si="27"/>
        <v>1077.6519775390625</v>
      </c>
      <c r="F222" s="3">
        <f t="shared" si="28"/>
        <v>339.508056640625</v>
      </c>
      <c r="G222" s="3">
        <f t="shared" si="29"/>
        <v>1417.1600341796875</v>
      </c>
      <c r="H222" s="4">
        <f t="shared" si="30"/>
        <v>155</v>
      </c>
      <c r="I222" s="3">
        <f t="shared" si="26"/>
        <v>0</v>
      </c>
      <c r="J222" s="3">
        <f t="shared" si="32"/>
        <v>0</v>
      </c>
      <c r="K222" s="3">
        <f t="shared" si="31"/>
        <v>0</v>
      </c>
      <c r="L222" s="3">
        <f ca="1">IFERROR(MAX(0,$G222-SUMIFS($G$2:$G$349,$A$2:$A$349,$A222,$C$2:$C$349,$C222,$B$2:$B$349,_xludf.MINIFS($B$2:$B$349,$A$2:$A$349,$A222,$C$2:$C$349,$C222))),0)</f>
        <v>1417.1600341796875</v>
      </c>
    </row>
    <row r="223" spans="1:12" x14ac:dyDescent="0.2">
      <c r="A223" t="s">
        <v>82</v>
      </c>
      <c r="B223">
        <v>1767073832</v>
      </c>
      <c r="C223" t="s">
        <v>15</v>
      </c>
      <c r="D223" t="s">
        <v>159</v>
      </c>
      <c r="E223" s="3">
        <f t="shared" si="27"/>
        <v>5121.2310791015625</v>
      </c>
      <c r="F223" s="3">
        <f t="shared" si="28"/>
        <v>5664.825439453125</v>
      </c>
      <c r="G223" s="3">
        <f t="shared" si="29"/>
        <v>10786.056518554688</v>
      </c>
      <c r="H223" s="4">
        <f t="shared" si="30"/>
        <v>155</v>
      </c>
      <c r="I223" s="3">
        <f t="shared" si="26"/>
        <v>0</v>
      </c>
      <c r="J223" s="3">
        <f t="shared" si="32"/>
        <v>0</v>
      </c>
      <c r="K223" s="3">
        <f t="shared" si="31"/>
        <v>0</v>
      </c>
      <c r="L223" s="3">
        <f ca="1">IFERROR(MAX(0,$G223-SUMIFS($G$2:$G$349,$A$2:$A$349,$A223,$C$2:$C$349,$C223,$B$2:$B$349,_xludf.MINIFS($B$2:$B$349,$A$2:$A$349,$A223,$C$2:$C$349,$C223))),0)</f>
        <v>10786.056518554688</v>
      </c>
    </row>
    <row r="224" spans="1:12" x14ac:dyDescent="0.2">
      <c r="A224" t="s">
        <v>82</v>
      </c>
      <c r="B224">
        <v>1767073832</v>
      </c>
      <c r="C224" t="s">
        <v>17</v>
      </c>
      <c r="D224" t="s">
        <v>160</v>
      </c>
      <c r="E224" s="3">
        <f t="shared" si="27"/>
        <v>272.7508544921875</v>
      </c>
      <c r="F224" s="3">
        <f t="shared" si="28"/>
        <v>432.9681396484375</v>
      </c>
      <c r="G224" s="3">
        <f t="shared" si="29"/>
        <v>705.718994140625</v>
      </c>
      <c r="H224" s="4">
        <f t="shared" si="30"/>
        <v>155</v>
      </c>
      <c r="I224" s="3">
        <f t="shared" si="26"/>
        <v>0</v>
      </c>
      <c r="J224" s="3">
        <f t="shared" si="32"/>
        <v>0</v>
      </c>
      <c r="K224" s="3">
        <f t="shared" si="31"/>
        <v>0</v>
      </c>
      <c r="L224" s="3">
        <f ca="1">IFERROR(MAX(0,$G224-SUMIFS($G$2:$G$349,$A$2:$A$349,$A224,$C$2:$C$349,$C224,$B$2:$B$349,_xludf.MINIFS($B$2:$B$349,$A$2:$A$349,$A224,$C$2:$C$349,$C224))),0)</f>
        <v>705.718994140625</v>
      </c>
    </row>
    <row r="225" spans="1:12" x14ac:dyDescent="0.2">
      <c r="A225" t="s">
        <v>82</v>
      </c>
      <c r="B225">
        <v>1767073832</v>
      </c>
      <c r="C225" t="s">
        <v>19</v>
      </c>
      <c r="D225" t="s">
        <v>162</v>
      </c>
      <c r="E225" s="3">
        <f t="shared" si="27"/>
        <v>3376.007080078125</v>
      </c>
      <c r="F225" s="3">
        <f t="shared" si="28"/>
        <v>8764.2669677734375</v>
      </c>
      <c r="G225" s="3">
        <f t="shared" si="29"/>
        <v>12140.274047851562</v>
      </c>
      <c r="H225" s="4">
        <f t="shared" si="30"/>
        <v>155</v>
      </c>
      <c r="I225" s="3">
        <f t="shared" si="26"/>
        <v>28.6102294921875</v>
      </c>
      <c r="J225" s="3">
        <f t="shared" si="32"/>
        <v>114.44091796875</v>
      </c>
      <c r="K225" s="3">
        <f t="shared" si="31"/>
        <v>143.0511474609375</v>
      </c>
      <c r="L225" s="3">
        <f ca="1">IFERROR(MAX(0,$G225-SUMIFS($G$2:$G$349,$A$2:$A$349,$A225,$C$2:$C$349,$C225,$B$2:$B$349,_xludf.MINIFS($B$2:$B$349,$A$2:$A$349,$A225,$C$2:$C$349,$C225))),0)</f>
        <v>12140.274047851562</v>
      </c>
    </row>
    <row r="226" spans="1:12" x14ac:dyDescent="0.2">
      <c r="A226" t="s">
        <v>82</v>
      </c>
      <c r="B226">
        <v>1767073839</v>
      </c>
      <c r="C226" t="s">
        <v>13</v>
      </c>
      <c r="D226" t="s">
        <v>142</v>
      </c>
      <c r="E226" s="3">
        <f t="shared" si="27"/>
        <v>1077.6519775390625</v>
      </c>
      <c r="F226" s="3">
        <f t="shared" si="28"/>
        <v>339.508056640625</v>
      </c>
      <c r="G226" s="3">
        <f t="shared" si="29"/>
        <v>1417.1600341796875</v>
      </c>
      <c r="H226" s="4">
        <f t="shared" si="30"/>
        <v>160</v>
      </c>
      <c r="I226" s="3">
        <f t="shared" si="26"/>
        <v>0</v>
      </c>
      <c r="J226" s="3">
        <f t="shared" si="32"/>
        <v>0</v>
      </c>
      <c r="K226" s="3">
        <f t="shared" si="31"/>
        <v>0</v>
      </c>
      <c r="L226" s="3">
        <f ca="1">IFERROR(MAX(0,$G226-SUMIFS($G$2:$G$349,$A$2:$A$349,$A226,$C$2:$C$349,$C226,$B$2:$B$349,_xludf.MINIFS($B$2:$B$349,$A$2:$A$349,$A226,$C$2:$C$349,$C226))),0)</f>
        <v>1417.1600341796875</v>
      </c>
    </row>
    <row r="227" spans="1:12" x14ac:dyDescent="0.2">
      <c r="A227" t="s">
        <v>82</v>
      </c>
      <c r="B227">
        <v>1767073839</v>
      </c>
      <c r="C227" t="s">
        <v>15</v>
      </c>
      <c r="D227" t="s">
        <v>163</v>
      </c>
      <c r="E227" s="3">
        <f t="shared" si="27"/>
        <v>5130.767822265625</v>
      </c>
      <c r="F227" s="3">
        <f t="shared" si="28"/>
        <v>5664.825439453125</v>
      </c>
      <c r="G227" s="3">
        <f t="shared" si="29"/>
        <v>10795.59326171875</v>
      </c>
      <c r="H227" s="4">
        <f t="shared" si="30"/>
        <v>160</v>
      </c>
      <c r="I227" s="3">
        <f t="shared" si="26"/>
        <v>9.5367431640625</v>
      </c>
      <c r="J227" s="3">
        <f t="shared" si="32"/>
        <v>0</v>
      </c>
      <c r="K227" s="3">
        <f t="shared" si="31"/>
        <v>9.5367431640625</v>
      </c>
      <c r="L227" s="3">
        <f ca="1">IFERROR(MAX(0,$G227-SUMIFS($G$2:$G$349,$A$2:$A$349,$A227,$C$2:$C$349,$C227,$B$2:$B$349,_xludf.MINIFS($B$2:$B$349,$A$2:$A$349,$A227,$C$2:$C$349,$C227))),0)</f>
        <v>10795.59326171875</v>
      </c>
    </row>
    <row r="228" spans="1:12" x14ac:dyDescent="0.2">
      <c r="A228" t="s">
        <v>82</v>
      </c>
      <c r="B228">
        <v>1767073839</v>
      </c>
      <c r="C228" t="s">
        <v>17</v>
      </c>
      <c r="D228" t="s">
        <v>160</v>
      </c>
      <c r="E228" s="3">
        <f t="shared" si="27"/>
        <v>272.7508544921875</v>
      </c>
      <c r="F228" s="3">
        <f t="shared" si="28"/>
        <v>432.9681396484375</v>
      </c>
      <c r="G228" s="3">
        <f t="shared" si="29"/>
        <v>705.718994140625</v>
      </c>
      <c r="H228" s="4">
        <f t="shared" si="30"/>
        <v>160</v>
      </c>
      <c r="I228" s="3">
        <f t="shared" si="26"/>
        <v>0</v>
      </c>
      <c r="J228" s="3">
        <f t="shared" si="32"/>
        <v>0</v>
      </c>
      <c r="K228" s="3">
        <f t="shared" si="31"/>
        <v>0</v>
      </c>
      <c r="L228" s="3">
        <f ca="1">IFERROR(MAX(0,$G228-SUMIFS($G$2:$G$349,$A$2:$A$349,$A228,$C$2:$C$349,$C228,$B$2:$B$349,_xludf.MINIFS($B$2:$B$349,$A$2:$A$349,$A228,$C$2:$C$349,$C228))),0)</f>
        <v>705.718994140625</v>
      </c>
    </row>
    <row r="229" spans="1:12" x14ac:dyDescent="0.2">
      <c r="A229" t="s">
        <v>82</v>
      </c>
      <c r="B229">
        <v>1767073839</v>
      </c>
      <c r="C229" t="s">
        <v>19</v>
      </c>
      <c r="D229" t="s">
        <v>164</v>
      </c>
      <c r="E229" s="3">
        <f t="shared" si="27"/>
        <v>4320.1446533203125</v>
      </c>
      <c r="F229" s="3">
        <f t="shared" si="28"/>
        <v>9632.110595703125</v>
      </c>
      <c r="G229" s="3">
        <f t="shared" si="29"/>
        <v>13952.255249023438</v>
      </c>
      <c r="H229" s="4">
        <f t="shared" si="30"/>
        <v>160</v>
      </c>
      <c r="I229" s="3">
        <f t="shared" si="26"/>
        <v>944.1375732421875</v>
      </c>
      <c r="J229" s="3">
        <f t="shared" si="32"/>
        <v>867.8436279296875</v>
      </c>
      <c r="K229" s="3">
        <f t="shared" si="31"/>
        <v>1811.981201171875</v>
      </c>
      <c r="L229" s="3">
        <f ca="1">IFERROR(MAX(0,$G229-SUMIFS($G$2:$G$349,$A$2:$A$349,$A229,$C$2:$C$349,$C229,$B$2:$B$349,_xludf.MINIFS($B$2:$B$349,$A$2:$A$349,$A229,$C$2:$C$349,$C229))),0)</f>
        <v>13952.255249023438</v>
      </c>
    </row>
    <row r="230" spans="1:12" x14ac:dyDescent="0.2">
      <c r="A230" t="s">
        <v>82</v>
      </c>
      <c r="B230">
        <v>1767073847</v>
      </c>
      <c r="C230" t="s">
        <v>13</v>
      </c>
      <c r="D230" t="s">
        <v>142</v>
      </c>
      <c r="E230" s="3">
        <f t="shared" si="27"/>
        <v>1077.6519775390625</v>
      </c>
      <c r="F230" s="3">
        <f t="shared" si="28"/>
        <v>339.508056640625</v>
      </c>
      <c r="G230" s="3">
        <f t="shared" si="29"/>
        <v>1417.1600341796875</v>
      </c>
      <c r="H230" s="4">
        <f t="shared" si="30"/>
        <v>165</v>
      </c>
      <c r="I230" s="3">
        <f t="shared" ref="I230:I293" si="33">IF($B230=_xlfn.MINIFS($B$2:$B$349,$A$2:$A$349,$A230,$C$2:$C$349,$C230),0,IFERROR(MAX(0,$E230-SUMIFS($E$2:$E$349,$A$2:$A$349,$A230,$C$2:$C$349,$C230,$B$2:$B$349,_xlfn.MAXIFS($B$2:$B$349,$A$2:$A$349,$A230,$C$2:$C$349,$C230,$B$2:$B$349,"&lt;"&amp;$B230))),0))</f>
        <v>0</v>
      </c>
      <c r="J230" s="3">
        <f t="shared" si="32"/>
        <v>0</v>
      </c>
      <c r="K230" s="3">
        <f t="shared" si="31"/>
        <v>0</v>
      </c>
      <c r="L230" s="3">
        <f ca="1">IFERROR(MAX(0,$G230-SUMIFS($G$2:$G$349,$A$2:$A$349,$A230,$C$2:$C$349,$C230,$B$2:$B$349,_xludf.MINIFS($B$2:$B$349,$A$2:$A$349,$A230,$C$2:$C$349,$C230))),0)</f>
        <v>1417.1600341796875</v>
      </c>
    </row>
    <row r="231" spans="1:12" x14ac:dyDescent="0.2">
      <c r="A231" t="s">
        <v>82</v>
      </c>
      <c r="B231">
        <v>1767073847</v>
      </c>
      <c r="C231" t="s">
        <v>15</v>
      </c>
      <c r="D231" t="s">
        <v>163</v>
      </c>
      <c r="E231" s="3">
        <f t="shared" si="27"/>
        <v>5130.767822265625</v>
      </c>
      <c r="F231" s="3">
        <f t="shared" si="28"/>
        <v>5664.825439453125</v>
      </c>
      <c r="G231" s="3">
        <f t="shared" si="29"/>
        <v>10795.59326171875</v>
      </c>
      <c r="H231" s="4">
        <f t="shared" si="30"/>
        <v>165</v>
      </c>
      <c r="I231" s="3">
        <f t="shared" si="33"/>
        <v>0</v>
      </c>
      <c r="J231" s="3">
        <f t="shared" si="32"/>
        <v>0</v>
      </c>
      <c r="K231" s="3">
        <f t="shared" si="31"/>
        <v>0</v>
      </c>
      <c r="L231" s="3">
        <f ca="1">IFERROR(MAX(0,$G231-SUMIFS($G$2:$G$349,$A$2:$A$349,$A231,$C$2:$C$349,$C231,$B$2:$B$349,_xludf.MINIFS($B$2:$B$349,$A$2:$A$349,$A231,$C$2:$C$349,$C231))),0)</f>
        <v>10795.59326171875</v>
      </c>
    </row>
    <row r="232" spans="1:12" x14ac:dyDescent="0.2">
      <c r="A232" t="s">
        <v>82</v>
      </c>
      <c r="B232">
        <v>1767073847</v>
      </c>
      <c r="C232" t="s">
        <v>17</v>
      </c>
      <c r="D232" t="s">
        <v>165</v>
      </c>
      <c r="E232" s="3">
        <f t="shared" si="27"/>
        <v>273.70452880859375</v>
      </c>
      <c r="F232" s="3">
        <f t="shared" si="28"/>
        <v>432.9681396484375</v>
      </c>
      <c r="G232" s="3">
        <f t="shared" si="29"/>
        <v>706.67266845703125</v>
      </c>
      <c r="H232" s="4">
        <f t="shared" si="30"/>
        <v>165</v>
      </c>
      <c r="I232" s="3">
        <f t="shared" si="33"/>
        <v>0.95367431640625</v>
      </c>
      <c r="J232" s="3">
        <f t="shared" si="32"/>
        <v>0</v>
      </c>
      <c r="K232" s="3">
        <f t="shared" si="31"/>
        <v>0.95367431640625</v>
      </c>
      <c r="L232" s="3">
        <f ca="1">IFERROR(MAX(0,$G232-SUMIFS($G$2:$G$349,$A$2:$A$349,$A232,$C$2:$C$349,$C232,$B$2:$B$349,_xludf.MINIFS($B$2:$B$349,$A$2:$A$349,$A232,$C$2:$C$349,$C232))),0)</f>
        <v>706.67266845703125</v>
      </c>
    </row>
    <row r="233" spans="1:12" x14ac:dyDescent="0.2">
      <c r="A233" t="s">
        <v>82</v>
      </c>
      <c r="B233">
        <v>1767073847</v>
      </c>
      <c r="C233" t="s">
        <v>19</v>
      </c>
      <c r="D233" t="s">
        <v>166</v>
      </c>
      <c r="E233" s="3">
        <f t="shared" si="27"/>
        <v>4463.19580078125</v>
      </c>
      <c r="F233" s="3">
        <f t="shared" si="28"/>
        <v>9632.110595703125</v>
      </c>
      <c r="G233" s="3">
        <f t="shared" si="29"/>
        <v>14095.306396484375</v>
      </c>
      <c r="H233" s="4">
        <f t="shared" si="30"/>
        <v>165</v>
      </c>
      <c r="I233" s="3">
        <f t="shared" si="33"/>
        <v>143.0511474609375</v>
      </c>
      <c r="J233" s="3">
        <f t="shared" si="32"/>
        <v>0</v>
      </c>
      <c r="K233" s="3">
        <f t="shared" si="31"/>
        <v>143.0511474609375</v>
      </c>
      <c r="L233" s="3">
        <f ca="1">IFERROR(MAX(0,$G233-SUMIFS($G$2:$G$349,$A$2:$A$349,$A233,$C$2:$C$349,$C233,$B$2:$B$349,_xludf.MINIFS($B$2:$B$349,$A$2:$A$349,$A233,$C$2:$C$349,$C233))),0)</f>
        <v>14095.306396484375</v>
      </c>
    </row>
    <row r="234" spans="1:12" x14ac:dyDescent="0.2">
      <c r="A234" t="s">
        <v>82</v>
      </c>
      <c r="B234">
        <v>1767073854</v>
      </c>
      <c r="C234" t="s">
        <v>13</v>
      </c>
      <c r="D234" t="s">
        <v>142</v>
      </c>
      <c r="E234" s="3">
        <f t="shared" si="27"/>
        <v>1077.6519775390625</v>
      </c>
      <c r="F234" s="3">
        <f t="shared" si="28"/>
        <v>339.508056640625</v>
      </c>
      <c r="G234" s="3">
        <f t="shared" si="29"/>
        <v>1417.1600341796875</v>
      </c>
      <c r="H234" s="4">
        <f t="shared" si="30"/>
        <v>170</v>
      </c>
      <c r="I234" s="3">
        <f t="shared" si="33"/>
        <v>0</v>
      </c>
      <c r="J234" s="3">
        <f t="shared" si="32"/>
        <v>0</v>
      </c>
      <c r="K234" s="3">
        <f t="shared" si="31"/>
        <v>0</v>
      </c>
      <c r="L234" s="3">
        <f ca="1">IFERROR(MAX(0,$G234-SUMIFS($G$2:$G$349,$A$2:$A$349,$A234,$C$2:$C$349,$C234,$B$2:$B$349,_xludf.MINIFS($B$2:$B$349,$A$2:$A$349,$A234,$C$2:$C$349,$C234))),0)</f>
        <v>1417.1600341796875</v>
      </c>
    </row>
    <row r="235" spans="1:12" x14ac:dyDescent="0.2">
      <c r="A235" t="s">
        <v>82</v>
      </c>
      <c r="B235">
        <v>1767073854</v>
      </c>
      <c r="C235" t="s">
        <v>15</v>
      </c>
      <c r="D235" t="s">
        <v>167</v>
      </c>
      <c r="E235" s="3">
        <f t="shared" si="27"/>
        <v>5130.767822265625</v>
      </c>
      <c r="F235" s="3">
        <f t="shared" si="28"/>
        <v>5674.3621826171875</v>
      </c>
      <c r="G235" s="3">
        <f t="shared" si="29"/>
        <v>10805.130004882812</v>
      </c>
      <c r="H235" s="4">
        <f t="shared" si="30"/>
        <v>170</v>
      </c>
      <c r="I235" s="3">
        <f t="shared" si="33"/>
        <v>0</v>
      </c>
      <c r="J235" s="3">
        <f t="shared" si="32"/>
        <v>9.5367431640625</v>
      </c>
      <c r="K235" s="3">
        <f t="shared" si="31"/>
        <v>9.5367431640625</v>
      </c>
      <c r="L235" s="3">
        <f ca="1">IFERROR(MAX(0,$G235-SUMIFS($G$2:$G$349,$A$2:$A$349,$A235,$C$2:$C$349,$C235,$B$2:$B$349,_xludf.MINIFS($B$2:$B$349,$A$2:$A$349,$A235,$C$2:$C$349,$C235))),0)</f>
        <v>10805.130004882812</v>
      </c>
    </row>
    <row r="236" spans="1:12" x14ac:dyDescent="0.2">
      <c r="A236" t="s">
        <v>82</v>
      </c>
      <c r="B236">
        <v>1767073854</v>
      </c>
      <c r="C236" t="s">
        <v>17</v>
      </c>
      <c r="D236" t="s">
        <v>165</v>
      </c>
      <c r="E236" s="3">
        <f t="shared" si="27"/>
        <v>273.70452880859375</v>
      </c>
      <c r="F236" s="3">
        <f t="shared" si="28"/>
        <v>432.9681396484375</v>
      </c>
      <c r="G236" s="3">
        <f t="shared" si="29"/>
        <v>706.67266845703125</v>
      </c>
      <c r="H236" s="4">
        <f t="shared" si="30"/>
        <v>170</v>
      </c>
      <c r="I236" s="3">
        <f t="shared" si="33"/>
        <v>0</v>
      </c>
      <c r="J236" s="3">
        <f t="shared" si="32"/>
        <v>0</v>
      </c>
      <c r="K236" s="3">
        <f t="shared" si="31"/>
        <v>0</v>
      </c>
      <c r="L236" s="3">
        <f ca="1">IFERROR(MAX(0,$G236-SUMIFS($G$2:$G$349,$A$2:$A$349,$A236,$C$2:$C$349,$C236,$B$2:$B$349,_xludf.MINIFS($B$2:$B$349,$A$2:$A$349,$A236,$C$2:$C$349,$C236))),0)</f>
        <v>706.67266845703125</v>
      </c>
    </row>
    <row r="237" spans="1:12" x14ac:dyDescent="0.2">
      <c r="A237" t="s">
        <v>82</v>
      </c>
      <c r="B237">
        <v>1767073854</v>
      </c>
      <c r="C237" t="s">
        <v>19</v>
      </c>
      <c r="D237" t="s">
        <v>168</v>
      </c>
      <c r="E237" s="3">
        <f t="shared" si="27"/>
        <v>4720.6878662109375</v>
      </c>
      <c r="F237" s="3">
        <f t="shared" si="28"/>
        <v>9632.110595703125</v>
      </c>
      <c r="G237" s="3">
        <f t="shared" si="29"/>
        <v>14352.798461914062</v>
      </c>
      <c r="H237" s="4">
        <f t="shared" si="30"/>
        <v>170</v>
      </c>
      <c r="I237" s="3">
        <f t="shared" si="33"/>
        <v>257.4920654296875</v>
      </c>
      <c r="J237" s="3">
        <f t="shared" si="32"/>
        <v>0</v>
      </c>
      <c r="K237" s="3">
        <f t="shared" si="31"/>
        <v>257.4920654296875</v>
      </c>
      <c r="L237" s="3">
        <f ca="1">IFERROR(MAX(0,$G237-SUMIFS($G$2:$G$349,$A$2:$A$349,$A237,$C$2:$C$349,$C237,$B$2:$B$349,_xludf.MINIFS($B$2:$B$349,$A$2:$A$349,$A237,$C$2:$C$349,$C237))),0)</f>
        <v>14352.798461914062</v>
      </c>
    </row>
    <row r="238" spans="1:12" x14ac:dyDescent="0.2">
      <c r="A238" t="s">
        <v>82</v>
      </c>
      <c r="B238">
        <v>1767073862</v>
      </c>
      <c r="C238" t="s">
        <v>13</v>
      </c>
      <c r="D238" t="s">
        <v>142</v>
      </c>
      <c r="E238" s="3">
        <f t="shared" si="27"/>
        <v>1077.6519775390625</v>
      </c>
      <c r="F238" s="3">
        <f t="shared" si="28"/>
        <v>339.508056640625</v>
      </c>
      <c r="G238" s="3">
        <f t="shared" si="29"/>
        <v>1417.1600341796875</v>
      </c>
      <c r="H238" s="4">
        <f t="shared" si="30"/>
        <v>175</v>
      </c>
      <c r="I238" s="3">
        <f t="shared" si="33"/>
        <v>0</v>
      </c>
      <c r="J238" s="3">
        <f t="shared" si="32"/>
        <v>0</v>
      </c>
      <c r="K238" s="3">
        <f t="shared" si="31"/>
        <v>0</v>
      </c>
      <c r="L238" s="3">
        <f ca="1">IFERROR(MAX(0,$G238-SUMIFS($G$2:$G$349,$A$2:$A$349,$A238,$C$2:$C$349,$C238,$B$2:$B$349,_xludf.MINIFS($B$2:$B$349,$A$2:$A$349,$A238,$C$2:$C$349,$C238))),0)</f>
        <v>1417.1600341796875</v>
      </c>
    </row>
    <row r="239" spans="1:12" x14ac:dyDescent="0.2">
      <c r="A239" t="s">
        <v>82</v>
      </c>
      <c r="B239">
        <v>1767073862</v>
      </c>
      <c r="C239" t="s">
        <v>15</v>
      </c>
      <c r="D239" t="s">
        <v>167</v>
      </c>
      <c r="E239" s="3">
        <f t="shared" si="27"/>
        <v>5130.767822265625</v>
      </c>
      <c r="F239" s="3">
        <f t="shared" si="28"/>
        <v>5674.3621826171875</v>
      </c>
      <c r="G239" s="3">
        <f t="shared" si="29"/>
        <v>10805.130004882812</v>
      </c>
      <c r="H239" s="4">
        <f t="shared" si="30"/>
        <v>175</v>
      </c>
      <c r="I239" s="3">
        <f t="shared" si="33"/>
        <v>0</v>
      </c>
      <c r="J239" s="3">
        <f t="shared" si="32"/>
        <v>0</v>
      </c>
      <c r="K239" s="3">
        <f t="shared" si="31"/>
        <v>0</v>
      </c>
      <c r="L239" s="3">
        <f ca="1">IFERROR(MAX(0,$G239-SUMIFS($G$2:$G$349,$A$2:$A$349,$A239,$C$2:$C$349,$C239,$B$2:$B$349,_xludf.MINIFS($B$2:$B$349,$A$2:$A$349,$A239,$C$2:$C$349,$C239))),0)</f>
        <v>10805.130004882812</v>
      </c>
    </row>
    <row r="240" spans="1:12" x14ac:dyDescent="0.2">
      <c r="A240" t="s">
        <v>82</v>
      </c>
      <c r="B240">
        <v>1767073862</v>
      </c>
      <c r="C240" t="s">
        <v>17</v>
      </c>
      <c r="D240" t="s">
        <v>169</v>
      </c>
      <c r="E240" s="3">
        <f t="shared" si="27"/>
        <v>273.70452880859375</v>
      </c>
      <c r="F240" s="3">
        <f t="shared" si="28"/>
        <v>433.92181396484375</v>
      </c>
      <c r="G240" s="3">
        <f t="shared" si="29"/>
        <v>707.6263427734375</v>
      </c>
      <c r="H240" s="4">
        <f t="shared" si="30"/>
        <v>175</v>
      </c>
      <c r="I240" s="3">
        <f t="shared" si="33"/>
        <v>0</v>
      </c>
      <c r="J240" s="3">
        <f t="shared" si="32"/>
        <v>0.95367431640625</v>
      </c>
      <c r="K240" s="3">
        <f t="shared" si="31"/>
        <v>0.95367431640625</v>
      </c>
      <c r="L240" s="3">
        <f ca="1">IFERROR(MAX(0,$G240-SUMIFS($G$2:$G$349,$A$2:$A$349,$A240,$C$2:$C$349,$C240,$B$2:$B$349,_xludf.MINIFS($B$2:$B$349,$A$2:$A$349,$A240,$C$2:$C$349,$C240))),0)</f>
        <v>707.6263427734375</v>
      </c>
    </row>
    <row r="241" spans="1:12" x14ac:dyDescent="0.2">
      <c r="A241" t="s">
        <v>82</v>
      </c>
      <c r="B241">
        <v>1767073862</v>
      </c>
      <c r="C241" t="s">
        <v>19</v>
      </c>
      <c r="D241" t="s">
        <v>170</v>
      </c>
      <c r="E241" s="3">
        <f t="shared" si="27"/>
        <v>4920.95947265625</v>
      </c>
      <c r="F241" s="3">
        <f t="shared" si="28"/>
        <v>9727.47802734375</v>
      </c>
      <c r="G241" s="3">
        <f t="shared" si="29"/>
        <v>14648.4375</v>
      </c>
      <c r="H241" s="4">
        <f t="shared" si="30"/>
        <v>175</v>
      </c>
      <c r="I241" s="3">
        <f t="shared" si="33"/>
        <v>200.2716064453125</v>
      </c>
      <c r="J241" s="3">
        <f t="shared" si="32"/>
        <v>95.367431640625</v>
      </c>
      <c r="K241" s="3">
        <f t="shared" si="31"/>
        <v>295.6390380859375</v>
      </c>
      <c r="L241" s="3">
        <f ca="1">IFERROR(MAX(0,$G241-SUMIFS($G$2:$G$349,$A$2:$A$349,$A241,$C$2:$C$349,$C241,$B$2:$B$349,_xludf.MINIFS($B$2:$B$349,$A$2:$A$349,$A241,$C$2:$C$349,$C241))),0)</f>
        <v>14648.4375</v>
      </c>
    </row>
    <row r="242" spans="1:12" x14ac:dyDescent="0.2">
      <c r="A242" t="s">
        <v>82</v>
      </c>
      <c r="B242">
        <v>1767073869</v>
      </c>
      <c r="C242" t="s">
        <v>13</v>
      </c>
      <c r="D242" t="s">
        <v>171</v>
      </c>
      <c r="E242" s="3">
        <f t="shared" si="27"/>
        <v>1087.188720703125</v>
      </c>
      <c r="F242" s="3">
        <f t="shared" si="28"/>
        <v>339.508056640625</v>
      </c>
      <c r="G242" s="3">
        <f t="shared" si="29"/>
        <v>1426.69677734375</v>
      </c>
      <c r="H242" s="4">
        <f t="shared" si="30"/>
        <v>180</v>
      </c>
      <c r="I242" s="3">
        <f t="shared" si="33"/>
        <v>9.5367431640625</v>
      </c>
      <c r="J242" s="3">
        <f t="shared" si="32"/>
        <v>0</v>
      </c>
      <c r="K242" s="3">
        <f t="shared" si="31"/>
        <v>9.5367431640625</v>
      </c>
      <c r="L242" s="3">
        <f ca="1">IFERROR(MAX(0,$G242-SUMIFS($G$2:$G$349,$A$2:$A$349,$A242,$C$2:$C$349,$C242,$B$2:$B$349,_xludf.MINIFS($B$2:$B$349,$A$2:$A$349,$A242,$C$2:$C$349,$C242))),0)</f>
        <v>1426.69677734375</v>
      </c>
    </row>
    <row r="243" spans="1:12" x14ac:dyDescent="0.2">
      <c r="A243" t="s">
        <v>82</v>
      </c>
      <c r="B243">
        <v>1767073869</v>
      </c>
      <c r="C243" t="s">
        <v>15</v>
      </c>
      <c r="D243" t="s">
        <v>172</v>
      </c>
      <c r="E243" s="3">
        <f t="shared" si="27"/>
        <v>5140.3045654296875</v>
      </c>
      <c r="F243" s="3">
        <f t="shared" si="28"/>
        <v>5702.972412109375</v>
      </c>
      <c r="G243" s="3">
        <f t="shared" si="29"/>
        <v>10843.276977539062</v>
      </c>
      <c r="H243" s="4">
        <f t="shared" si="30"/>
        <v>180</v>
      </c>
      <c r="I243" s="3">
        <f t="shared" si="33"/>
        <v>9.5367431640625</v>
      </c>
      <c r="J243" s="3">
        <f t="shared" si="32"/>
        <v>28.6102294921875</v>
      </c>
      <c r="K243" s="3">
        <f t="shared" si="31"/>
        <v>38.14697265625</v>
      </c>
      <c r="L243" s="3">
        <f ca="1">IFERROR(MAX(0,$G243-SUMIFS($G$2:$G$349,$A$2:$A$349,$A243,$C$2:$C$349,$C243,$B$2:$B$349,_xludf.MINIFS($B$2:$B$349,$A$2:$A$349,$A243,$C$2:$C$349,$C243))),0)</f>
        <v>10843.276977539062</v>
      </c>
    </row>
    <row r="244" spans="1:12" x14ac:dyDescent="0.2">
      <c r="A244" t="s">
        <v>82</v>
      </c>
      <c r="B244">
        <v>1767073869</v>
      </c>
      <c r="C244" t="s">
        <v>17</v>
      </c>
      <c r="D244" t="s">
        <v>173</v>
      </c>
      <c r="E244" s="3">
        <f t="shared" si="27"/>
        <v>274.658203125</v>
      </c>
      <c r="F244" s="3">
        <f t="shared" si="28"/>
        <v>433.92181396484375</v>
      </c>
      <c r="G244" s="3">
        <f t="shared" si="29"/>
        <v>708.58001708984375</v>
      </c>
      <c r="H244" s="4">
        <f t="shared" si="30"/>
        <v>180</v>
      </c>
      <c r="I244" s="3">
        <f t="shared" si="33"/>
        <v>0.95367431640625</v>
      </c>
      <c r="J244" s="3">
        <f t="shared" si="32"/>
        <v>0</v>
      </c>
      <c r="K244" s="3">
        <f t="shared" si="31"/>
        <v>0.95367431640625</v>
      </c>
      <c r="L244" s="3">
        <f ca="1">IFERROR(MAX(0,$G244-SUMIFS($G$2:$G$349,$A$2:$A$349,$A244,$C$2:$C$349,$C244,$B$2:$B$349,_xludf.MINIFS($B$2:$B$349,$A$2:$A$349,$A244,$C$2:$C$349,$C244))),0)</f>
        <v>708.58001708984375</v>
      </c>
    </row>
    <row r="245" spans="1:12" x14ac:dyDescent="0.2">
      <c r="A245" t="s">
        <v>82</v>
      </c>
      <c r="B245">
        <v>1767073869</v>
      </c>
      <c r="C245" t="s">
        <v>19</v>
      </c>
      <c r="D245" t="s">
        <v>174</v>
      </c>
      <c r="E245" s="3">
        <f t="shared" si="27"/>
        <v>5006.7901611328125</v>
      </c>
      <c r="F245" s="3">
        <f t="shared" si="28"/>
        <v>9727.47802734375</v>
      </c>
      <c r="G245" s="3">
        <f t="shared" si="29"/>
        <v>14734.268188476562</v>
      </c>
      <c r="H245" s="4">
        <f t="shared" si="30"/>
        <v>180</v>
      </c>
      <c r="I245" s="3">
        <f t="shared" si="33"/>
        <v>85.8306884765625</v>
      </c>
      <c r="J245" s="3">
        <f t="shared" si="32"/>
        <v>0</v>
      </c>
      <c r="K245" s="3">
        <f t="shared" si="31"/>
        <v>85.8306884765625</v>
      </c>
      <c r="L245" s="3">
        <f ca="1">IFERROR(MAX(0,$G245-SUMIFS($G$2:$G$349,$A$2:$A$349,$A245,$C$2:$C$349,$C245,$B$2:$B$349,_xludf.MINIFS($B$2:$B$349,$A$2:$A$349,$A245,$C$2:$C$349,$C245))),0)</f>
        <v>14734.268188476562</v>
      </c>
    </row>
    <row r="246" spans="1:12" x14ac:dyDescent="0.2">
      <c r="A246" t="s">
        <v>82</v>
      </c>
      <c r="B246">
        <v>1767073876</v>
      </c>
      <c r="C246" t="s">
        <v>13</v>
      </c>
      <c r="D246" t="s">
        <v>171</v>
      </c>
      <c r="E246" s="3">
        <f t="shared" si="27"/>
        <v>1087.188720703125</v>
      </c>
      <c r="F246" s="3">
        <f t="shared" si="28"/>
        <v>339.508056640625</v>
      </c>
      <c r="G246" s="3">
        <f t="shared" si="29"/>
        <v>1426.69677734375</v>
      </c>
      <c r="H246" s="4">
        <f t="shared" si="30"/>
        <v>185</v>
      </c>
      <c r="I246" s="3">
        <f t="shared" si="33"/>
        <v>0</v>
      </c>
      <c r="J246" s="3">
        <f t="shared" si="32"/>
        <v>0</v>
      </c>
      <c r="K246" s="3">
        <f t="shared" si="31"/>
        <v>0</v>
      </c>
      <c r="L246" s="3">
        <f ca="1">IFERROR(MAX(0,$G246-SUMIFS($G$2:$G$349,$A$2:$A$349,$A246,$C$2:$C$349,$C246,$B$2:$B$349,_xludf.MINIFS($B$2:$B$349,$A$2:$A$349,$A246,$C$2:$C$349,$C246))),0)</f>
        <v>1426.69677734375</v>
      </c>
    </row>
    <row r="247" spans="1:12" x14ac:dyDescent="0.2">
      <c r="A247" t="s">
        <v>82</v>
      </c>
      <c r="B247">
        <v>1767073876</v>
      </c>
      <c r="C247" t="s">
        <v>15</v>
      </c>
      <c r="D247" t="s">
        <v>172</v>
      </c>
      <c r="E247" s="3">
        <f t="shared" si="27"/>
        <v>5140.3045654296875</v>
      </c>
      <c r="F247" s="3">
        <f t="shared" si="28"/>
        <v>5702.972412109375</v>
      </c>
      <c r="G247" s="3">
        <f t="shared" si="29"/>
        <v>10843.276977539062</v>
      </c>
      <c r="H247" s="4">
        <f t="shared" si="30"/>
        <v>185</v>
      </c>
      <c r="I247" s="3">
        <f t="shared" si="33"/>
        <v>0</v>
      </c>
      <c r="J247" s="3">
        <f t="shared" si="32"/>
        <v>0</v>
      </c>
      <c r="K247" s="3">
        <f t="shared" si="31"/>
        <v>0</v>
      </c>
      <c r="L247" s="3">
        <f ca="1">IFERROR(MAX(0,$G247-SUMIFS($G$2:$G$349,$A$2:$A$349,$A247,$C$2:$C$349,$C247,$B$2:$B$349,_xludf.MINIFS($B$2:$B$349,$A$2:$A$349,$A247,$C$2:$C$349,$C247))),0)</f>
        <v>10843.276977539062</v>
      </c>
    </row>
    <row r="248" spans="1:12" x14ac:dyDescent="0.2">
      <c r="A248" t="s">
        <v>82</v>
      </c>
      <c r="B248">
        <v>1767073876</v>
      </c>
      <c r="C248" t="s">
        <v>17</v>
      </c>
      <c r="D248" t="s">
        <v>175</v>
      </c>
      <c r="E248" s="3">
        <f t="shared" si="27"/>
        <v>278.472900390625</v>
      </c>
      <c r="F248" s="3">
        <f t="shared" si="28"/>
        <v>433.92181396484375</v>
      </c>
      <c r="G248" s="3">
        <f t="shared" si="29"/>
        <v>712.39471435546875</v>
      </c>
      <c r="H248" s="4">
        <f t="shared" si="30"/>
        <v>185</v>
      </c>
      <c r="I248" s="3">
        <f t="shared" si="33"/>
        <v>3.814697265625</v>
      </c>
      <c r="J248" s="3">
        <f t="shared" si="32"/>
        <v>0</v>
      </c>
      <c r="K248" s="3">
        <f t="shared" si="31"/>
        <v>3.814697265625</v>
      </c>
      <c r="L248" s="3">
        <f ca="1">IFERROR(MAX(0,$G248-SUMIFS($G$2:$G$349,$A$2:$A$349,$A248,$C$2:$C$349,$C248,$B$2:$B$349,_xludf.MINIFS($B$2:$B$349,$A$2:$A$349,$A248,$C$2:$C$349,$C248))),0)</f>
        <v>712.39471435546875</v>
      </c>
    </row>
    <row r="249" spans="1:12" x14ac:dyDescent="0.2">
      <c r="A249" t="s">
        <v>82</v>
      </c>
      <c r="B249">
        <v>1767073876</v>
      </c>
      <c r="C249" t="s">
        <v>19</v>
      </c>
      <c r="D249" t="s">
        <v>176</v>
      </c>
      <c r="E249" s="3">
        <f t="shared" si="27"/>
        <v>5054.473876953125</v>
      </c>
      <c r="F249" s="3">
        <f t="shared" si="28"/>
        <v>9727.47802734375</v>
      </c>
      <c r="G249" s="3">
        <f t="shared" si="29"/>
        <v>14781.951904296875</v>
      </c>
      <c r="H249" s="4">
        <f t="shared" si="30"/>
        <v>185</v>
      </c>
      <c r="I249" s="3">
        <f t="shared" si="33"/>
        <v>47.6837158203125</v>
      </c>
      <c r="J249" s="3">
        <f t="shared" si="32"/>
        <v>0</v>
      </c>
      <c r="K249" s="3">
        <f t="shared" si="31"/>
        <v>47.6837158203125</v>
      </c>
      <c r="L249" s="3">
        <f ca="1">IFERROR(MAX(0,$G249-SUMIFS($G$2:$G$349,$A$2:$A$349,$A249,$C$2:$C$349,$C249,$B$2:$B$349,_xludf.MINIFS($B$2:$B$349,$A$2:$A$349,$A249,$C$2:$C$349,$C249))),0)</f>
        <v>14781.951904296875</v>
      </c>
    </row>
    <row r="250" spans="1:12" x14ac:dyDescent="0.2">
      <c r="A250" t="s">
        <v>82</v>
      </c>
      <c r="B250">
        <v>1767073883</v>
      </c>
      <c r="C250" t="s">
        <v>13</v>
      </c>
      <c r="D250" t="s">
        <v>171</v>
      </c>
      <c r="E250" s="3">
        <f t="shared" si="27"/>
        <v>1087.188720703125</v>
      </c>
      <c r="F250" s="3">
        <f t="shared" si="28"/>
        <v>339.508056640625</v>
      </c>
      <c r="G250" s="3">
        <f t="shared" si="29"/>
        <v>1426.69677734375</v>
      </c>
      <c r="H250" s="4">
        <f t="shared" si="30"/>
        <v>190</v>
      </c>
      <c r="I250" s="3">
        <f t="shared" si="33"/>
        <v>0</v>
      </c>
      <c r="J250" s="3">
        <f t="shared" si="32"/>
        <v>0</v>
      </c>
      <c r="K250" s="3">
        <f t="shared" si="31"/>
        <v>0</v>
      </c>
      <c r="L250" s="3">
        <f ca="1">IFERROR(MAX(0,$G250-SUMIFS($G$2:$G$349,$A$2:$A$349,$A250,$C$2:$C$349,$C250,$B$2:$B$349,_xludf.MINIFS($B$2:$B$349,$A$2:$A$349,$A250,$C$2:$C$349,$C250))),0)</f>
        <v>1426.69677734375</v>
      </c>
    </row>
    <row r="251" spans="1:12" x14ac:dyDescent="0.2">
      <c r="A251" t="s">
        <v>82</v>
      </c>
      <c r="B251">
        <v>1767073883</v>
      </c>
      <c r="C251" t="s">
        <v>15</v>
      </c>
      <c r="D251" t="s">
        <v>177</v>
      </c>
      <c r="E251" s="3">
        <f t="shared" si="27"/>
        <v>5149.84130859375</v>
      </c>
      <c r="F251" s="3">
        <f t="shared" si="28"/>
        <v>5702.972412109375</v>
      </c>
      <c r="G251" s="3">
        <f t="shared" si="29"/>
        <v>10852.813720703125</v>
      </c>
      <c r="H251" s="4">
        <f t="shared" si="30"/>
        <v>190</v>
      </c>
      <c r="I251" s="3">
        <f t="shared" si="33"/>
        <v>9.5367431640625</v>
      </c>
      <c r="J251" s="3">
        <f t="shared" si="32"/>
        <v>0</v>
      </c>
      <c r="K251" s="3">
        <f t="shared" si="31"/>
        <v>9.5367431640625</v>
      </c>
      <c r="L251" s="3">
        <f ca="1">IFERROR(MAX(0,$G251-SUMIFS($G$2:$G$349,$A$2:$A$349,$A251,$C$2:$C$349,$C251,$B$2:$B$349,_xludf.MINIFS($B$2:$B$349,$A$2:$A$349,$A251,$C$2:$C$349,$C251))),0)</f>
        <v>10852.813720703125</v>
      </c>
    </row>
    <row r="252" spans="1:12" x14ac:dyDescent="0.2">
      <c r="A252" t="s">
        <v>82</v>
      </c>
      <c r="B252">
        <v>1767073883</v>
      </c>
      <c r="C252" t="s">
        <v>17</v>
      </c>
      <c r="D252" t="s">
        <v>178</v>
      </c>
      <c r="E252" s="3">
        <f t="shared" si="27"/>
        <v>279.42657470703125</v>
      </c>
      <c r="F252" s="3">
        <f t="shared" si="28"/>
        <v>433.92181396484375</v>
      </c>
      <c r="G252" s="3">
        <f t="shared" si="29"/>
        <v>713.348388671875</v>
      </c>
      <c r="H252" s="4">
        <f t="shared" si="30"/>
        <v>190</v>
      </c>
      <c r="I252" s="3">
        <f t="shared" si="33"/>
        <v>0.95367431640625</v>
      </c>
      <c r="J252" s="3">
        <f t="shared" si="32"/>
        <v>0</v>
      </c>
      <c r="K252" s="3">
        <f t="shared" si="31"/>
        <v>0.95367431640625</v>
      </c>
      <c r="L252" s="3">
        <f ca="1">IFERROR(MAX(0,$G252-SUMIFS($G$2:$G$349,$A$2:$A$349,$A252,$C$2:$C$349,$C252,$B$2:$B$349,_xludf.MINIFS($B$2:$B$349,$A$2:$A$349,$A252,$C$2:$C$349,$C252))),0)</f>
        <v>713.348388671875</v>
      </c>
    </row>
    <row r="253" spans="1:12" x14ac:dyDescent="0.2">
      <c r="A253" t="s">
        <v>82</v>
      </c>
      <c r="B253">
        <v>1767073883</v>
      </c>
      <c r="C253" t="s">
        <v>19</v>
      </c>
      <c r="D253" t="s">
        <v>179</v>
      </c>
      <c r="E253" s="3">
        <f t="shared" si="27"/>
        <v>5064.0106201171875</v>
      </c>
      <c r="F253" s="3">
        <f t="shared" si="28"/>
        <v>9727.47802734375</v>
      </c>
      <c r="G253" s="3">
        <f t="shared" si="29"/>
        <v>14791.488647460938</v>
      </c>
      <c r="H253" s="4">
        <f t="shared" si="30"/>
        <v>190</v>
      </c>
      <c r="I253" s="3">
        <f t="shared" si="33"/>
        <v>9.5367431640625</v>
      </c>
      <c r="J253" s="3">
        <f t="shared" si="32"/>
        <v>0</v>
      </c>
      <c r="K253" s="3">
        <f t="shared" si="31"/>
        <v>9.5367431640625</v>
      </c>
      <c r="L253" s="3">
        <f ca="1">IFERROR(MAX(0,$G253-SUMIFS($G$2:$G$349,$A$2:$A$349,$A253,$C$2:$C$349,$C253,$B$2:$B$349,_xludf.MINIFS($B$2:$B$349,$A$2:$A$349,$A253,$C$2:$C$349,$C253))),0)</f>
        <v>14791.488647460938</v>
      </c>
    </row>
    <row r="254" spans="1:12" x14ac:dyDescent="0.2">
      <c r="A254" t="s">
        <v>82</v>
      </c>
      <c r="B254">
        <v>1767073891</v>
      </c>
      <c r="C254" t="s">
        <v>13</v>
      </c>
      <c r="D254" t="s">
        <v>171</v>
      </c>
      <c r="E254" s="3">
        <f t="shared" si="27"/>
        <v>1087.188720703125</v>
      </c>
      <c r="F254" s="3">
        <f t="shared" si="28"/>
        <v>339.508056640625</v>
      </c>
      <c r="G254" s="3">
        <f t="shared" si="29"/>
        <v>1426.69677734375</v>
      </c>
      <c r="H254" s="4">
        <f t="shared" si="30"/>
        <v>195</v>
      </c>
      <c r="I254" s="3">
        <f t="shared" si="33"/>
        <v>0</v>
      </c>
      <c r="J254" s="3">
        <f t="shared" si="32"/>
        <v>0</v>
      </c>
      <c r="K254" s="3">
        <f t="shared" si="31"/>
        <v>0</v>
      </c>
      <c r="L254" s="3">
        <f ca="1">IFERROR(MAX(0,$G254-SUMIFS($G$2:$G$349,$A$2:$A$349,$A254,$C$2:$C$349,$C254,$B$2:$B$349,_xludf.MINIFS($B$2:$B$349,$A$2:$A$349,$A254,$C$2:$C$349,$C254))),0)</f>
        <v>1426.69677734375</v>
      </c>
    </row>
    <row r="255" spans="1:12" x14ac:dyDescent="0.2">
      <c r="A255" t="s">
        <v>82</v>
      </c>
      <c r="B255">
        <v>1767073891</v>
      </c>
      <c r="C255" t="s">
        <v>15</v>
      </c>
      <c r="D255" t="s">
        <v>177</v>
      </c>
      <c r="E255" s="3">
        <f t="shared" si="27"/>
        <v>5149.84130859375</v>
      </c>
      <c r="F255" s="3">
        <f t="shared" si="28"/>
        <v>5702.972412109375</v>
      </c>
      <c r="G255" s="3">
        <f t="shared" si="29"/>
        <v>10852.813720703125</v>
      </c>
      <c r="H255" s="4">
        <f t="shared" si="30"/>
        <v>195</v>
      </c>
      <c r="I255" s="3">
        <f t="shared" si="33"/>
        <v>0</v>
      </c>
      <c r="J255" s="3">
        <f t="shared" si="32"/>
        <v>0</v>
      </c>
      <c r="K255" s="3">
        <f t="shared" si="31"/>
        <v>0</v>
      </c>
      <c r="L255" s="3">
        <f ca="1">IFERROR(MAX(0,$G255-SUMIFS($G$2:$G$349,$A$2:$A$349,$A255,$C$2:$C$349,$C255,$B$2:$B$349,_xludf.MINIFS($B$2:$B$349,$A$2:$A$349,$A255,$C$2:$C$349,$C255))),0)</f>
        <v>10852.813720703125</v>
      </c>
    </row>
    <row r="256" spans="1:12" x14ac:dyDescent="0.2">
      <c r="A256" t="s">
        <v>82</v>
      </c>
      <c r="B256">
        <v>1767073891</v>
      </c>
      <c r="C256" t="s">
        <v>17</v>
      </c>
      <c r="D256" t="s">
        <v>178</v>
      </c>
      <c r="E256" s="3">
        <f t="shared" si="27"/>
        <v>279.42657470703125</v>
      </c>
      <c r="F256" s="3">
        <f t="shared" si="28"/>
        <v>433.92181396484375</v>
      </c>
      <c r="G256" s="3">
        <f t="shared" si="29"/>
        <v>713.348388671875</v>
      </c>
      <c r="H256" s="4">
        <f t="shared" si="30"/>
        <v>195</v>
      </c>
      <c r="I256" s="3">
        <f t="shared" si="33"/>
        <v>0</v>
      </c>
      <c r="J256" s="3">
        <f t="shared" si="32"/>
        <v>0</v>
      </c>
      <c r="K256" s="3">
        <f t="shared" si="31"/>
        <v>0</v>
      </c>
      <c r="L256" s="3">
        <f ca="1">IFERROR(MAX(0,$G256-SUMIFS($G$2:$G$349,$A$2:$A$349,$A256,$C$2:$C$349,$C256,$B$2:$B$349,_xludf.MINIFS($B$2:$B$349,$A$2:$A$349,$A256,$C$2:$C$349,$C256))),0)</f>
        <v>713.348388671875</v>
      </c>
    </row>
    <row r="257" spans="1:12" x14ac:dyDescent="0.2">
      <c r="A257" t="s">
        <v>82</v>
      </c>
      <c r="B257">
        <v>1767073891</v>
      </c>
      <c r="C257" t="s">
        <v>19</v>
      </c>
      <c r="D257" t="s">
        <v>179</v>
      </c>
      <c r="E257" s="3">
        <f t="shared" si="27"/>
        <v>5064.0106201171875</v>
      </c>
      <c r="F257" s="3">
        <f t="shared" si="28"/>
        <v>9727.47802734375</v>
      </c>
      <c r="G257" s="3">
        <f t="shared" si="29"/>
        <v>14791.488647460938</v>
      </c>
      <c r="H257" s="4">
        <f t="shared" si="30"/>
        <v>195</v>
      </c>
      <c r="I257" s="3">
        <f t="shared" si="33"/>
        <v>0</v>
      </c>
      <c r="J257" s="3">
        <f t="shared" si="32"/>
        <v>0</v>
      </c>
      <c r="K257" s="3">
        <f t="shared" si="31"/>
        <v>0</v>
      </c>
      <c r="L257" s="3">
        <f ca="1">IFERROR(MAX(0,$G257-SUMIFS($G$2:$G$349,$A$2:$A$349,$A257,$C$2:$C$349,$C257,$B$2:$B$349,_xludf.MINIFS($B$2:$B$349,$A$2:$A$349,$A257,$C$2:$C$349,$C257))),0)</f>
        <v>14791.488647460938</v>
      </c>
    </row>
    <row r="258" spans="1:12" x14ac:dyDescent="0.2">
      <c r="A258" t="s">
        <v>82</v>
      </c>
      <c r="B258">
        <v>1767073898</v>
      </c>
      <c r="C258" t="s">
        <v>13</v>
      </c>
      <c r="D258" t="s">
        <v>171</v>
      </c>
      <c r="E258" s="3">
        <f t="shared" ref="E258:E321" si="34">IFERROR(IF(RIGHT(TRIM(LEFT($D258,FIND("/",$D258)-1)),2)="kB",VALUE(LEFT(TRIM(LEFT($D258,FIND("/",$D258)-1)),LEN(TRIM(LEFT($D258,FIND("/",$D258)-1)))-2))*1000/1024/1024,IF(RIGHT(TRIM(LEFT($D258,FIND("/",$D258)-1)),2)="MB",VALUE(LEFT(TRIM(LEFT($D258,FIND("/",$D258)-1)),LEN(TRIM(LEFT($D258,FIND("/",$D258)-1)))-2))*1000000/1024/1024,IF(RIGHT(TRIM(LEFT($D258,FIND("/",$D258)-1)),2)="GB",VALUE(LEFT(TRIM(LEFT($D258,FIND("/",$D258)-1)),LEN(TRIM(LEFT($D258,FIND("/",$D258)-1)))-2))*1000000000/1024/1024,""))),"")</f>
        <v>1087.188720703125</v>
      </c>
      <c r="F258" s="3">
        <f t="shared" ref="F258:F321" si="35">IFERROR(IF(RIGHT(TRIM(MID($D258,FIND("/",$D258)+1,999)),2)="kB",VALUE(LEFT(TRIM(MID($D258,FIND("/",$D258)+1,999)),LEN(TRIM(MID($D258,FIND("/",$D258)+1,999)))-2))*1000/1024/1024,IF(RIGHT(TRIM(MID($D258,FIND("/",$D258)+1,999)),2)="MB",VALUE(LEFT(TRIM(MID($D258,FIND("/",$D258)+1,999)),LEN(TRIM(MID($D258,FIND("/",$D258)+1,999)))-2))*1000000/1024/1024,IF(RIGHT(TRIM(MID($D258,FIND("/",$D258)+1,999)),2)="GB",VALUE(LEFT(TRIM(MID($D258,FIND("/",$D258)+1,999)),LEN(TRIM(MID($D258,FIND("/",$D258)+1,999)))-2))*1000000000/1024/1024,""))),"")</f>
        <v>339.508056640625</v>
      </c>
      <c r="G258" s="3">
        <f t="shared" ref="G258:G321" si="36">IFERROR($E258+$F258,"")</f>
        <v>1426.69677734375</v>
      </c>
      <c r="H258" s="4">
        <f t="shared" ref="H258:H321" si="37">IF($A258&lt;&gt;$A257,0,IF($B258=$B257,$H257,$H257+5))</f>
        <v>200</v>
      </c>
      <c r="I258" s="3">
        <f t="shared" si="33"/>
        <v>0</v>
      </c>
      <c r="J258" s="3">
        <f t="shared" si="32"/>
        <v>0</v>
      </c>
      <c r="K258" s="3">
        <f t="shared" si="31"/>
        <v>0</v>
      </c>
      <c r="L258" s="3">
        <f ca="1">IFERROR(MAX(0,$G258-SUMIFS($G$2:$G$349,$A$2:$A$349,$A258,$C$2:$C$349,$C258,$B$2:$B$349,_xludf.MINIFS($B$2:$B$349,$A$2:$A$349,$A258,$C$2:$C$349,$C258))),0)</f>
        <v>1426.69677734375</v>
      </c>
    </row>
    <row r="259" spans="1:12" x14ac:dyDescent="0.2">
      <c r="A259" t="s">
        <v>82</v>
      </c>
      <c r="B259">
        <v>1767073898</v>
      </c>
      <c r="C259" t="s">
        <v>15</v>
      </c>
      <c r="D259" t="s">
        <v>180</v>
      </c>
      <c r="E259" s="3">
        <f t="shared" si="34"/>
        <v>5149.84130859375</v>
      </c>
      <c r="F259" s="3">
        <f t="shared" si="35"/>
        <v>5712.5091552734375</v>
      </c>
      <c r="G259" s="3">
        <f t="shared" si="36"/>
        <v>10862.350463867188</v>
      </c>
      <c r="H259" s="4">
        <f t="shared" si="37"/>
        <v>200</v>
      </c>
      <c r="I259" s="3">
        <f t="shared" si="33"/>
        <v>0</v>
      </c>
      <c r="J259" s="3">
        <f t="shared" si="32"/>
        <v>9.5367431640625</v>
      </c>
      <c r="K259" s="3">
        <f t="shared" ref="K259:K322" si="38">IF($B259=_xlfn.MINIFS($B$2:$B$349,$A$2:$A$349,$A259,$C$2:$C$349,$C259),0,IFERROR(MAX(0,$G259-SUMIFS($G$2:$G$349,$A$2:$A$349,$A259,$C$2:$C$349,$C259,$B$2:$B$349,_xlfn.MAXIFS($B$2:$B$349,$A$2:$A$349,$A259,$C$2:$C$349,$C259,$B$2:$B$349,"&lt;"&amp;$B259))),0))</f>
        <v>9.5367431640625</v>
      </c>
      <c r="L259" s="3">
        <f ca="1">IFERROR(MAX(0,$G259-SUMIFS($G$2:$G$349,$A$2:$A$349,$A259,$C$2:$C$349,$C259,$B$2:$B$349,_xludf.MINIFS($B$2:$B$349,$A$2:$A$349,$A259,$C$2:$C$349,$C259))),0)</f>
        <v>10862.350463867188</v>
      </c>
    </row>
    <row r="260" spans="1:12" x14ac:dyDescent="0.2">
      <c r="A260" t="s">
        <v>82</v>
      </c>
      <c r="B260">
        <v>1767073898</v>
      </c>
      <c r="C260" t="s">
        <v>17</v>
      </c>
      <c r="D260" t="s">
        <v>178</v>
      </c>
      <c r="E260" s="3">
        <f t="shared" si="34"/>
        <v>279.42657470703125</v>
      </c>
      <c r="F260" s="3">
        <f t="shared" si="35"/>
        <v>433.92181396484375</v>
      </c>
      <c r="G260" s="3">
        <f t="shared" si="36"/>
        <v>713.348388671875</v>
      </c>
      <c r="H260" s="4">
        <f t="shared" si="37"/>
        <v>200</v>
      </c>
      <c r="I260" s="3">
        <f t="shared" si="33"/>
        <v>0</v>
      </c>
      <c r="J260" s="3">
        <f t="shared" si="32"/>
        <v>0</v>
      </c>
      <c r="K260" s="3">
        <f t="shared" si="38"/>
        <v>0</v>
      </c>
      <c r="L260" s="3">
        <f ca="1">IFERROR(MAX(0,$G260-SUMIFS($G$2:$G$349,$A$2:$A$349,$A260,$C$2:$C$349,$C260,$B$2:$B$349,_xludf.MINIFS($B$2:$B$349,$A$2:$A$349,$A260,$C$2:$C$349,$C260))),0)</f>
        <v>713.348388671875</v>
      </c>
    </row>
    <row r="261" spans="1:12" x14ac:dyDescent="0.2">
      <c r="A261" t="s">
        <v>82</v>
      </c>
      <c r="B261">
        <v>1767073898</v>
      </c>
      <c r="C261" t="s">
        <v>19</v>
      </c>
      <c r="D261" t="s">
        <v>181</v>
      </c>
      <c r="E261" s="3">
        <f t="shared" si="34"/>
        <v>5073.54736328125</v>
      </c>
      <c r="F261" s="3">
        <f t="shared" si="35"/>
        <v>9727.47802734375</v>
      </c>
      <c r="G261" s="3">
        <f t="shared" si="36"/>
        <v>14801.025390625</v>
      </c>
      <c r="H261" s="4">
        <f t="shared" si="37"/>
        <v>200</v>
      </c>
      <c r="I261" s="3">
        <f t="shared" si="33"/>
        <v>9.5367431640625</v>
      </c>
      <c r="J261" s="3">
        <f t="shared" si="32"/>
        <v>0</v>
      </c>
      <c r="K261" s="3">
        <f t="shared" si="38"/>
        <v>9.5367431640625</v>
      </c>
      <c r="L261" s="3">
        <f ca="1">IFERROR(MAX(0,$G261-SUMIFS($G$2:$G$349,$A$2:$A$349,$A261,$C$2:$C$349,$C261,$B$2:$B$349,_xludf.MINIFS($B$2:$B$349,$A$2:$A$349,$A261,$C$2:$C$349,$C261))),0)</f>
        <v>14801.025390625</v>
      </c>
    </row>
    <row r="262" spans="1:12" x14ac:dyDescent="0.2">
      <c r="A262" t="s">
        <v>182</v>
      </c>
      <c r="B262">
        <v>1767073918</v>
      </c>
      <c r="C262" t="s">
        <v>13</v>
      </c>
      <c r="D262" t="s">
        <v>183</v>
      </c>
      <c r="E262" s="3">
        <f t="shared" si="34"/>
        <v>1087.188720703125</v>
      </c>
      <c r="F262" s="3">
        <f t="shared" si="35"/>
        <v>340.46173095703125</v>
      </c>
      <c r="G262" s="3">
        <f t="shared" si="36"/>
        <v>1427.6504516601562</v>
      </c>
      <c r="H262" s="4">
        <f t="shared" si="37"/>
        <v>0</v>
      </c>
      <c r="I262" s="3">
        <f t="shared" si="33"/>
        <v>0</v>
      </c>
      <c r="J262" s="3">
        <f t="shared" si="32"/>
        <v>0</v>
      </c>
      <c r="K262" s="3">
        <f t="shared" si="38"/>
        <v>0</v>
      </c>
      <c r="L262" s="3">
        <f ca="1">IFERROR(MAX(0,$G262-SUMIFS($G$2:$G$349,$A$2:$A$349,$A262,$C$2:$C$349,$C262,$B$2:$B$349,_xludf.MINIFS($B$2:$B$349,$A$2:$A$349,$A262,$C$2:$C$349,$C262))),0)</f>
        <v>1427.6504516601562</v>
      </c>
    </row>
    <row r="263" spans="1:12" x14ac:dyDescent="0.2">
      <c r="A263" t="s">
        <v>182</v>
      </c>
      <c r="B263">
        <v>1767073918</v>
      </c>
      <c r="C263" t="s">
        <v>15</v>
      </c>
      <c r="D263" t="s">
        <v>184</v>
      </c>
      <c r="E263" s="3">
        <f t="shared" si="34"/>
        <v>5168.914794921875</v>
      </c>
      <c r="F263" s="3">
        <f t="shared" si="35"/>
        <v>6103.515625</v>
      </c>
      <c r="G263" s="3">
        <f t="shared" si="36"/>
        <v>11272.430419921875</v>
      </c>
      <c r="H263" s="4">
        <f t="shared" si="37"/>
        <v>0</v>
      </c>
      <c r="I263" s="3">
        <f t="shared" si="33"/>
        <v>0</v>
      </c>
      <c r="J263" s="3">
        <f t="shared" si="32"/>
        <v>0</v>
      </c>
      <c r="K263" s="3">
        <f t="shared" si="38"/>
        <v>0</v>
      </c>
      <c r="L263" s="3">
        <f ca="1">IFERROR(MAX(0,$G263-SUMIFS($G$2:$G$349,$A$2:$A$349,$A263,$C$2:$C$349,$C263,$B$2:$B$349,_xludf.MINIFS($B$2:$B$349,$A$2:$A$349,$A263,$C$2:$C$349,$C263))),0)</f>
        <v>11272.430419921875</v>
      </c>
    </row>
    <row r="264" spans="1:12" x14ac:dyDescent="0.2">
      <c r="A264" t="s">
        <v>182</v>
      </c>
      <c r="B264">
        <v>1767073918</v>
      </c>
      <c r="C264" t="s">
        <v>17</v>
      </c>
      <c r="D264" t="s">
        <v>185</v>
      </c>
      <c r="E264" s="3">
        <f t="shared" si="34"/>
        <v>281.33392333984375</v>
      </c>
      <c r="F264" s="3">
        <f t="shared" si="35"/>
        <v>433.92181396484375</v>
      </c>
      <c r="G264" s="3">
        <f t="shared" si="36"/>
        <v>715.2557373046875</v>
      </c>
      <c r="H264" s="4">
        <f t="shared" si="37"/>
        <v>0</v>
      </c>
      <c r="I264" s="3">
        <f t="shared" si="33"/>
        <v>0</v>
      </c>
      <c r="J264" s="3">
        <f t="shared" si="32"/>
        <v>0</v>
      </c>
      <c r="K264" s="3">
        <f t="shared" si="38"/>
        <v>0</v>
      </c>
      <c r="L264" s="3">
        <f ca="1">IFERROR(MAX(0,$G264-SUMIFS($G$2:$G$349,$A$2:$A$349,$A264,$C$2:$C$349,$C264,$B$2:$B$349,_xludf.MINIFS($B$2:$B$349,$A$2:$A$349,$A264,$C$2:$C$349,$C264))),0)</f>
        <v>715.2557373046875</v>
      </c>
    </row>
    <row r="265" spans="1:12" x14ac:dyDescent="0.2">
      <c r="A265" t="s">
        <v>182</v>
      </c>
      <c r="B265">
        <v>1767073918</v>
      </c>
      <c r="C265" t="s">
        <v>19</v>
      </c>
      <c r="D265" t="s">
        <v>181</v>
      </c>
      <c r="E265" s="3">
        <f t="shared" si="34"/>
        <v>5073.54736328125</v>
      </c>
      <c r="F265" s="3">
        <f t="shared" si="35"/>
        <v>9727.47802734375</v>
      </c>
      <c r="G265" s="3">
        <f t="shared" si="36"/>
        <v>14801.025390625</v>
      </c>
      <c r="H265" s="4">
        <f t="shared" si="37"/>
        <v>0</v>
      </c>
      <c r="I265" s="3">
        <f t="shared" si="33"/>
        <v>0</v>
      </c>
      <c r="J265" s="3">
        <f t="shared" si="32"/>
        <v>0</v>
      </c>
      <c r="K265" s="3">
        <f t="shared" si="38"/>
        <v>0</v>
      </c>
      <c r="L265" s="3">
        <f ca="1">IFERROR(MAX(0,$G265-SUMIFS($G$2:$G$349,$A$2:$A$349,$A265,$C$2:$C$349,$C265,$B$2:$B$349,_xludf.MINIFS($B$2:$B$349,$A$2:$A$349,$A265,$C$2:$C$349,$C265))),0)</f>
        <v>14801.025390625</v>
      </c>
    </row>
    <row r="266" spans="1:12" x14ac:dyDescent="0.2">
      <c r="A266" t="s">
        <v>182</v>
      </c>
      <c r="B266">
        <v>1767073926</v>
      </c>
      <c r="C266" t="s">
        <v>13</v>
      </c>
      <c r="D266" t="s">
        <v>183</v>
      </c>
      <c r="E266" s="3">
        <f t="shared" si="34"/>
        <v>1087.188720703125</v>
      </c>
      <c r="F266" s="3">
        <f t="shared" si="35"/>
        <v>340.46173095703125</v>
      </c>
      <c r="G266" s="3">
        <f t="shared" si="36"/>
        <v>1427.6504516601562</v>
      </c>
      <c r="H266" s="4">
        <f t="shared" si="37"/>
        <v>5</v>
      </c>
      <c r="I266" s="3">
        <f t="shared" si="33"/>
        <v>0</v>
      </c>
      <c r="J266" s="3">
        <f t="shared" si="32"/>
        <v>0</v>
      </c>
      <c r="K266" s="3">
        <f t="shared" si="38"/>
        <v>0</v>
      </c>
      <c r="L266" s="3">
        <f ca="1">IFERROR(MAX(0,$G266-SUMIFS($G$2:$G$349,$A$2:$A$349,$A266,$C$2:$C$349,$C266,$B$2:$B$349,_xludf.MINIFS($B$2:$B$349,$A$2:$A$349,$A266,$C$2:$C$349,$C266))),0)</f>
        <v>1427.6504516601562</v>
      </c>
    </row>
    <row r="267" spans="1:12" x14ac:dyDescent="0.2">
      <c r="A267" t="s">
        <v>182</v>
      </c>
      <c r="B267">
        <v>1767073926</v>
      </c>
      <c r="C267" t="s">
        <v>15</v>
      </c>
      <c r="D267" t="s">
        <v>184</v>
      </c>
      <c r="E267" s="3">
        <f t="shared" si="34"/>
        <v>5168.914794921875</v>
      </c>
      <c r="F267" s="3">
        <f t="shared" si="35"/>
        <v>6103.515625</v>
      </c>
      <c r="G267" s="3">
        <f t="shared" si="36"/>
        <v>11272.430419921875</v>
      </c>
      <c r="H267" s="4">
        <f t="shared" si="37"/>
        <v>5</v>
      </c>
      <c r="I267" s="3">
        <f t="shared" si="33"/>
        <v>0</v>
      </c>
      <c r="J267" s="3">
        <f t="shared" ref="J267:J330" si="39">IF($B267=_xlfn.MINIFS($B$2:$B$349,$A$2:$A$349,$A267,$C$2:$C$349,$C267),0,IFERROR(MAX(0,$F267-SUMIFS($F$2:$F$349,$A$2:$A$349,$A267,$C$2:$C$349,$C267,$B$2:$B$349,_xlfn.MAXIFS($B$2:$B$349,$A$2:$A$349,$A267,$C$2:$C$349,$C267,$B$2:$B$349,"&lt;"&amp;$B267))),0))</f>
        <v>0</v>
      </c>
      <c r="K267" s="3">
        <f t="shared" si="38"/>
        <v>0</v>
      </c>
      <c r="L267" s="3">
        <f ca="1">IFERROR(MAX(0,$G267-SUMIFS($G$2:$G$349,$A$2:$A$349,$A267,$C$2:$C$349,$C267,$B$2:$B$349,_xludf.MINIFS($B$2:$B$349,$A$2:$A$349,$A267,$C$2:$C$349,$C267))),0)</f>
        <v>11272.430419921875</v>
      </c>
    </row>
    <row r="268" spans="1:12" x14ac:dyDescent="0.2">
      <c r="A268" t="s">
        <v>182</v>
      </c>
      <c r="B268">
        <v>1767073926</v>
      </c>
      <c r="C268" t="s">
        <v>17</v>
      </c>
      <c r="D268" t="s">
        <v>186</v>
      </c>
      <c r="E268" s="3">
        <f t="shared" si="34"/>
        <v>284.1949462890625</v>
      </c>
      <c r="F268" s="3">
        <f t="shared" si="35"/>
        <v>433.92181396484375</v>
      </c>
      <c r="G268" s="3">
        <f t="shared" si="36"/>
        <v>718.11676025390625</v>
      </c>
      <c r="H268" s="4">
        <f t="shared" si="37"/>
        <v>5</v>
      </c>
      <c r="I268" s="3">
        <f t="shared" si="33"/>
        <v>2.86102294921875</v>
      </c>
      <c r="J268" s="3">
        <f t="shared" si="39"/>
        <v>0</v>
      </c>
      <c r="K268" s="3">
        <f t="shared" si="38"/>
        <v>2.86102294921875</v>
      </c>
      <c r="L268" s="3">
        <f ca="1">IFERROR(MAX(0,$G268-SUMIFS($G$2:$G$349,$A$2:$A$349,$A268,$C$2:$C$349,$C268,$B$2:$B$349,_xludf.MINIFS($B$2:$B$349,$A$2:$A$349,$A268,$C$2:$C$349,$C268))),0)</f>
        <v>718.11676025390625</v>
      </c>
    </row>
    <row r="269" spans="1:12" x14ac:dyDescent="0.2">
      <c r="A269" t="s">
        <v>182</v>
      </c>
      <c r="B269">
        <v>1767073926</v>
      </c>
      <c r="C269" t="s">
        <v>19</v>
      </c>
      <c r="D269" t="s">
        <v>181</v>
      </c>
      <c r="E269" s="3">
        <f t="shared" si="34"/>
        <v>5073.54736328125</v>
      </c>
      <c r="F269" s="3">
        <f t="shared" si="35"/>
        <v>9727.47802734375</v>
      </c>
      <c r="G269" s="3">
        <f t="shared" si="36"/>
        <v>14801.025390625</v>
      </c>
      <c r="H269" s="4">
        <f t="shared" si="37"/>
        <v>5</v>
      </c>
      <c r="I269" s="3">
        <f t="shared" si="33"/>
        <v>0</v>
      </c>
      <c r="J269" s="3">
        <f t="shared" si="39"/>
        <v>0</v>
      </c>
      <c r="K269" s="3">
        <f t="shared" si="38"/>
        <v>0</v>
      </c>
      <c r="L269" s="3">
        <f ca="1">IFERROR(MAX(0,$G269-SUMIFS($G$2:$G$349,$A$2:$A$349,$A269,$C$2:$C$349,$C269,$B$2:$B$349,_xludf.MINIFS($B$2:$B$349,$A$2:$A$349,$A269,$C$2:$C$349,$C269))),0)</f>
        <v>14801.025390625</v>
      </c>
    </row>
    <row r="270" spans="1:12" x14ac:dyDescent="0.2">
      <c r="A270" t="s">
        <v>182</v>
      </c>
      <c r="B270">
        <v>1767073933</v>
      </c>
      <c r="C270" t="s">
        <v>13</v>
      </c>
      <c r="D270" t="s">
        <v>187</v>
      </c>
      <c r="E270" s="3">
        <f t="shared" si="34"/>
        <v>1096.7254638671875</v>
      </c>
      <c r="F270" s="3">
        <f t="shared" si="35"/>
        <v>351.90582275390625</v>
      </c>
      <c r="G270" s="3">
        <f t="shared" si="36"/>
        <v>1448.6312866210938</v>
      </c>
      <c r="H270" s="4">
        <f t="shared" si="37"/>
        <v>10</v>
      </c>
      <c r="I270" s="3">
        <f t="shared" si="33"/>
        <v>9.5367431640625</v>
      </c>
      <c r="J270" s="3">
        <f t="shared" si="39"/>
        <v>11.444091796875</v>
      </c>
      <c r="K270" s="3">
        <f t="shared" si="38"/>
        <v>20.9808349609375</v>
      </c>
      <c r="L270" s="3">
        <f ca="1">IFERROR(MAX(0,$G270-SUMIFS($G$2:$G$349,$A$2:$A$349,$A270,$C$2:$C$349,$C270,$B$2:$B$349,_xludf.MINIFS($B$2:$B$349,$A$2:$A$349,$A270,$C$2:$C$349,$C270))),0)</f>
        <v>1448.6312866210938</v>
      </c>
    </row>
    <row r="271" spans="1:12" x14ac:dyDescent="0.2">
      <c r="A271" t="s">
        <v>182</v>
      </c>
      <c r="B271">
        <v>1767073933</v>
      </c>
      <c r="C271" t="s">
        <v>15</v>
      </c>
      <c r="D271" t="s">
        <v>188</v>
      </c>
      <c r="E271" s="3">
        <f t="shared" si="34"/>
        <v>5168.914794921875</v>
      </c>
      <c r="F271" s="3">
        <f t="shared" si="35"/>
        <v>6113.0523681640625</v>
      </c>
      <c r="G271" s="3">
        <f t="shared" si="36"/>
        <v>11281.967163085938</v>
      </c>
      <c r="H271" s="4">
        <f t="shared" si="37"/>
        <v>10</v>
      </c>
      <c r="I271" s="3">
        <f t="shared" si="33"/>
        <v>0</v>
      </c>
      <c r="J271" s="3">
        <f t="shared" si="39"/>
        <v>9.5367431640625</v>
      </c>
      <c r="K271" s="3">
        <f t="shared" si="38"/>
        <v>9.5367431640625</v>
      </c>
      <c r="L271" s="3">
        <f ca="1">IFERROR(MAX(0,$G271-SUMIFS($G$2:$G$349,$A$2:$A$349,$A271,$C$2:$C$349,$C271,$B$2:$B$349,_xludf.MINIFS($B$2:$B$349,$A$2:$A$349,$A271,$C$2:$C$349,$C271))),0)</f>
        <v>11281.967163085938</v>
      </c>
    </row>
    <row r="272" spans="1:12" x14ac:dyDescent="0.2">
      <c r="A272" t="s">
        <v>182</v>
      </c>
      <c r="B272">
        <v>1767073933</v>
      </c>
      <c r="C272" t="s">
        <v>17</v>
      </c>
      <c r="D272" t="s">
        <v>189</v>
      </c>
      <c r="E272" s="3">
        <f t="shared" si="34"/>
        <v>285.14862060546875</v>
      </c>
      <c r="F272" s="3">
        <f t="shared" si="35"/>
        <v>436.7828369140625</v>
      </c>
      <c r="G272" s="3">
        <f t="shared" si="36"/>
        <v>721.93145751953125</v>
      </c>
      <c r="H272" s="4">
        <f t="shared" si="37"/>
        <v>10</v>
      </c>
      <c r="I272" s="3">
        <f t="shared" si="33"/>
        <v>0.95367431640625</v>
      </c>
      <c r="J272" s="3">
        <f t="shared" si="39"/>
        <v>2.86102294921875</v>
      </c>
      <c r="K272" s="3">
        <f t="shared" si="38"/>
        <v>3.814697265625</v>
      </c>
      <c r="L272" s="3">
        <f ca="1">IFERROR(MAX(0,$G272-SUMIFS($G$2:$G$349,$A$2:$A$349,$A272,$C$2:$C$349,$C272,$B$2:$B$349,_xludf.MINIFS($B$2:$B$349,$A$2:$A$349,$A272,$C$2:$C$349,$C272))),0)</f>
        <v>721.93145751953125</v>
      </c>
    </row>
    <row r="273" spans="1:12" x14ac:dyDescent="0.2">
      <c r="A273" t="s">
        <v>182</v>
      </c>
      <c r="B273">
        <v>1767073933</v>
      </c>
      <c r="C273" t="s">
        <v>19</v>
      </c>
      <c r="D273" t="s">
        <v>190</v>
      </c>
      <c r="E273" s="3">
        <f t="shared" si="34"/>
        <v>5083.0841064453125</v>
      </c>
      <c r="F273" s="3">
        <f t="shared" si="35"/>
        <v>9822.845458984375</v>
      </c>
      <c r="G273" s="3">
        <f t="shared" si="36"/>
        <v>14905.929565429688</v>
      </c>
      <c r="H273" s="4">
        <f t="shared" si="37"/>
        <v>10</v>
      </c>
      <c r="I273" s="3">
        <f t="shared" si="33"/>
        <v>9.5367431640625</v>
      </c>
      <c r="J273" s="3">
        <f t="shared" si="39"/>
        <v>95.367431640625</v>
      </c>
      <c r="K273" s="3">
        <f t="shared" si="38"/>
        <v>104.9041748046875</v>
      </c>
      <c r="L273" s="3">
        <f ca="1">IFERROR(MAX(0,$G273-SUMIFS($G$2:$G$349,$A$2:$A$349,$A273,$C$2:$C$349,$C273,$B$2:$B$349,_xludf.MINIFS($B$2:$B$349,$A$2:$A$349,$A273,$C$2:$C$349,$C273))),0)</f>
        <v>14905.929565429688</v>
      </c>
    </row>
    <row r="274" spans="1:12" x14ac:dyDescent="0.2">
      <c r="A274" t="s">
        <v>182</v>
      </c>
      <c r="B274">
        <v>1767073941</v>
      </c>
      <c r="C274" t="s">
        <v>13</v>
      </c>
      <c r="D274" t="s">
        <v>187</v>
      </c>
      <c r="E274" s="3">
        <f t="shared" si="34"/>
        <v>1096.7254638671875</v>
      </c>
      <c r="F274" s="3">
        <f t="shared" si="35"/>
        <v>351.90582275390625</v>
      </c>
      <c r="G274" s="3">
        <f t="shared" si="36"/>
        <v>1448.6312866210938</v>
      </c>
      <c r="H274" s="4">
        <f t="shared" si="37"/>
        <v>15</v>
      </c>
      <c r="I274" s="3">
        <f t="shared" si="33"/>
        <v>0</v>
      </c>
      <c r="J274" s="3">
        <f t="shared" si="39"/>
        <v>0</v>
      </c>
      <c r="K274" s="3">
        <f t="shared" si="38"/>
        <v>0</v>
      </c>
      <c r="L274" s="3">
        <f ca="1">IFERROR(MAX(0,$G274-SUMIFS($G$2:$G$349,$A$2:$A$349,$A274,$C$2:$C$349,$C274,$B$2:$B$349,_xludf.MINIFS($B$2:$B$349,$A$2:$A$349,$A274,$C$2:$C$349,$C274))),0)</f>
        <v>1448.6312866210938</v>
      </c>
    </row>
    <row r="275" spans="1:12" x14ac:dyDescent="0.2">
      <c r="A275" t="s">
        <v>182</v>
      </c>
      <c r="B275">
        <v>1767073941</v>
      </c>
      <c r="C275" t="s">
        <v>15</v>
      </c>
      <c r="D275" t="s">
        <v>191</v>
      </c>
      <c r="E275" s="3">
        <f t="shared" si="34"/>
        <v>5226.13525390625</v>
      </c>
      <c r="F275" s="3">
        <f t="shared" si="35"/>
        <v>6113.0523681640625</v>
      </c>
      <c r="G275" s="3">
        <f t="shared" si="36"/>
        <v>11339.187622070312</v>
      </c>
      <c r="H275" s="4">
        <f t="shared" si="37"/>
        <v>15</v>
      </c>
      <c r="I275" s="3">
        <f t="shared" si="33"/>
        <v>57.220458984375</v>
      </c>
      <c r="J275" s="3">
        <f t="shared" si="39"/>
        <v>0</v>
      </c>
      <c r="K275" s="3">
        <f t="shared" si="38"/>
        <v>57.220458984375</v>
      </c>
      <c r="L275" s="3">
        <f ca="1">IFERROR(MAX(0,$G275-SUMIFS($G$2:$G$349,$A$2:$A$349,$A275,$C$2:$C$349,$C275,$B$2:$B$349,_xludf.MINIFS($B$2:$B$349,$A$2:$A$349,$A275,$C$2:$C$349,$C275))),0)</f>
        <v>11339.187622070312</v>
      </c>
    </row>
    <row r="276" spans="1:12" x14ac:dyDescent="0.2">
      <c r="A276" t="s">
        <v>182</v>
      </c>
      <c r="B276">
        <v>1767073941</v>
      </c>
      <c r="C276" t="s">
        <v>17</v>
      </c>
      <c r="D276" t="s">
        <v>189</v>
      </c>
      <c r="E276" s="3">
        <f t="shared" si="34"/>
        <v>285.14862060546875</v>
      </c>
      <c r="F276" s="3">
        <f t="shared" si="35"/>
        <v>436.7828369140625</v>
      </c>
      <c r="G276" s="3">
        <f t="shared" si="36"/>
        <v>721.93145751953125</v>
      </c>
      <c r="H276" s="4">
        <f t="shared" si="37"/>
        <v>15</v>
      </c>
      <c r="I276" s="3">
        <f t="shared" si="33"/>
        <v>0</v>
      </c>
      <c r="J276" s="3">
        <f t="shared" si="39"/>
        <v>0</v>
      </c>
      <c r="K276" s="3">
        <f t="shared" si="38"/>
        <v>0</v>
      </c>
      <c r="L276" s="3">
        <f ca="1">IFERROR(MAX(0,$G276-SUMIFS($G$2:$G$349,$A$2:$A$349,$A276,$C$2:$C$349,$C276,$B$2:$B$349,_xludf.MINIFS($B$2:$B$349,$A$2:$A$349,$A276,$C$2:$C$349,$C276))),0)</f>
        <v>721.93145751953125</v>
      </c>
    </row>
    <row r="277" spans="1:12" x14ac:dyDescent="0.2">
      <c r="A277" t="s">
        <v>182</v>
      </c>
      <c r="B277">
        <v>1767073941</v>
      </c>
      <c r="C277" t="s">
        <v>19</v>
      </c>
      <c r="D277" t="s">
        <v>190</v>
      </c>
      <c r="E277" s="3">
        <f t="shared" si="34"/>
        <v>5083.0841064453125</v>
      </c>
      <c r="F277" s="3">
        <f t="shared" si="35"/>
        <v>9822.845458984375</v>
      </c>
      <c r="G277" s="3">
        <f t="shared" si="36"/>
        <v>14905.929565429688</v>
      </c>
      <c r="H277" s="4">
        <f t="shared" si="37"/>
        <v>15</v>
      </c>
      <c r="I277" s="3">
        <f t="shared" si="33"/>
        <v>0</v>
      </c>
      <c r="J277" s="3">
        <f t="shared" si="39"/>
        <v>0</v>
      </c>
      <c r="K277" s="3">
        <f t="shared" si="38"/>
        <v>0</v>
      </c>
      <c r="L277" s="3">
        <f ca="1">IFERROR(MAX(0,$G277-SUMIFS($G$2:$G$349,$A$2:$A$349,$A277,$C$2:$C$349,$C277,$B$2:$B$349,_xludf.MINIFS($B$2:$B$349,$A$2:$A$349,$A277,$C$2:$C$349,$C277))),0)</f>
        <v>14905.929565429688</v>
      </c>
    </row>
    <row r="278" spans="1:12" x14ac:dyDescent="0.2">
      <c r="A278" t="s">
        <v>182</v>
      </c>
      <c r="B278">
        <v>1767073949</v>
      </c>
      <c r="C278" t="s">
        <v>13</v>
      </c>
      <c r="D278" t="s">
        <v>187</v>
      </c>
      <c r="E278" s="3">
        <f t="shared" si="34"/>
        <v>1096.7254638671875</v>
      </c>
      <c r="F278" s="3">
        <f t="shared" si="35"/>
        <v>351.90582275390625</v>
      </c>
      <c r="G278" s="3">
        <f t="shared" si="36"/>
        <v>1448.6312866210938</v>
      </c>
      <c r="H278" s="4">
        <f t="shared" si="37"/>
        <v>20</v>
      </c>
      <c r="I278" s="3">
        <f t="shared" si="33"/>
        <v>0</v>
      </c>
      <c r="J278" s="3">
        <f t="shared" si="39"/>
        <v>0</v>
      </c>
      <c r="K278" s="3">
        <f t="shared" si="38"/>
        <v>0</v>
      </c>
      <c r="L278" s="3">
        <f ca="1">IFERROR(MAX(0,$G278-SUMIFS($G$2:$G$349,$A$2:$A$349,$A278,$C$2:$C$349,$C278,$B$2:$B$349,_xludf.MINIFS($B$2:$B$349,$A$2:$A$349,$A278,$C$2:$C$349,$C278))),0)</f>
        <v>1448.6312866210938</v>
      </c>
    </row>
    <row r="279" spans="1:12" x14ac:dyDescent="0.2">
      <c r="A279" t="s">
        <v>182</v>
      </c>
      <c r="B279">
        <v>1767073949</v>
      </c>
      <c r="C279" t="s">
        <v>15</v>
      </c>
      <c r="D279" t="s">
        <v>192</v>
      </c>
      <c r="E279" s="3">
        <f t="shared" si="34"/>
        <v>5264.2822265625</v>
      </c>
      <c r="F279" s="3">
        <f t="shared" si="35"/>
        <v>6122.589111328125</v>
      </c>
      <c r="G279" s="3">
        <f t="shared" si="36"/>
        <v>11386.871337890625</v>
      </c>
      <c r="H279" s="4">
        <f t="shared" si="37"/>
        <v>20</v>
      </c>
      <c r="I279" s="3">
        <f t="shared" si="33"/>
        <v>38.14697265625</v>
      </c>
      <c r="J279" s="3">
        <f t="shared" si="39"/>
        <v>9.5367431640625</v>
      </c>
      <c r="K279" s="3">
        <f t="shared" si="38"/>
        <v>47.6837158203125</v>
      </c>
      <c r="L279" s="3">
        <f ca="1">IFERROR(MAX(0,$G279-SUMIFS($G$2:$G$349,$A$2:$A$349,$A279,$C$2:$C$349,$C279,$B$2:$B$349,_xludf.MINIFS($B$2:$B$349,$A$2:$A$349,$A279,$C$2:$C$349,$C279))),0)</f>
        <v>11386.871337890625</v>
      </c>
    </row>
    <row r="280" spans="1:12" x14ac:dyDescent="0.2">
      <c r="A280" t="s">
        <v>182</v>
      </c>
      <c r="B280">
        <v>1767073949</v>
      </c>
      <c r="C280" t="s">
        <v>17</v>
      </c>
      <c r="D280" t="s">
        <v>189</v>
      </c>
      <c r="E280" s="3">
        <f t="shared" si="34"/>
        <v>285.14862060546875</v>
      </c>
      <c r="F280" s="3">
        <f t="shared" si="35"/>
        <v>436.7828369140625</v>
      </c>
      <c r="G280" s="3">
        <f t="shared" si="36"/>
        <v>721.93145751953125</v>
      </c>
      <c r="H280" s="4">
        <f t="shared" si="37"/>
        <v>20</v>
      </c>
      <c r="I280" s="3">
        <f t="shared" si="33"/>
        <v>0</v>
      </c>
      <c r="J280" s="3">
        <f t="shared" si="39"/>
        <v>0</v>
      </c>
      <c r="K280" s="3">
        <f t="shared" si="38"/>
        <v>0</v>
      </c>
      <c r="L280" s="3">
        <f ca="1">IFERROR(MAX(0,$G280-SUMIFS($G$2:$G$349,$A$2:$A$349,$A280,$C$2:$C$349,$C280,$B$2:$B$349,_xludf.MINIFS($B$2:$B$349,$A$2:$A$349,$A280,$C$2:$C$349,$C280))),0)</f>
        <v>721.93145751953125</v>
      </c>
    </row>
    <row r="281" spans="1:12" x14ac:dyDescent="0.2">
      <c r="A281" t="s">
        <v>182</v>
      </c>
      <c r="B281">
        <v>1767073949</v>
      </c>
      <c r="C281" t="s">
        <v>19</v>
      </c>
      <c r="D281" t="s">
        <v>190</v>
      </c>
      <c r="E281" s="3">
        <f t="shared" si="34"/>
        <v>5083.0841064453125</v>
      </c>
      <c r="F281" s="3">
        <f t="shared" si="35"/>
        <v>9822.845458984375</v>
      </c>
      <c r="G281" s="3">
        <f t="shared" si="36"/>
        <v>14905.929565429688</v>
      </c>
      <c r="H281" s="4">
        <f t="shared" si="37"/>
        <v>20</v>
      </c>
      <c r="I281" s="3">
        <f t="shared" si="33"/>
        <v>0</v>
      </c>
      <c r="J281" s="3">
        <f t="shared" si="39"/>
        <v>0</v>
      </c>
      <c r="K281" s="3">
        <f t="shared" si="38"/>
        <v>0</v>
      </c>
      <c r="L281" s="3">
        <f ca="1">IFERROR(MAX(0,$G281-SUMIFS($G$2:$G$349,$A$2:$A$349,$A281,$C$2:$C$349,$C281,$B$2:$B$349,_xludf.MINIFS($B$2:$B$349,$A$2:$A$349,$A281,$C$2:$C$349,$C281))),0)</f>
        <v>14905.929565429688</v>
      </c>
    </row>
    <row r="282" spans="1:12" x14ac:dyDescent="0.2">
      <c r="A282" t="s">
        <v>182</v>
      </c>
      <c r="B282">
        <v>1767073956</v>
      </c>
      <c r="C282" t="s">
        <v>13</v>
      </c>
      <c r="D282" t="s">
        <v>187</v>
      </c>
      <c r="E282" s="3">
        <f t="shared" si="34"/>
        <v>1096.7254638671875</v>
      </c>
      <c r="F282" s="3">
        <f t="shared" si="35"/>
        <v>351.90582275390625</v>
      </c>
      <c r="G282" s="3">
        <f t="shared" si="36"/>
        <v>1448.6312866210938</v>
      </c>
      <c r="H282" s="4">
        <f t="shared" si="37"/>
        <v>25</v>
      </c>
      <c r="I282" s="3">
        <f t="shared" si="33"/>
        <v>0</v>
      </c>
      <c r="J282" s="3">
        <f t="shared" si="39"/>
        <v>0</v>
      </c>
      <c r="K282" s="3">
        <f t="shared" si="38"/>
        <v>0</v>
      </c>
      <c r="L282" s="3">
        <f ca="1">IFERROR(MAX(0,$G282-SUMIFS($G$2:$G$349,$A$2:$A$349,$A282,$C$2:$C$349,$C282,$B$2:$B$349,_xludf.MINIFS($B$2:$B$349,$A$2:$A$349,$A282,$C$2:$C$349,$C282))),0)</f>
        <v>1448.6312866210938</v>
      </c>
    </row>
    <row r="283" spans="1:12" x14ac:dyDescent="0.2">
      <c r="A283" t="s">
        <v>182</v>
      </c>
      <c r="B283">
        <v>1767073956</v>
      </c>
      <c r="C283" t="s">
        <v>15</v>
      </c>
      <c r="D283" t="s">
        <v>193</v>
      </c>
      <c r="E283" s="3">
        <f t="shared" si="34"/>
        <v>5311.9659423828125</v>
      </c>
      <c r="F283" s="3">
        <f t="shared" si="35"/>
        <v>6132.1258544921875</v>
      </c>
      <c r="G283" s="3">
        <f t="shared" si="36"/>
        <v>11444.091796875</v>
      </c>
      <c r="H283" s="4">
        <f t="shared" si="37"/>
        <v>25</v>
      </c>
      <c r="I283" s="3">
        <f t="shared" si="33"/>
        <v>47.6837158203125</v>
      </c>
      <c r="J283" s="3">
        <f t="shared" si="39"/>
        <v>9.5367431640625</v>
      </c>
      <c r="K283" s="3">
        <f t="shared" si="38"/>
        <v>57.220458984375</v>
      </c>
      <c r="L283" s="3">
        <f ca="1">IFERROR(MAX(0,$G283-SUMIFS($G$2:$G$349,$A$2:$A$349,$A283,$C$2:$C$349,$C283,$B$2:$B$349,_xludf.MINIFS($B$2:$B$349,$A$2:$A$349,$A283,$C$2:$C$349,$C283))),0)</f>
        <v>11444.091796875</v>
      </c>
    </row>
    <row r="284" spans="1:12" x14ac:dyDescent="0.2">
      <c r="A284" t="s">
        <v>182</v>
      </c>
      <c r="B284">
        <v>1767073956</v>
      </c>
      <c r="C284" t="s">
        <v>17</v>
      </c>
      <c r="D284" t="s">
        <v>194</v>
      </c>
      <c r="E284" s="3">
        <f t="shared" si="34"/>
        <v>286.102294921875</v>
      </c>
      <c r="F284" s="3">
        <f t="shared" si="35"/>
        <v>436.7828369140625</v>
      </c>
      <c r="G284" s="3">
        <f t="shared" si="36"/>
        <v>722.8851318359375</v>
      </c>
      <c r="H284" s="4">
        <f t="shared" si="37"/>
        <v>25</v>
      </c>
      <c r="I284" s="3">
        <f t="shared" si="33"/>
        <v>0.95367431640625</v>
      </c>
      <c r="J284" s="3">
        <f t="shared" si="39"/>
        <v>0</v>
      </c>
      <c r="K284" s="3">
        <f t="shared" si="38"/>
        <v>0.95367431640625</v>
      </c>
      <c r="L284" s="3">
        <f ca="1">IFERROR(MAX(0,$G284-SUMIFS($G$2:$G$349,$A$2:$A$349,$A284,$C$2:$C$349,$C284,$B$2:$B$349,_xludf.MINIFS($B$2:$B$349,$A$2:$A$349,$A284,$C$2:$C$349,$C284))),0)</f>
        <v>722.8851318359375</v>
      </c>
    </row>
    <row r="285" spans="1:12" x14ac:dyDescent="0.2">
      <c r="A285" t="s">
        <v>182</v>
      </c>
      <c r="B285">
        <v>1767073956</v>
      </c>
      <c r="C285" t="s">
        <v>19</v>
      </c>
      <c r="D285" t="s">
        <v>195</v>
      </c>
      <c r="E285" s="3">
        <f t="shared" si="34"/>
        <v>5092.620849609375</v>
      </c>
      <c r="F285" s="3">
        <f t="shared" si="35"/>
        <v>9918.212890625</v>
      </c>
      <c r="G285" s="3">
        <f t="shared" si="36"/>
        <v>15010.833740234375</v>
      </c>
      <c r="H285" s="4">
        <f t="shared" si="37"/>
        <v>25</v>
      </c>
      <c r="I285" s="3">
        <f t="shared" si="33"/>
        <v>9.5367431640625</v>
      </c>
      <c r="J285" s="3">
        <f t="shared" si="39"/>
        <v>95.367431640625</v>
      </c>
      <c r="K285" s="3">
        <f t="shared" si="38"/>
        <v>104.9041748046875</v>
      </c>
      <c r="L285" s="3">
        <f ca="1">IFERROR(MAX(0,$G285-SUMIFS($G$2:$G$349,$A$2:$A$349,$A285,$C$2:$C$349,$C285,$B$2:$B$349,_xludf.MINIFS($B$2:$B$349,$A$2:$A$349,$A285,$C$2:$C$349,$C285))),0)</f>
        <v>15010.833740234375</v>
      </c>
    </row>
    <row r="286" spans="1:12" x14ac:dyDescent="0.2">
      <c r="A286" t="s">
        <v>182</v>
      </c>
      <c r="B286">
        <v>1767073963</v>
      </c>
      <c r="C286" t="s">
        <v>13</v>
      </c>
      <c r="D286" t="s">
        <v>187</v>
      </c>
      <c r="E286" s="3">
        <f t="shared" si="34"/>
        <v>1096.7254638671875</v>
      </c>
      <c r="F286" s="3">
        <f t="shared" si="35"/>
        <v>351.90582275390625</v>
      </c>
      <c r="G286" s="3">
        <f t="shared" si="36"/>
        <v>1448.6312866210938</v>
      </c>
      <c r="H286" s="4">
        <f t="shared" si="37"/>
        <v>30</v>
      </c>
      <c r="I286" s="3">
        <f t="shared" si="33"/>
        <v>0</v>
      </c>
      <c r="J286" s="3">
        <f t="shared" si="39"/>
        <v>0</v>
      </c>
      <c r="K286" s="3">
        <f t="shared" si="38"/>
        <v>0</v>
      </c>
      <c r="L286" s="3">
        <f ca="1">IFERROR(MAX(0,$G286-SUMIFS($G$2:$G$349,$A$2:$A$349,$A286,$C$2:$C$349,$C286,$B$2:$B$349,_xludf.MINIFS($B$2:$B$349,$A$2:$A$349,$A286,$C$2:$C$349,$C286))),0)</f>
        <v>1448.6312866210938</v>
      </c>
    </row>
    <row r="287" spans="1:12" x14ac:dyDescent="0.2">
      <c r="A287" t="s">
        <v>182</v>
      </c>
      <c r="B287">
        <v>1767073963</v>
      </c>
      <c r="C287" t="s">
        <v>15</v>
      </c>
      <c r="D287" t="s">
        <v>193</v>
      </c>
      <c r="E287" s="3">
        <f t="shared" si="34"/>
        <v>5311.9659423828125</v>
      </c>
      <c r="F287" s="3">
        <f t="shared" si="35"/>
        <v>6132.1258544921875</v>
      </c>
      <c r="G287" s="3">
        <f t="shared" si="36"/>
        <v>11444.091796875</v>
      </c>
      <c r="H287" s="4">
        <f t="shared" si="37"/>
        <v>30</v>
      </c>
      <c r="I287" s="3">
        <f t="shared" si="33"/>
        <v>0</v>
      </c>
      <c r="J287" s="3">
        <f t="shared" si="39"/>
        <v>0</v>
      </c>
      <c r="K287" s="3">
        <f t="shared" si="38"/>
        <v>0</v>
      </c>
      <c r="L287" s="3">
        <f ca="1">IFERROR(MAX(0,$G287-SUMIFS($G$2:$G$349,$A$2:$A$349,$A287,$C$2:$C$349,$C287,$B$2:$B$349,_xludf.MINIFS($B$2:$B$349,$A$2:$A$349,$A287,$C$2:$C$349,$C287))),0)</f>
        <v>11444.091796875</v>
      </c>
    </row>
    <row r="288" spans="1:12" x14ac:dyDescent="0.2">
      <c r="A288" t="s">
        <v>182</v>
      </c>
      <c r="B288">
        <v>1767073963</v>
      </c>
      <c r="C288" t="s">
        <v>17</v>
      </c>
      <c r="D288" t="s">
        <v>196</v>
      </c>
      <c r="E288" s="3">
        <f t="shared" si="34"/>
        <v>297.54638671875</v>
      </c>
      <c r="F288" s="3">
        <f t="shared" si="35"/>
        <v>436.7828369140625</v>
      </c>
      <c r="G288" s="3">
        <f t="shared" si="36"/>
        <v>734.3292236328125</v>
      </c>
      <c r="H288" s="4">
        <f t="shared" si="37"/>
        <v>30</v>
      </c>
      <c r="I288" s="3">
        <f t="shared" si="33"/>
        <v>11.444091796875</v>
      </c>
      <c r="J288" s="3">
        <f t="shared" si="39"/>
        <v>0</v>
      </c>
      <c r="K288" s="3">
        <f t="shared" si="38"/>
        <v>11.444091796875</v>
      </c>
      <c r="L288" s="3">
        <f ca="1">IFERROR(MAX(0,$G288-SUMIFS($G$2:$G$349,$A$2:$A$349,$A288,$C$2:$C$349,$C288,$B$2:$B$349,_xludf.MINIFS($B$2:$B$349,$A$2:$A$349,$A288,$C$2:$C$349,$C288))),0)</f>
        <v>734.3292236328125</v>
      </c>
    </row>
    <row r="289" spans="1:12" x14ac:dyDescent="0.2">
      <c r="A289" t="s">
        <v>182</v>
      </c>
      <c r="B289">
        <v>1767073963</v>
      </c>
      <c r="C289" t="s">
        <v>19</v>
      </c>
      <c r="D289" t="s">
        <v>197</v>
      </c>
      <c r="E289" s="3">
        <f t="shared" si="34"/>
        <v>5159.3780517578125</v>
      </c>
      <c r="F289" s="3">
        <f t="shared" si="35"/>
        <v>10013.580322265625</v>
      </c>
      <c r="G289" s="3">
        <f t="shared" si="36"/>
        <v>15172.958374023438</v>
      </c>
      <c r="H289" s="4">
        <f t="shared" si="37"/>
        <v>30</v>
      </c>
      <c r="I289" s="3">
        <f t="shared" si="33"/>
        <v>66.7572021484375</v>
      </c>
      <c r="J289" s="3">
        <f t="shared" si="39"/>
        <v>95.367431640625</v>
      </c>
      <c r="K289" s="3">
        <f t="shared" si="38"/>
        <v>162.1246337890625</v>
      </c>
      <c r="L289" s="3">
        <f ca="1">IFERROR(MAX(0,$G289-SUMIFS($G$2:$G$349,$A$2:$A$349,$A289,$C$2:$C$349,$C289,$B$2:$B$349,_xludf.MINIFS($B$2:$B$349,$A$2:$A$349,$A289,$C$2:$C$349,$C289))),0)</f>
        <v>15172.958374023438</v>
      </c>
    </row>
    <row r="290" spans="1:12" x14ac:dyDescent="0.2">
      <c r="A290" t="s">
        <v>182</v>
      </c>
      <c r="B290">
        <v>1767073971</v>
      </c>
      <c r="C290" t="s">
        <v>13</v>
      </c>
      <c r="D290" t="s">
        <v>187</v>
      </c>
      <c r="E290" s="3">
        <f t="shared" si="34"/>
        <v>1096.7254638671875</v>
      </c>
      <c r="F290" s="3">
        <f t="shared" si="35"/>
        <v>351.90582275390625</v>
      </c>
      <c r="G290" s="3">
        <f t="shared" si="36"/>
        <v>1448.6312866210938</v>
      </c>
      <c r="H290" s="4">
        <f t="shared" si="37"/>
        <v>35</v>
      </c>
      <c r="I290" s="3">
        <f t="shared" si="33"/>
        <v>0</v>
      </c>
      <c r="J290" s="3">
        <f t="shared" si="39"/>
        <v>0</v>
      </c>
      <c r="K290" s="3">
        <f t="shared" si="38"/>
        <v>0</v>
      </c>
      <c r="L290" s="3">
        <f ca="1">IFERROR(MAX(0,$G290-SUMIFS($G$2:$G$349,$A$2:$A$349,$A290,$C$2:$C$349,$C290,$B$2:$B$349,_xludf.MINIFS($B$2:$B$349,$A$2:$A$349,$A290,$C$2:$C$349,$C290))),0)</f>
        <v>1448.6312866210938</v>
      </c>
    </row>
    <row r="291" spans="1:12" x14ac:dyDescent="0.2">
      <c r="A291" t="s">
        <v>182</v>
      </c>
      <c r="B291">
        <v>1767073971</v>
      </c>
      <c r="C291" t="s">
        <v>15</v>
      </c>
      <c r="D291" t="s">
        <v>198</v>
      </c>
      <c r="E291" s="3">
        <f t="shared" si="34"/>
        <v>5359.649658203125</v>
      </c>
      <c r="F291" s="3">
        <f t="shared" si="35"/>
        <v>6141.66259765625</v>
      </c>
      <c r="G291" s="3">
        <f t="shared" si="36"/>
        <v>11501.312255859375</v>
      </c>
      <c r="H291" s="4">
        <f t="shared" si="37"/>
        <v>35</v>
      </c>
      <c r="I291" s="3">
        <f t="shared" si="33"/>
        <v>47.6837158203125</v>
      </c>
      <c r="J291" s="3">
        <f t="shared" si="39"/>
        <v>9.5367431640625</v>
      </c>
      <c r="K291" s="3">
        <f t="shared" si="38"/>
        <v>57.220458984375</v>
      </c>
      <c r="L291" s="3">
        <f ca="1">IFERROR(MAX(0,$G291-SUMIFS($G$2:$G$349,$A$2:$A$349,$A291,$C$2:$C$349,$C291,$B$2:$B$349,_xludf.MINIFS($B$2:$B$349,$A$2:$A$349,$A291,$C$2:$C$349,$C291))),0)</f>
        <v>11501.312255859375</v>
      </c>
    </row>
    <row r="292" spans="1:12" x14ac:dyDescent="0.2">
      <c r="A292" t="s">
        <v>182</v>
      </c>
      <c r="B292">
        <v>1767073971</v>
      </c>
      <c r="C292" t="s">
        <v>17</v>
      </c>
      <c r="D292" t="s">
        <v>196</v>
      </c>
      <c r="E292" s="3">
        <f t="shared" si="34"/>
        <v>297.54638671875</v>
      </c>
      <c r="F292" s="3">
        <f t="shared" si="35"/>
        <v>436.7828369140625</v>
      </c>
      <c r="G292" s="3">
        <f t="shared" si="36"/>
        <v>734.3292236328125</v>
      </c>
      <c r="H292" s="4">
        <f t="shared" si="37"/>
        <v>35</v>
      </c>
      <c r="I292" s="3">
        <f t="shared" si="33"/>
        <v>0</v>
      </c>
      <c r="J292" s="3">
        <f t="shared" si="39"/>
        <v>0</v>
      </c>
      <c r="K292" s="3">
        <f t="shared" si="38"/>
        <v>0</v>
      </c>
      <c r="L292" s="3">
        <f ca="1">IFERROR(MAX(0,$G292-SUMIFS($G$2:$G$349,$A$2:$A$349,$A292,$C$2:$C$349,$C292,$B$2:$B$349,_xludf.MINIFS($B$2:$B$349,$A$2:$A$349,$A292,$C$2:$C$349,$C292))),0)</f>
        <v>734.3292236328125</v>
      </c>
    </row>
    <row r="293" spans="1:12" x14ac:dyDescent="0.2">
      <c r="A293" t="s">
        <v>182</v>
      </c>
      <c r="B293">
        <v>1767073971</v>
      </c>
      <c r="C293" t="s">
        <v>19</v>
      </c>
      <c r="D293" t="s">
        <v>199</v>
      </c>
      <c r="E293" s="3">
        <f t="shared" si="34"/>
        <v>5207.061767578125</v>
      </c>
      <c r="F293" s="3">
        <f t="shared" si="35"/>
        <v>10108.94775390625</v>
      </c>
      <c r="G293" s="3">
        <f t="shared" si="36"/>
        <v>15316.009521484375</v>
      </c>
      <c r="H293" s="4">
        <f t="shared" si="37"/>
        <v>35</v>
      </c>
      <c r="I293" s="3">
        <f t="shared" si="33"/>
        <v>47.6837158203125</v>
      </c>
      <c r="J293" s="3">
        <f t="shared" si="39"/>
        <v>95.367431640625</v>
      </c>
      <c r="K293" s="3">
        <f t="shared" si="38"/>
        <v>143.0511474609375</v>
      </c>
      <c r="L293" s="3">
        <f ca="1">IFERROR(MAX(0,$G293-SUMIFS($G$2:$G$349,$A$2:$A$349,$A293,$C$2:$C$349,$C293,$B$2:$B$349,_xludf.MINIFS($B$2:$B$349,$A$2:$A$349,$A293,$C$2:$C$349,$C293))),0)</f>
        <v>15316.009521484375</v>
      </c>
    </row>
    <row r="294" spans="1:12" x14ac:dyDescent="0.2">
      <c r="A294" t="s">
        <v>182</v>
      </c>
      <c r="B294">
        <v>1767073978</v>
      </c>
      <c r="C294" t="s">
        <v>13</v>
      </c>
      <c r="D294" t="s">
        <v>187</v>
      </c>
      <c r="E294" s="3">
        <f t="shared" si="34"/>
        <v>1096.7254638671875</v>
      </c>
      <c r="F294" s="3">
        <f t="shared" si="35"/>
        <v>351.90582275390625</v>
      </c>
      <c r="G294" s="3">
        <f t="shared" si="36"/>
        <v>1448.6312866210938</v>
      </c>
      <c r="H294" s="4">
        <f t="shared" si="37"/>
        <v>40</v>
      </c>
      <c r="I294" s="3">
        <f t="shared" ref="I294:I349" si="40">IF($B294=_xlfn.MINIFS($B$2:$B$349,$A$2:$A$349,$A294,$C$2:$C$349,$C294),0,IFERROR(MAX(0,$E294-SUMIFS($E$2:$E$349,$A$2:$A$349,$A294,$C$2:$C$349,$C294,$B$2:$B$349,_xlfn.MAXIFS($B$2:$B$349,$A$2:$A$349,$A294,$C$2:$C$349,$C294,$B$2:$B$349,"&lt;"&amp;$B294))),0))</f>
        <v>0</v>
      </c>
      <c r="J294" s="3">
        <f t="shared" si="39"/>
        <v>0</v>
      </c>
      <c r="K294" s="3">
        <f t="shared" si="38"/>
        <v>0</v>
      </c>
      <c r="L294" s="3">
        <f ca="1">IFERROR(MAX(0,$G294-SUMIFS($G$2:$G$349,$A$2:$A$349,$A294,$C$2:$C$349,$C294,$B$2:$B$349,_xludf.MINIFS($B$2:$B$349,$A$2:$A$349,$A294,$C$2:$C$349,$C294))),0)</f>
        <v>1448.6312866210938</v>
      </c>
    </row>
    <row r="295" spans="1:12" x14ac:dyDescent="0.2">
      <c r="A295" t="s">
        <v>182</v>
      </c>
      <c r="B295">
        <v>1767073978</v>
      </c>
      <c r="C295" t="s">
        <v>15</v>
      </c>
      <c r="D295" t="s">
        <v>200</v>
      </c>
      <c r="E295" s="3">
        <f t="shared" si="34"/>
        <v>5407.3333740234375</v>
      </c>
      <c r="F295" s="3">
        <f t="shared" si="35"/>
        <v>6141.66259765625</v>
      </c>
      <c r="G295" s="3">
        <f t="shared" si="36"/>
        <v>11548.995971679688</v>
      </c>
      <c r="H295" s="4">
        <f t="shared" si="37"/>
        <v>40</v>
      </c>
      <c r="I295" s="3">
        <f t="shared" si="40"/>
        <v>47.6837158203125</v>
      </c>
      <c r="J295" s="3">
        <f t="shared" si="39"/>
        <v>0</v>
      </c>
      <c r="K295" s="3">
        <f t="shared" si="38"/>
        <v>47.6837158203125</v>
      </c>
      <c r="L295" s="3">
        <f ca="1">IFERROR(MAX(0,$G295-SUMIFS($G$2:$G$349,$A$2:$A$349,$A295,$C$2:$C$349,$C295,$B$2:$B$349,_xludf.MINIFS($B$2:$B$349,$A$2:$A$349,$A295,$C$2:$C$349,$C295))),0)</f>
        <v>11548.995971679688</v>
      </c>
    </row>
    <row r="296" spans="1:12" x14ac:dyDescent="0.2">
      <c r="A296" t="s">
        <v>182</v>
      </c>
      <c r="B296">
        <v>1767073978</v>
      </c>
      <c r="C296" t="s">
        <v>17</v>
      </c>
      <c r="D296" t="s">
        <v>196</v>
      </c>
      <c r="E296" s="3">
        <f t="shared" si="34"/>
        <v>297.54638671875</v>
      </c>
      <c r="F296" s="3">
        <f t="shared" si="35"/>
        <v>436.7828369140625</v>
      </c>
      <c r="G296" s="3">
        <f t="shared" si="36"/>
        <v>734.3292236328125</v>
      </c>
      <c r="H296" s="4">
        <f t="shared" si="37"/>
        <v>40</v>
      </c>
      <c r="I296" s="3">
        <f t="shared" si="40"/>
        <v>0</v>
      </c>
      <c r="J296" s="3">
        <f t="shared" si="39"/>
        <v>0</v>
      </c>
      <c r="K296" s="3">
        <f t="shared" si="38"/>
        <v>0</v>
      </c>
      <c r="L296" s="3">
        <f ca="1">IFERROR(MAX(0,$G296-SUMIFS($G$2:$G$349,$A$2:$A$349,$A296,$C$2:$C$349,$C296,$B$2:$B$349,_xludf.MINIFS($B$2:$B$349,$A$2:$A$349,$A296,$C$2:$C$349,$C296))),0)</f>
        <v>734.3292236328125</v>
      </c>
    </row>
    <row r="297" spans="1:12" x14ac:dyDescent="0.2">
      <c r="A297" t="s">
        <v>182</v>
      </c>
      <c r="B297">
        <v>1767073978</v>
      </c>
      <c r="C297" t="s">
        <v>19</v>
      </c>
      <c r="D297" t="s">
        <v>199</v>
      </c>
      <c r="E297" s="3">
        <f t="shared" si="34"/>
        <v>5207.061767578125</v>
      </c>
      <c r="F297" s="3">
        <f t="shared" si="35"/>
        <v>10108.94775390625</v>
      </c>
      <c r="G297" s="3">
        <f t="shared" si="36"/>
        <v>15316.009521484375</v>
      </c>
      <c r="H297" s="4">
        <f t="shared" si="37"/>
        <v>40</v>
      </c>
      <c r="I297" s="3">
        <f t="shared" si="40"/>
        <v>0</v>
      </c>
      <c r="J297" s="3">
        <f t="shared" si="39"/>
        <v>0</v>
      </c>
      <c r="K297" s="3">
        <f t="shared" si="38"/>
        <v>0</v>
      </c>
      <c r="L297" s="3">
        <f ca="1">IFERROR(MAX(0,$G297-SUMIFS($G$2:$G$349,$A$2:$A$349,$A297,$C$2:$C$349,$C297,$B$2:$B$349,_xludf.MINIFS($B$2:$B$349,$A$2:$A$349,$A297,$C$2:$C$349,$C297))),0)</f>
        <v>15316.009521484375</v>
      </c>
    </row>
    <row r="298" spans="1:12" x14ac:dyDescent="0.2">
      <c r="A298" t="s">
        <v>182</v>
      </c>
      <c r="B298">
        <v>1767073986</v>
      </c>
      <c r="C298" t="s">
        <v>13</v>
      </c>
      <c r="D298" t="s">
        <v>187</v>
      </c>
      <c r="E298" s="3">
        <f t="shared" si="34"/>
        <v>1096.7254638671875</v>
      </c>
      <c r="F298" s="3">
        <f t="shared" si="35"/>
        <v>351.90582275390625</v>
      </c>
      <c r="G298" s="3">
        <f t="shared" si="36"/>
        <v>1448.6312866210938</v>
      </c>
      <c r="H298" s="4">
        <f t="shared" si="37"/>
        <v>45</v>
      </c>
      <c r="I298" s="3">
        <f t="shared" si="40"/>
        <v>0</v>
      </c>
      <c r="J298" s="3">
        <f t="shared" si="39"/>
        <v>0</v>
      </c>
      <c r="K298" s="3">
        <f t="shared" si="38"/>
        <v>0</v>
      </c>
      <c r="L298" s="3">
        <f ca="1">IFERROR(MAX(0,$G298-SUMIFS($G$2:$G$349,$A$2:$A$349,$A298,$C$2:$C$349,$C298,$B$2:$B$349,_xludf.MINIFS($B$2:$B$349,$A$2:$A$349,$A298,$C$2:$C$349,$C298))),0)</f>
        <v>1448.6312866210938</v>
      </c>
    </row>
    <row r="299" spans="1:12" x14ac:dyDescent="0.2">
      <c r="A299" t="s">
        <v>182</v>
      </c>
      <c r="B299">
        <v>1767073986</v>
      </c>
      <c r="C299" t="s">
        <v>15</v>
      </c>
      <c r="D299" t="s">
        <v>201</v>
      </c>
      <c r="E299" s="3">
        <f t="shared" si="34"/>
        <v>5445.4803466796875</v>
      </c>
      <c r="F299" s="3">
        <f t="shared" si="35"/>
        <v>6141.66259765625</v>
      </c>
      <c r="G299" s="3">
        <f t="shared" si="36"/>
        <v>11587.142944335938</v>
      </c>
      <c r="H299" s="4">
        <f t="shared" si="37"/>
        <v>45</v>
      </c>
      <c r="I299" s="3">
        <f t="shared" si="40"/>
        <v>38.14697265625</v>
      </c>
      <c r="J299" s="3">
        <f t="shared" si="39"/>
        <v>0</v>
      </c>
      <c r="K299" s="3">
        <f t="shared" si="38"/>
        <v>38.14697265625</v>
      </c>
      <c r="L299" s="3">
        <f ca="1">IFERROR(MAX(0,$G299-SUMIFS($G$2:$G$349,$A$2:$A$349,$A299,$C$2:$C$349,$C299,$B$2:$B$349,_xludf.MINIFS($B$2:$B$349,$A$2:$A$349,$A299,$C$2:$C$349,$C299))),0)</f>
        <v>11587.142944335938</v>
      </c>
    </row>
    <row r="300" spans="1:12" x14ac:dyDescent="0.2">
      <c r="A300" t="s">
        <v>182</v>
      </c>
      <c r="B300">
        <v>1767073986</v>
      </c>
      <c r="C300" t="s">
        <v>17</v>
      </c>
      <c r="D300" t="s">
        <v>196</v>
      </c>
      <c r="E300" s="3">
        <f t="shared" si="34"/>
        <v>297.54638671875</v>
      </c>
      <c r="F300" s="3">
        <f t="shared" si="35"/>
        <v>436.7828369140625</v>
      </c>
      <c r="G300" s="3">
        <f t="shared" si="36"/>
        <v>734.3292236328125</v>
      </c>
      <c r="H300" s="4">
        <f t="shared" si="37"/>
        <v>45</v>
      </c>
      <c r="I300" s="3">
        <f t="shared" si="40"/>
        <v>0</v>
      </c>
      <c r="J300" s="3">
        <f t="shared" si="39"/>
        <v>0</v>
      </c>
      <c r="K300" s="3">
        <f t="shared" si="38"/>
        <v>0</v>
      </c>
      <c r="L300" s="3">
        <f ca="1">IFERROR(MAX(0,$G300-SUMIFS($G$2:$G$349,$A$2:$A$349,$A300,$C$2:$C$349,$C300,$B$2:$B$349,_xludf.MINIFS($B$2:$B$349,$A$2:$A$349,$A300,$C$2:$C$349,$C300))),0)</f>
        <v>734.3292236328125</v>
      </c>
    </row>
    <row r="301" spans="1:12" x14ac:dyDescent="0.2">
      <c r="A301" t="s">
        <v>182</v>
      </c>
      <c r="B301">
        <v>1767073986</v>
      </c>
      <c r="C301" t="s">
        <v>19</v>
      </c>
      <c r="D301" t="s">
        <v>199</v>
      </c>
      <c r="E301" s="3">
        <f t="shared" si="34"/>
        <v>5207.061767578125</v>
      </c>
      <c r="F301" s="3">
        <f t="shared" si="35"/>
        <v>10108.94775390625</v>
      </c>
      <c r="G301" s="3">
        <f t="shared" si="36"/>
        <v>15316.009521484375</v>
      </c>
      <c r="H301" s="4">
        <f t="shared" si="37"/>
        <v>45</v>
      </c>
      <c r="I301" s="3">
        <f t="shared" si="40"/>
        <v>0</v>
      </c>
      <c r="J301" s="3">
        <f t="shared" si="39"/>
        <v>0</v>
      </c>
      <c r="K301" s="3">
        <f t="shared" si="38"/>
        <v>0</v>
      </c>
      <c r="L301" s="3">
        <f ca="1">IFERROR(MAX(0,$G301-SUMIFS($G$2:$G$349,$A$2:$A$349,$A301,$C$2:$C$349,$C301,$B$2:$B$349,_xludf.MINIFS($B$2:$B$349,$A$2:$A$349,$A301,$C$2:$C$349,$C301))),0)</f>
        <v>15316.009521484375</v>
      </c>
    </row>
    <row r="302" spans="1:12" x14ac:dyDescent="0.2">
      <c r="A302" t="s">
        <v>182</v>
      </c>
      <c r="B302">
        <v>1767073993</v>
      </c>
      <c r="C302" t="s">
        <v>13</v>
      </c>
      <c r="D302" t="s">
        <v>187</v>
      </c>
      <c r="E302" s="3">
        <f t="shared" si="34"/>
        <v>1096.7254638671875</v>
      </c>
      <c r="F302" s="3">
        <f t="shared" si="35"/>
        <v>351.90582275390625</v>
      </c>
      <c r="G302" s="3">
        <f t="shared" si="36"/>
        <v>1448.6312866210938</v>
      </c>
      <c r="H302" s="4">
        <f t="shared" si="37"/>
        <v>50</v>
      </c>
      <c r="I302" s="3">
        <f t="shared" si="40"/>
        <v>0</v>
      </c>
      <c r="J302" s="3">
        <f t="shared" si="39"/>
        <v>0</v>
      </c>
      <c r="K302" s="3">
        <f t="shared" si="38"/>
        <v>0</v>
      </c>
      <c r="L302" s="3">
        <f ca="1">IFERROR(MAX(0,$G302-SUMIFS($G$2:$G$349,$A$2:$A$349,$A302,$C$2:$C$349,$C302,$B$2:$B$349,_xludf.MINIFS($B$2:$B$349,$A$2:$A$349,$A302,$C$2:$C$349,$C302))),0)</f>
        <v>1448.6312866210938</v>
      </c>
    </row>
    <row r="303" spans="1:12" x14ac:dyDescent="0.2">
      <c r="A303" t="s">
        <v>182</v>
      </c>
      <c r="B303">
        <v>1767073993</v>
      </c>
      <c r="C303" t="s">
        <v>15</v>
      </c>
      <c r="D303" t="s">
        <v>201</v>
      </c>
      <c r="E303" s="3">
        <f t="shared" si="34"/>
        <v>5445.4803466796875</v>
      </c>
      <c r="F303" s="3">
        <f t="shared" si="35"/>
        <v>6141.66259765625</v>
      </c>
      <c r="G303" s="3">
        <f t="shared" si="36"/>
        <v>11587.142944335938</v>
      </c>
      <c r="H303" s="4">
        <f t="shared" si="37"/>
        <v>50</v>
      </c>
      <c r="I303" s="3">
        <f t="shared" si="40"/>
        <v>0</v>
      </c>
      <c r="J303" s="3">
        <f t="shared" si="39"/>
        <v>0</v>
      </c>
      <c r="K303" s="3">
        <f t="shared" si="38"/>
        <v>0</v>
      </c>
      <c r="L303" s="3">
        <f ca="1">IFERROR(MAX(0,$G303-SUMIFS($G$2:$G$349,$A$2:$A$349,$A303,$C$2:$C$349,$C303,$B$2:$B$349,_xludf.MINIFS($B$2:$B$349,$A$2:$A$349,$A303,$C$2:$C$349,$C303))),0)</f>
        <v>11587.142944335938</v>
      </c>
    </row>
    <row r="304" spans="1:12" x14ac:dyDescent="0.2">
      <c r="A304" t="s">
        <v>182</v>
      </c>
      <c r="B304">
        <v>1767073993</v>
      </c>
      <c r="C304" t="s">
        <v>17</v>
      </c>
      <c r="D304" t="s">
        <v>196</v>
      </c>
      <c r="E304" s="3">
        <f t="shared" si="34"/>
        <v>297.54638671875</v>
      </c>
      <c r="F304" s="3">
        <f t="shared" si="35"/>
        <v>436.7828369140625</v>
      </c>
      <c r="G304" s="3">
        <f t="shared" si="36"/>
        <v>734.3292236328125</v>
      </c>
      <c r="H304" s="4">
        <f t="shared" si="37"/>
        <v>50</v>
      </c>
      <c r="I304" s="3">
        <f t="shared" si="40"/>
        <v>0</v>
      </c>
      <c r="J304" s="3">
        <f t="shared" si="39"/>
        <v>0</v>
      </c>
      <c r="K304" s="3">
        <f t="shared" si="38"/>
        <v>0</v>
      </c>
      <c r="L304" s="3">
        <f ca="1">IFERROR(MAX(0,$G304-SUMIFS($G$2:$G$349,$A$2:$A$349,$A304,$C$2:$C$349,$C304,$B$2:$B$349,_xludf.MINIFS($B$2:$B$349,$A$2:$A$349,$A304,$C$2:$C$349,$C304))),0)</f>
        <v>734.3292236328125</v>
      </c>
    </row>
    <row r="305" spans="1:12" x14ac:dyDescent="0.2">
      <c r="A305" t="s">
        <v>182</v>
      </c>
      <c r="B305">
        <v>1767073993</v>
      </c>
      <c r="C305" t="s">
        <v>19</v>
      </c>
      <c r="D305" t="s">
        <v>202</v>
      </c>
      <c r="E305" s="3">
        <f t="shared" si="34"/>
        <v>5273.8189697265625</v>
      </c>
      <c r="F305" s="3">
        <f t="shared" si="35"/>
        <v>10299.6826171875</v>
      </c>
      <c r="G305" s="3">
        <f t="shared" si="36"/>
        <v>15573.501586914062</v>
      </c>
      <c r="H305" s="4">
        <f t="shared" si="37"/>
        <v>50</v>
      </c>
      <c r="I305" s="3">
        <f t="shared" si="40"/>
        <v>66.7572021484375</v>
      </c>
      <c r="J305" s="3">
        <f t="shared" si="39"/>
        <v>190.73486328125</v>
      </c>
      <c r="K305" s="3">
        <f t="shared" si="38"/>
        <v>257.4920654296875</v>
      </c>
      <c r="L305" s="3">
        <f ca="1">IFERROR(MAX(0,$G305-SUMIFS($G$2:$G$349,$A$2:$A$349,$A305,$C$2:$C$349,$C305,$B$2:$B$349,_xludf.MINIFS($B$2:$B$349,$A$2:$A$349,$A305,$C$2:$C$349,$C305))),0)</f>
        <v>15573.501586914062</v>
      </c>
    </row>
    <row r="306" spans="1:12" x14ac:dyDescent="0.2">
      <c r="A306" t="s">
        <v>182</v>
      </c>
      <c r="B306">
        <v>1767074001</v>
      </c>
      <c r="C306" t="s">
        <v>13</v>
      </c>
      <c r="D306" t="s">
        <v>187</v>
      </c>
      <c r="E306" s="3">
        <f t="shared" si="34"/>
        <v>1096.7254638671875</v>
      </c>
      <c r="F306" s="3">
        <f t="shared" si="35"/>
        <v>351.90582275390625</v>
      </c>
      <c r="G306" s="3">
        <f t="shared" si="36"/>
        <v>1448.6312866210938</v>
      </c>
      <c r="H306" s="4">
        <f t="shared" si="37"/>
        <v>55</v>
      </c>
      <c r="I306" s="3">
        <f t="shared" si="40"/>
        <v>0</v>
      </c>
      <c r="J306" s="3">
        <f t="shared" si="39"/>
        <v>0</v>
      </c>
      <c r="K306" s="3">
        <f t="shared" si="38"/>
        <v>0</v>
      </c>
      <c r="L306" s="3">
        <f ca="1">IFERROR(MAX(0,$G306-SUMIFS($G$2:$G$349,$A$2:$A$349,$A306,$C$2:$C$349,$C306,$B$2:$B$349,_xludf.MINIFS($B$2:$B$349,$A$2:$A$349,$A306,$C$2:$C$349,$C306))),0)</f>
        <v>1448.6312866210938</v>
      </c>
    </row>
    <row r="307" spans="1:12" x14ac:dyDescent="0.2">
      <c r="A307" t="s">
        <v>182</v>
      </c>
      <c r="B307">
        <v>1767074001</v>
      </c>
      <c r="C307" t="s">
        <v>15</v>
      </c>
      <c r="D307" t="s">
        <v>203</v>
      </c>
      <c r="E307" s="3">
        <f t="shared" si="34"/>
        <v>5502.7008056640625</v>
      </c>
      <c r="F307" s="3">
        <f t="shared" si="35"/>
        <v>6141.66259765625</v>
      </c>
      <c r="G307" s="3">
        <f t="shared" si="36"/>
        <v>11644.363403320312</v>
      </c>
      <c r="H307" s="4">
        <f t="shared" si="37"/>
        <v>55</v>
      </c>
      <c r="I307" s="3">
        <f t="shared" si="40"/>
        <v>57.220458984375</v>
      </c>
      <c r="J307" s="3">
        <f t="shared" si="39"/>
        <v>0</v>
      </c>
      <c r="K307" s="3">
        <f t="shared" si="38"/>
        <v>57.220458984375</v>
      </c>
      <c r="L307" s="3">
        <f ca="1">IFERROR(MAX(0,$G307-SUMIFS($G$2:$G$349,$A$2:$A$349,$A307,$C$2:$C$349,$C307,$B$2:$B$349,_xludf.MINIFS($B$2:$B$349,$A$2:$A$349,$A307,$C$2:$C$349,$C307))),0)</f>
        <v>11644.363403320312</v>
      </c>
    </row>
    <row r="308" spans="1:12" x14ac:dyDescent="0.2">
      <c r="A308" t="s">
        <v>182</v>
      </c>
      <c r="B308">
        <v>1767074001</v>
      </c>
      <c r="C308" t="s">
        <v>17</v>
      </c>
      <c r="D308" t="s">
        <v>196</v>
      </c>
      <c r="E308" s="3">
        <f t="shared" si="34"/>
        <v>297.54638671875</v>
      </c>
      <c r="F308" s="3">
        <f t="shared" si="35"/>
        <v>436.7828369140625</v>
      </c>
      <c r="G308" s="3">
        <f t="shared" si="36"/>
        <v>734.3292236328125</v>
      </c>
      <c r="H308" s="4">
        <f t="shared" si="37"/>
        <v>55</v>
      </c>
      <c r="I308" s="3">
        <f t="shared" si="40"/>
        <v>0</v>
      </c>
      <c r="J308" s="3">
        <f t="shared" si="39"/>
        <v>0</v>
      </c>
      <c r="K308" s="3">
        <f t="shared" si="38"/>
        <v>0</v>
      </c>
      <c r="L308" s="3">
        <f ca="1">IFERROR(MAX(0,$G308-SUMIFS($G$2:$G$349,$A$2:$A$349,$A308,$C$2:$C$349,$C308,$B$2:$B$349,_xludf.MINIFS($B$2:$B$349,$A$2:$A$349,$A308,$C$2:$C$349,$C308))),0)</f>
        <v>734.3292236328125</v>
      </c>
    </row>
    <row r="309" spans="1:12" x14ac:dyDescent="0.2">
      <c r="A309" t="s">
        <v>182</v>
      </c>
      <c r="B309">
        <v>1767074001</v>
      </c>
      <c r="C309" t="s">
        <v>19</v>
      </c>
      <c r="D309" t="s">
        <v>204</v>
      </c>
      <c r="E309" s="3">
        <f t="shared" si="34"/>
        <v>5292.8924560546875</v>
      </c>
      <c r="F309" s="3">
        <f t="shared" si="35"/>
        <v>10299.6826171875</v>
      </c>
      <c r="G309" s="3">
        <f t="shared" si="36"/>
        <v>15592.575073242188</v>
      </c>
      <c r="H309" s="4">
        <f t="shared" si="37"/>
        <v>55</v>
      </c>
      <c r="I309" s="3">
        <f t="shared" si="40"/>
        <v>19.073486328125</v>
      </c>
      <c r="J309" s="3">
        <f t="shared" si="39"/>
        <v>0</v>
      </c>
      <c r="K309" s="3">
        <f t="shared" si="38"/>
        <v>19.073486328125</v>
      </c>
      <c r="L309" s="3">
        <f ca="1">IFERROR(MAX(0,$G309-SUMIFS($G$2:$G$349,$A$2:$A$349,$A309,$C$2:$C$349,$C309,$B$2:$B$349,_xludf.MINIFS($B$2:$B$349,$A$2:$A$349,$A309,$C$2:$C$349,$C309))),0)</f>
        <v>15592.575073242188</v>
      </c>
    </row>
    <row r="310" spans="1:12" x14ac:dyDescent="0.2">
      <c r="A310" t="s">
        <v>182</v>
      </c>
      <c r="B310">
        <v>1767074008</v>
      </c>
      <c r="C310" t="s">
        <v>13</v>
      </c>
      <c r="D310" t="s">
        <v>187</v>
      </c>
      <c r="E310" s="3">
        <f t="shared" si="34"/>
        <v>1096.7254638671875</v>
      </c>
      <c r="F310" s="3">
        <f t="shared" si="35"/>
        <v>351.90582275390625</v>
      </c>
      <c r="G310" s="3">
        <f t="shared" si="36"/>
        <v>1448.6312866210938</v>
      </c>
      <c r="H310" s="4">
        <f t="shared" si="37"/>
        <v>60</v>
      </c>
      <c r="I310" s="3">
        <f t="shared" si="40"/>
        <v>0</v>
      </c>
      <c r="J310" s="3">
        <f t="shared" si="39"/>
        <v>0</v>
      </c>
      <c r="K310" s="3">
        <f t="shared" si="38"/>
        <v>0</v>
      </c>
      <c r="L310" s="3">
        <f ca="1">IFERROR(MAX(0,$G310-SUMIFS($G$2:$G$349,$A$2:$A$349,$A310,$C$2:$C$349,$C310,$B$2:$B$349,_xludf.MINIFS($B$2:$B$349,$A$2:$A$349,$A310,$C$2:$C$349,$C310))),0)</f>
        <v>1448.6312866210938</v>
      </c>
    </row>
    <row r="311" spans="1:12" x14ac:dyDescent="0.2">
      <c r="A311" t="s">
        <v>182</v>
      </c>
      <c r="B311">
        <v>1767074008</v>
      </c>
      <c r="C311" t="s">
        <v>15</v>
      </c>
      <c r="D311" t="s">
        <v>205</v>
      </c>
      <c r="E311" s="3">
        <f t="shared" si="34"/>
        <v>5550.384521484375</v>
      </c>
      <c r="F311" s="3">
        <f t="shared" si="35"/>
        <v>6141.66259765625</v>
      </c>
      <c r="G311" s="3">
        <f t="shared" si="36"/>
        <v>11692.047119140625</v>
      </c>
      <c r="H311" s="4">
        <f t="shared" si="37"/>
        <v>60</v>
      </c>
      <c r="I311" s="3">
        <f t="shared" si="40"/>
        <v>47.6837158203125</v>
      </c>
      <c r="J311" s="3">
        <f t="shared" si="39"/>
        <v>0</v>
      </c>
      <c r="K311" s="3">
        <f t="shared" si="38"/>
        <v>47.6837158203125</v>
      </c>
      <c r="L311" s="3">
        <f ca="1">IFERROR(MAX(0,$G311-SUMIFS($G$2:$G$349,$A$2:$A$349,$A311,$C$2:$C$349,$C311,$B$2:$B$349,_xludf.MINIFS($B$2:$B$349,$A$2:$A$349,$A311,$C$2:$C$349,$C311))),0)</f>
        <v>11692.047119140625</v>
      </c>
    </row>
    <row r="312" spans="1:12" x14ac:dyDescent="0.2">
      <c r="A312" t="s">
        <v>182</v>
      </c>
      <c r="B312">
        <v>1767074008</v>
      </c>
      <c r="C312" t="s">
        <v>17</v>
      </c>
      <c r="D312" t="s">
        <v>206</v>
      </c>
      <c r="E312" s="3">
        <f t="shared" si="34"/>
        <v>297.54638671875</v>
      </c>
      <c r="F312" s="3">
        <f t="shared" si="35"/>
        <v>437.73651123046875</v>
      </c>
      <c r="G312" s="3">
        <f t="shared" si="36"/>
        <v>735.28289794921875</v>
      </c>
      <c r="H312" s="4">
        <f t="shared" si="37"/>
        <v>60</v>
      </c>
      <c r="I312" s="3">
        <f t="shared" si="40"/>
        <v>0</v>
      </c>
      <c r="J312" s="3">
        <f t="shared" si="39"/>
        <v>0.95367431640625</v>
      </c>
      <c r="K312" s="3">
        <f t="shared" si="38"/>
        <v>0.95367431640625</v>
      </c>
      <c r="L312" s="3">
        <f ca="1">IFERROR(MAX(0,$G312-SUMIFS($G$2:$G$349,$A$2:$A$349,$A312,$C$2:$C$349,$C312,$B$2:$B$349,_xludf.MINIFS($B$2:$B$349,$A$2:$A$349,$A312,$C$2:$C$349,$C312))),0)</f>
        <v>735.28289794921875</v>
      </c>
    </row>
    <row r="313" spans="1:12" x14ac:dyDescent="0.2">
      <c r="A313" t="s">
        <v>182</v>
      </c>
      <c r="B313">
        <v>1767074008</v>
      </c>
      <c r="C313" t="s">
        <v>19</v>
      </c>
      <c r="D313" t="s">
        <v>207</v>
      </c>
      <c r="E313" s="3">
        <f t="shared" si="34"/>
        <v>5292.8924560546875</v>
      </c>
      <c r="F313" s="3">
        <f t="shared" si="35"/>
        <v>10395.050048828125</v>
      </c>
      <c r="G313" s="3">
        <f t="shared" si="36"/>
        <v>15687.942504882812</v>
      </c>
      <c r="H313" s="4">
        <f t="shared" si="37"/>
        <v>60</v>
      </c>
      <c r="I313" s="3">
        <f t="shared" si="40"/>
        <v>0</v>
      </c>
      <c r="J313" s="3">
        <f t="shared" si="39"/>
        <v>95.367431640625</v>
      </c>
      <c r="K313" s="3">
        <f t="shared" si="38"/>
        <v>95.367431640625</v>
      </c>
      <c r="L313" s="3">
        <f ca="1">IFERROR(MAX(0,$G313-SUMIFS($G$2:$G$349,$A$2:$A$349,$A313,$C$2:$C$349,$C313,$B$2:$B$349,_xludf.MINIFS($B$2:$B$349,$A$2:$A$349,$A313,$C$2:$C$349,$C313))),0)</f>
        <v>15687.942504882812</v>
      </c>
    </row>
    <row r="314" spans="1:12" x14ac:dyDescent="0.2">
      <c r="A314" t="s">
        <v>182</v>
      </c>
      <c r="B314">
        <v>1767074016</v>
      </c>
      <c r="C314" t="s">
        <v>13</v>
      </c>
      <c r="D314" t="s">
        <v>187</v>
      </c>
      <c r="E314" s="3">
        <f t="shared" si="34"/>
        <v>1096.7254638671875</v>
      </c>
      <c r="F314" s="3">
        <f t="shared" si="35"/>
        <v>351.90582275390625</v>
      </c>
      <c r="G314" s="3">
        <f t="shared" si="36"/>
        <v>1448.6312866210938</v>
      </c>
      <c r="H314" s="4">
        <f t="shared" si="37"/>
        <v>65</v>
      </c>
      <c r="I314" s="3">
        <f t="shared" si="40"/>
        <v>0</v>
      </c>
      <c r="J314" s="3">
        <f t="shared" si="39"/>
        <v>0</v>
      </c>
      <c r="K314" s="3">
        <f t="shared" si="38"/>
        <v>0</v>
      </c>
      <c r="L314" s="3">
        <f ca="1">IFERROR(MAX(0,$G314-SUMIFS($G$2:$G$349,$A$2:$A$349,$A314,$C$2:$C$349,$C314,$B$2:$B$349,_xludf.MINIFS($B$2:$B$349,$A$2:$A$349,$A314,$C$2:$C$349,$C314))),0)</f>
        <v>1448.6312866210938</v>
      </c>
    </row>
    <row r="315" spans="1:12" x14ac:dyDescent="0.2">
      <c r="A315" t="s">
        <v>182</v>
      </c>
      <c r="B315">
        <v>1767074016</v>
      </c>
      <c r="C315" t="s">
        <v>15</v>
      </c>
      <c r="D315" t="s">
        <v>208</v>
      </c>
      <c r="E315" s="3">
        <f t="shared" si="34"/>
        <v>5578.9947509765625</v>
      </c>
      <c r="F315" s="3">
        <f t="shared" si="35"/>
        <v>6141.66259765625</v>
      </c>
      <c r="G315" s="3">
        <f t="shared" si="36"/>
        <v>11720.657348632812</v>
      </c>
      <c r="H315" s="4">
        <f t="shared" si="37"/>
        <v>65</v>
      </c>
      <c r="I315" s="3">
        <f t="shared" si="40"/>
        <v>28.6102294921875</v>
      </c>
      <c r="J315" s="3">
        <f t="shared" si="39"/>
        <v>0</v>
      </c>
      <c r="K315" s="3">
        <f t="shared" si="38"/>
        <v>28.6102294921875</v>
      </c>
      <c r="L315" s="3">
        <f ca="1">IFERROR(MAX(0,$G315-SUMIFS($G$2:$G$349,$A$2:$A$349,$A315,$C$2:$C$349,$C315,$B$2:$B$349,_xludf.MINIFS($B$2:$B$349,$A$2:$A$349,$A315,$C$2:$C$349,$C315))),0)</f>
        <v>11720.657348632812</v>
      </c>
    </row>
    <row r="316" spans="1:12" x14ac:dyDescent="0.2">
      <c r="A316" t="s">
        <v>182</v>
      </c>
      <c r="B316">
        <v>1767074016</v>
      </c>
      <c r="C316" t="s">
        <v>17</v>
      </c>
      <c r="D316" t="s">
        <v>206</v>
      </c>
      <c r="E316" s="3">
        <f t="shared" si="34"/>
        <v>297.54638671875</v>
      </c>
      <c r="F316" s="3">
        <f t="shared" si="35"/>
        <v>437.73651123046875</v>
      </c>
      <c r="G316" s="3">
        <f t="shared" si="36"/>
        <v>735.28289794921875</v>
      </c>
      <c r="H316" s="4">
        <f t="shared" si="37"/>
        <v>65</v>
      </c>
      <c r="I316" s="3">
        <f t="shared" si="40"/>
        <v>0</v>
      </c>
      <c r="J316" s="3">
        <f t="shared" si="39"/>
        <v>0</v>
      </c>
      <c r="K316" s="3">
        <f t="shared" si="38"/>
        <v>0</v>
      </c>
      <c r="L316" s="3">
        <f ca="1">IFERROR(MAX(0,$G316-SUMIFS($G$2:$G$349,$A$2:$A$349,$A316,$C$2:$C$349,$C316,$B$2:$B$349,_xludf.MINIFS($B$2:$B$349,$A$2:$A$349,$A316,$C$2:$C$349,$C316))),0)</f>
        <v>735.28289794921875</v>
      </c>
    </row>
    <row r="317" spans="1:12" x14ac:dyDescent="0.2">
      <c r="A317" t="s">
        <v>182</v>
      </c>
      <c r="B317">
        <v>1767074016</v>
      </c>
      <c r="C317" t="s">
        <v>19</v>
      </c>
      <c r="D317" t="s">
        <v>209</v>
      </c>
      <c r="E317" s="3">
        <f t="shared" si="34"/>
        <v>5292.8924560546875</v>
      </c>
      <c r="F317" s="3">
        <f t="shared" si="35"/>
        <v>10490.41748046875</v>
      </c>
      <c r="G317" s="3">
        <f t="shared" si="36"/>
        <v>15783.309936523438</v>
      </c>
      <c r="H317" s="4">
        <f t="shared" si="37"/>
        <v>65</v>
      </c>
      <c r="I317" s="3">
        <f t="shared" si="40"/>
        <v>0</v>
      </c>
      <c r="J317" s="3">
        <f t="shared" si="39"/>
        <v>95.367431640625</v>
      </c>
      <c r="K317" s="3">
        <f t="shared" si="38"/>
        <v>95.367431640625</v>
      </c>
      <c r="L317" s="3">
        <f ca="1">IFERROR(MAX(0,$G317-SUMIFS($G$2:$G$349,$A$2:$A$349,$A317,$C$2:$C$349,$C317,$B$2:$B$349,_xludf.MINIFS($B$2:$B$349,$A$2:$A$349,$A317,$C$2:$C$349,$C317))),0)</f>
        <v>15783.309936523438</v>
      </c>
    </row>
    <row r="318" spans="1:12" x14ac:dyDescent="0.2">
      <c r="A318" t="s">
        <v>182</v>
      </c>
      <c r="B318">
        <v>1767074023</v>
      </c>
      <c r="C318" t="s">
        <v>13</v>
      </c>
      <c r="D318" t="s">
        <v>187</v>
      </c>
      <c r="E318" s="3">
        <f t="shared" si="34"/>
        <v>1096.7254638671875</v>
      </c>
      <c r="F318" s="3">
        <f t="shared" si="35"/>
        <v>351.90582275390625</v>
      </c>
      <c r="G318" s="3">
        <f t="shared" si="36"/>
        <v>1448.6312866210938</v>
      </c>
      <c r="H318" s="4">
        <f t="shared" si="37"/>
        <v>70</v>
      </c>
      <c r="I318" s="3">
        <f t="shared" si="40"/>
        <v>0</v>
      </c>
      <c r="J318" s="3">
        <f t="shared" si="39"/>
        <v>0</v>
      </c>
      <c r="K318" s="3">
        <f t="shared" si="38"/>
        <v>0</v>
      </c>
      <c r="L318" s="3">
        <f ca="1">IFERROR(MAX(0,$G318-SUMIFS($G$2:$G$349,$A$2:$A$349,$A318,$C$2:$C$349,$C318,$B$2:$B$349,_xludf.MINIFS($B$2:$B$349,$A$2:$A$349,$A318,$C$2:$C$349,$C318))),0)</f>
        <v>1448.6312866210938</v>
      </c>
    </row>
    <row r="319" spans="1:12" x14ac:dyDescent="0.2">
      <c r="A319" t="s">
        <v>182</v>
      </c>
      <c r="B319">
        <v>1767074023</v>
      </c>
      <c r="C319" t="s">
        <v>15</v>
      </c>
      <c r="D319" t="s">
        <v>208</v>
      </c>
      <c r="E319" s="3">
        <f t="shared" si="34"/>
        <v>5578.9947509765625</v>
      </c>
      <c r="F319" s="3">
        <f t="shared" si="35"/>
        <v>6141.66259765625</v>
      </c>
      <c r="G319" s="3">
        <f t="shared" si="36"/>
        <v>11720.657348632812</v>
      </c>
      <c r="H319" s="4">
        <f t="shared" si="37"/>
        <v>70</v>
      </c>
      <c r="I319" s="3">
        <f t="shared" si="40"/>
        <v>0</v>
      </c>
      <c r="J319" s="3">
        <f t="shared" si="39"/>
        <v>0</v>
      </c>
      <c r="K319" s="3">
        <f t="shared" si="38"/>
        <v>0</v>
      </c>
      <c r="L319" s="3">
        <f ca="1">IFERROR(MAX(0,$G319-SUMIFS($G$2:$G$349,$A$2:$A$349,$A319,$C$2:$C$349,$C319,$B$2:$B$349,_xludf.MINIFS($B$2:$B$349,$A$2:$A$349,$A319,$C$2:$C$349,$C319))),0)</f>
        <v>11720.657348632812</v>
      </c>
    </row>
    <row r="320" spans="1:12" x14ac:dyDescent="0.2">
      <c r="A320" t="s">
        <v>182</v>
      </c>
      <c r="B320">
        <v>1767074023</v>
      </c>
      <c r="C320" t="s">
        <v>17</v>
      </c>
      <c r="D320" t="s">
        <v>210</v>
      </c>
      <c r="E320" s="3">
        <f t="shared" si="34"/>
        <v>298.50006103515625</v>
      </c>
      <c r="F320" s="3">
        <f t="shared" si="35"/>
        <v>437.73651123046875</v>
      </c>
      <c r="G320" s="3">
        <f t="shared" si="36"/>
        <v>736.236572265625</v>
      </c>
      <c r="H320" s="4">
        <f t="shared" si="37"/>
        <v>70</v>
      </c>
      <c r="I320" s="3">
        <f t="shared" si="40"/>
        <v>0.95367431640625</v>
      </c>
      <c r="J320" s="3">
        <f t="shared" si="39"/>
        <v>0</v>
      </c>
      <c r="K320" s="3">
        <f t="shared" si="38"/>
        <v>0.95367431640625</v>
      </c>
      <c r="L320" s="3">
        <f ca="1">IFERROR(MAX(0,$G320-SUMIFS($G$2:$G$349,$A$2:$A$349,$A320,$C$2:$C$349,$C320,$B$2:$B$349,_xludf.MINIFS($B$2:$B$349,$A$2:$A$349,$A320,$C$2:$C$349,$C320))),0)</f>
        <v>736.236572265625</v>
      </c>
    </row>
    <row r="321" spans="1:12" x14ac:dyDescent="0.2">
      <c r="A321" t="s">
        <v>182</v>
      </c>
      <c r="B321">
        <v>1767074023</v>
      </c>
      <c r="C321" t="s">
        <v>19</v>
      </c>
      <c r="D321" t="s">
        <v>211</v>
      </c>
      <c r="E321" s="3">
        <f t="shared" si="34"/>
        <v>5340.576171875</v>
      </c>
      <c r="F321" s="3">
        <f t="shared" si="35"/>
        <v>10585.784912109375</v>
      </c>
      <c r="G321" s="3">
        <f t="shared" si="36"/>
        <v>15926.361083984375</v>
      </c>
      <c r="H321" s="4">
        <f t="shared" si="37"/>
        <v>70</v>
      </c>
      <c r="I321" s="3">
        <f t="shared" si="40"/>
        <v>47.6837158203125</v>
      </c>
      <c r="J321" s="3">
        <f t="shared" si="39"/>
        <v>95.367431640625</v>
      </c>
      <c r="K321" s="3">
        <f t="shared" si="38"/>
        <v>143.0511474609375</v>
      </c>
      <c r="L321" s="3">
        <f ca="1">IFERROR(MAX(0,$G321-SUMIFS($G$2:$G$349,$A$2:$A$349,$A321,$C$2:$C$349,$C321,$B$2:$B$349,_xludf.MINIFS($B$2:$B$349,$A$2:$A$349,$A321,$C$2:$C$349,$C321))),0)</f>
        <v>15926.361083984375</v>
      </c>
    </row>
    <row r="322" spans="1:12" x14ac:dyDescent="0.2">
      <c r="A322" t="s">
        <v>182</v>
      </c>
      <c r="B322">
        <v>1767074031</v>
      </c>
      <c r="C322" t="s">
        <v>13</v>
      </c>
      <c r="D322" t="s">
        <v>212</v>
      </c>
      <c r="E322" s="3">
        <f t="shared" ref="E322:E349" si="41">IFERROR(IF(RIGHT(TRIM(LEFT($D322,FIND("/",$D322)-1)),2)="kB",VALUE(LEFT(TRIM(LEFT($D322,FIND("/",$D322)-1)),LEN(TRIM(LEFT($D322,FIND("/",$D322)-1)))-2))*1000/1024/1024,IF(RIGHT(TRIM(LEFT($D322,FIND("/",$D322)-1)),2)="MB",VALUE(LEFT(TRIM(LEFT($D322,FIND("/",$D322)-1)),LEN(TRIM(LEFT($D322,FIND("/",$D322)-1)))-2))*1000000/1024/1024,IF(RIGHT(TRIM(LEFT($D322,FIND("/",$D322)-1)),2)="GB",VALUE(LEFT(TRIM(LEFT($D322,FIND("/",$D322)-1)),LEN(TRIM(LEFT($D322,FIND("/",$D322)-1)))-2))*1000000000/1024/1024,""))),"")</f>
        <v>1106.26220703125</v>
      </c>
      <c r="F322" s="3">
        <f t="shared" ref="F322:F349" si="42">IFERROR(IF(RIGHT(TRIM(MID($D322,FIND("/",$D322)+1,999)),2)="kB",VALUE(LEFT(TRIM(MID($D322,FIND("/",$D322)+1,999)),LEN(TRIM(MID($D322,FIND("/",$D322)+1,999)))-2))*1000/1024/1024,IF(RIGHT(TRIM(MID($D322,FIND("/",$D322)+1,999)),2)="MB",VALUE(LEFT(TRIM(MID($D322,FIND("/",$D322)+1,999)),LEN(TRIM(MID($D322,FIND("/",$D322)+1,999)))-2))*1000000/1024/1024,IF(RIGHT(TRIM(MID($D322,FIND("/",$D322)+1,999)),2)="GB",VALUE(LEFT(TRIM(MID($D322,FIND("/",$D322)+1,999)),LEN(TRIM(MID($D322,FIND("/",$D322)+1,999)))-2))*1000000000/1024/1024,""))),"")</f>
        <v>351.90582275390625</v>
      </c>
      <c r="G322" s="3">
        <f t="shared" ref="G322:G349" si="43">IFERROR($E322+$F322,"")</f>
        <v>1458.1680297851562</v>
      </c>
      <c r="H322" s="4">
        <f t="shared" ref="H322:H349" si="44">IF($A322&lt;&gt;$A321,0,IF($B322=$B321,$H321,$H321+5))</f>
        <v>75</v>
      </c>
      <c r="I322" s="3">
        <f t="shared" si="40"/>
        <v>9.5367431640625</v>
      </c>
      <c r="J322" s="3">
        <f t="shared" si="39"/>
        <v>0</v>
      </c>
      <c r="K322" s="3">
        <f t="shared" si="38"/>
        <v>9.5367431640625</v>
      </c>
      <c r="L322" s="3">
        <f ca="1">IFERROR(MAX(0,$G322-SUMIFS($G$2:$G$349,$A$2:$A$349,$A322,$C$2:$C$349,$C322,$B$2:$B$349,_xludf.MINIFS($B$2:$B$349,$A$2:$A$349,$A322,$C$2:$C$349,$C322))),0)</f>
        <v>1458.1680297851562</v>
      </c>
    </row>
    <row r="323" spans="1:12" x14ac:dyDescent="0.2">
      <c r="A323" t="s">
        <v>182</v>
      </c>
      <c r="B323">
        <v>1767074031</v>
      </c>
      <c r="C323" t="s">
        <v>15</v>
      </c>
      <c r="D323" t="s">
        <v>213</v>
      </c>
      <c r="E323" s="3">
        <f t="shared" si="41"/>
        <v>5598.0682373046875</v>
      </c>
      <c r="F323" s="3">
        <f t="shared" si="42"/>
        <v>6141.66259765625</v>
      </c>
      <c r="G323" s="3">
        <f t="shared" si="43"/>
        <v>11739.730834960938</v>
      </c>
      <c r="H323" s="4">
        <f t="shared" si="44"/>
        <v>75</v>
      </c>
      <c r="I323" s="3">
        <f t="shared" si="40"/>
        <v>19.073486328125</v>
      </c>
      <c r="J323" s="3">
        <f t="shared" si="39"/>
        <v>0</v>
      </c>
      <c r="K323" s="3">
        <f t="shared" ref="K323:K349" si="45">IF($B323=_xlfn.MINIFS($B$2:$B$349,$A$2:$A$349,$A323,$C$2:$C$349,$C323),0,IFERROR(MAX(0,$G323-SUMIFS($G$2:$G$349,$A$2:$A$349,$A323,$C$2:$C$349,$C323,$B$2:$B$349,_xlfn.MAXIFS($B$2:$B$349,$A$2:$A$349,$A323,$C$2:$C$349,$C323,$B$2:$B$349,"&lt;"&amp;$B323))),0))</f>
        <v>19.073486328125</v>
      </c>
      <c r="L323" s="3">
        <f ca="1">IFERROR(MAX(0,$G323-SUMIFS($G$2:$G$349,$A$2:$A$349,$A323,$C$2:$C$349,$C323,$B$2:$B$349,_xludf.MINIFS($B$2:$B$349,$A$2:$A$349,$A323,$C$2:$C$349,$C323))),0)</f>
        <v>11739.730834960938</v>
      </c>
    </row>
    <row r="324" spans="1:12" x14ac:dyDescent="0.2">
      <c r="A324" t="s">
        <v>182</v>
      </c>
      <c r="B324">
        <v>1767074031</v>
      </c>
      <c r="C324" t="s">
        <v>17</v>
      </c>
      <c r="D324" t="s">
        <v>210</v>
      </c>
      <c r="E324" s="3">
        <f t="shared" si="41"/>
        <v>298.50006103515625</v>
      </c>
      <c r="F324" s="3">
        <f t="shared" si="42"/>
        <v>437.73651123046875</v>
      </c>
      <c r="G324" s="3">
        <f t="shared" si="43"/>
        <v>736.236572265625</v>
      </c>
      <c r="H324" s="4">
        <f t="shared" si="44"/>
        <v>75</v>
      </c>
      <c r="I324" s="3">
        <f t="shared" si="40"/>
        <v>0</v>
      </c>
      <c r="J324" s="3">
        <f t="shared" si="39"/>
        <v>0</v>
      </c>
      <c r="K324" s="3">
        <f t="shared" si="45"/>
        <v>0</v>
      </c>
      <c r="L324" s="3">
        <f ca="1">IFERROR(MAX(0,$G324-SUMIFS($G$2:$G$349,$A$2:$A$349,$A324,$C$2:$C$349,$C324,$B$2:$B$349,_xludf.MINIFS($B$2:$B$349,$A$2:$A$349,$A324,$C$2:$C$349,$C324))),0)</f>
        <v>736.236572265625</v>
      </c>
    </row>
    <row r="325" spans="1:12" x14ac:dyDescent="0.2">
      <c r="A325" t="s">
        <v>182</v>
      </c>
      <c r="B325">
        <v>1767074031</v>
      </c>
      <c r="C325" t="s">
        <v>19</v>
      </c>
      <c r="D325" t="s">
        <v>214</v>
      </c>
      <c r="E325" s="3">
        <f t="shared" si="41"/>
        <v>5350.1129150390625</v>
      </c>
      <c r="F325" s="3">
        <f t="shared" si="42"/>
        <v>10585.784912109375</v>
      </c>
      <c r="G325" s="3">
        <f t="shared" si="43"/>
        <v>15935.897827148438</v>
      </c>
      <c r="H325" s="4">
        <f t="shared" si="44"/>
        <v>75</v>
      </c>
      <c r="I325" s="3">
        <f t="shared" si="40"/>
        <v>9.5367431640625</v>
      </c>
      <c r="J325" s="3">
        <f t="shared" si="39"/>
        <v>0</v>
      </c>
      <c r="K325" s="3">
        <f t="shared" si="45"/>
        <v>9.5367431640625</v>
      </c>
      <c r="L325" s="3">
        <f ca="1">IFERROR(MAX(0,$G325-SUMIFS($G$2:$G$349,$A$2:$A$349,$A325,$C$2:$C$349,$C325,$B$2:$B$349,_xludf.MINIFS($B$2:$B$349,$A$2:$A$349,$A325,$C$2:$C$349,$C325))),0)</f>
        <v>15935.897827148438</v>
      </c>
    </row>
    <row r="326" spans="1:12" x14ac:dyDescent="0.2">
      <c r="A326" t="s">
        <v>182</v>
      </c>
      <c r="B326">
        <v>1767074038</v>
      </c>
      <c r="C326" t="s">
        <v>13</v>
      </c>
      <c r="D326" t="s">
        <v>212</v>
      </c>
      <c r="E326" s="3">
        <f t="shared" si="41"/>
        <v>1106.26220703125</v>
      </c>
      <c r="F326" s="3">
        <f t="shared" si="42"/>
        <v>351.90582275390625</v>
      </c>
      <c r="G326" s="3">
        <f t="shared" si="43"/>
        <v>1458.1680297851562</v>
      </c>
      <c r="H326" s="4">
        <f t="shared" si="44"/>
        <v>80</v>
      </c>
      <c r="I326" s="3">
        <f t="shared" si="40"/>
        <v>0</v>
      </c>
      <c r="J326" s="3">
        <f t="shared" si="39"/>
        <v>0</v>
      </c>
      <c r="K326" s="3">
        <f t="shared" si="45"/>
        <v>0</v>
      </c>
      <c r="L326" s="3">
        <f ca="1">IFERROR(MAX(0,$G326-SUMIFS($G$2:$G$349,$A$2:$A$349,$A326,$C$2:$C$349,$C326,$B$2:$B$349,_xludf.MINIFS($B$2:$B$349,$A$2:$A$349,$A326,$C$2:$C$349,$C326))),0)</f>
        <v>1458.1680297851562</v>
      </c>
    </row>
    <row r="327" spans="1:12" x14ac:dyDescent="0.2">
      <c r="A327" t="s">
        <v>182</v>
      </c>
      <c r="B327">
        <v>1767074038</v>
      </c>
      <c r="C327" t="s">
        <v>15</v>
      </c>
      <c r="D327" t="s">
        <v>215</v>
      </c>
      <c r="E327" s="3">
        <f t="shared" si="41"/>
        <v>5598.0682373046875</v>
      </c>
      <c r="F327" s="3">
        <f t="shared" si="42"/>
        <v>6160.736083984375</v>
      </c>
      <c r="G327" s="3">
        <f t="shared" si="43"/>
        <v>11758.804321289062</v>
      </c>
      <c r="H327" s="4">
        <f t="shared" si="44"/>
        <v>80</v>
      </c>
      <c r="I327" s="3">
        <f t="shared" si="40"/>
        <v>0</v>
      </c>
      <c r="J327" s="3">
        <f t="shared" si="39"/>
        <v>19.073486328125</v>
      </c>
      <c r="K327" s="3">
        <f t="shared" si="45"/>
        <v>19.073486328125</v>
      </c>
      <c r="L327" s="3">
        <f ca="1">IFERROR(MAX(0,$G327-SUMIFS($G$2:$G$349,$A$2:$A$349,$A327,$C$2:$C$349,$C327,$B$2:$B$349,_xludf.MINIFS($B$2:$B$349,$A$2:$A$349,$A327,$C$2:$C$349,$C327))),0)</f>
        <v>11758.804321289062</v>
      </c>
    </row>
    <row r="328" spans="1:12" x14ac:dyDescent="0.2">
      <c r="A328" t="s">
        <v>182</v>
      </c>
      <c r="B328">
        <v>1767074038</v>
      </c>
      <c r="C328" t="s">
        <v>17</v>
      </c>
      <c r="D328" t="s">
        <v>210</v>
      </c>
      <c r="E328" s="3">
        <f t="shared" si="41"/>
        <v>298.50006103515625</v>
      </c>
      <c r="F328" s="3">
        <f t="shared" si="42"/>
        <v>437.73651123046875</v>
      </c>
      <c r="G328" s="3">
        <f t="shared" si="43"/>
        <v>736.236572265625</v>
      </c>
      <c r="H328" s="4">
        <f t="shared" si="44"/>
        <v>80</v>
      </c>
      <c r="I328" s="3">
        <f t="shared" si="40"/>
        <v>0</v>
      </c>
      <c r="J328" s="3">
        <f t="shared" si="39"/>
        <v>0</v>
      </c>
      <c r="K328" s="3">
        <f t="shared" si="45"/>
        <v>0</v>
      </c>
      <c r="L328" s="3">
        <f ca="1">IFERROR(MAX(0,$G328-SUMIFS($G$2:$G$349,$A$2:$A$349,$A328,$C$2:$C$349,$C328,$B$2:$B$349,_xludf.MINIFS($B$2:$B$349,$A$2:$A$349,$A328,$C$2:$C$349,$C328))),0)</f>
        <v>736.236572265625</v>
      </c>
    </row>
    <row r="329" spans="1:12" x14ac:dyDescent="0.2">
      <c r="A329" t="s">
        <v>182</v>
      </c>
      <c r="B329">
        <v>1767074038</v>
      </c>
      <c r="C329" t="s">
        <v>19</v>
      </c>
      <c r="D329" t="s">
        <v>216</v>
      </c>
      <c r="E329" s="3">
        <f t="shared" si="41"/>
        <v>5683.89892578125</v>
      </c>
      <c r="F329" s="3">
        <f t="shared" si="42"/>
        <v>10967.254638671875</v>
      </c>
      <c r="G329" s="3">
        <f t="shared" si="43"/>
        <v>16651.153564453125</v>
      </c>
      <c r="H329" s="4">
        <f t="shared" si="44"/>
        <v>80</v>
      </c>
      <c r="I329" s="3">
        <f t="shared" si="40"/>
        <v>333.7860107421875</v>
      </c>
      <c r="J329" s="3">
        <f t="shared" si="39"/>
        <v>381.4697265625</v>
      </c>
      <c r="K329" s="3">
        <f t="shared" si="45"/>
        <v>715.2557373046875</v>
      </c>
      <c r="L329" s="3">
        <f ca="1">IFERROR(MAX(0,$G329-SUMIFS($G$2:$G$349,$A$2:$A$349,$A329,$C$2:$C$349,$C329,$B$2:$B$349,_xludf.MINIFS($B$2:$B$349,$A$2:$A$349,$A329,$C$2:$C$349,$C329))),0)</f>
        <v>16651.153564453125</v>
      </c>
    </row>
    <row r="330" spans="1:12" x14ac:dyDescent="0.2">
      <c r="A330" t="s">
        <v>182</v>
      </c>
      <c r="B330">
        <v>1767074046</v>
      </c>
      <c r="C330" t="s">
        <v>13</v>
      </c>
      <c r="D330" t="s">
        <v>217</v>
      </c>
      <c r="E330" s="3">
        <f t="shared" si="41"/>
        <v>1106.26220703125</v>
      </c>
      <c r="F330" s="3">
        <f t="shared" si="42"/>
        <v>352.8594970703125</v>
      </c>
      <c r="G330" s="3">
        <f t="shared" si="43"/>
        <v>1459.1217041015625</v>
      </c>
      <c r="H330" s="4">
        <f t="shared" si="44"/>
        <v>85</v>
      </c>
      <c r="I330" s="3">
        <f t="shared" si="40"/>
        <v>0</v>
      </c>
      <c r="J330" s="3">
        <f t="shared" si="39"/>
        <v>0.95367431640625</v>
      </c>
      <c r="K330" s="3">
        <f t="shared" si="45"/>
        <v>0.95367431640625</v>
      </c>
      <c r="L330" s="3">
        <f ca="1">IFERROR(MAX(0,$G330-SUMIFS($G$2:$G$349,$A$2:$A$349,$A330,$C$2:$C$349,$C330,$B$2:$B$349,_xludf.MINIFS($B$2:$B$349,$A$2:$A$349,$A330,$C$2:$C$349,$C330))),0)</f>
        <v>1459.1217041015625</v>
      </c>
    </row>
    <row r="331" spans="1:12" x14ac:dyDescent="0.2">
      <c r="A331" t="s">
        <v>182</v>
      </c>
      <c r="B331">
        <v>1767074046</v>
      </c>
      <c r="C331" t="s">
        <v>15</v>
      </c>
      <c r="D331" t="s">
        <v>218</v>
      </c>
      <c r="E331" s="3">
        <f t="shared" si="41"/>
        <v>5598.0682373046875</v>
      </c>
      <c r="F331" s="3">
        <f t="shared" si="42"/>
        <v>6170.2728271484375</v>
      </c>
      <c r="G331" s="3">
        <f t="shared" si="43"/>
        <v>11768.341064453125</v>
      </c>
      <c r="H331" s="4">
        <f t="shared" si="44"/>
        <v>85</v>
      </c>
      <c r="I331" s="3">
        <f t="shared" si="40"/>
        <v>0</v>
      </c>
      <c r="J331" s="3">
        <f t="shared" ref="J331:J349" si="46">IF($B331=_xlfn.MINIFS($B$2:$B$349,$A$2:$A$349,$A331,$C$2:$C$349,$C331),0,IFERROR(MAX(0,$F331-SUMIFS($F$2:$F$349,$A$2:$A$349,$A331,$C$2:$C$349,$C331,$B$2:$B$349,_xlfn.MAXIFS($B$2:$B$349,$A$2:$A$349,$A331,$C$2:$C$349,$C331,$B$2:$B$349,"&lt;"&amp;$B331))),0))</f>
        <v>9.5367431640625</v>
      </c>
      <c r="K331" s="3">
        <f t="shared" si="45"/>
        <v>9.5367431640625</v>
      </c>
      <c r="L331" s="3">
        <f ca="1">IFERROR(MAX(0,$G331-SUMIFS($G$2:$G$349,$A$2:$A$349,$A331,$C$2:$C$349,$C331,$B$2:$B$349,_xludf.MINIFS($B$2:$B$349,$A$2:$A$349,$A331,$C$2:$C$349,$C331))),0)</f>
        <v>11768.341064453125</v>
      </c>
    </row>
    <row r="332" spans="1:12" x14ac:dyDescent="0.2">
      <c r="A332" t="s">
        <v>182</v>
      </c>
      <c r="B332">
        <v>1767074046</v>
      </c>
      <c r="C332" t="s">
        <v>17</v>
      </c>
      <c r="D332" t="s">
        <v>219</v>
      </c>
      <c r="E332" s="3">
        <f t="shared" si="41"/>
        <v>308.990478515625</v>
      </c>
      <c r="F332" s="3">
        <f t="shared" si="42"/>
        <v>437.73651123046875</v>
      </c>
      <c r="G332" s="3">
        <f t="shared" si="43"/>
        <v>746.72698974609375</v>
      </c>
      <c r="H332" s="4">
        <f t="shared" si="44"/>
        <v>85</v>
      </c>
      <c r="I332" s="3">
        <f t="shared" si="40"/>
        <v>10.49041748046875</v>
      </c>
      <c r="J332" s="3">
        <f t="shared" si="46"/>
        <v>0</v>
      </c>
      <c r="K332" s="3">
        <f t="shared" si="45"/>
        <v>10.49041748046875</v>
      </c>
      <c r="L332" s="3">
        <f ca="1">IFERROR(MAX(0,$G332-SUMIFS($G$2:$G$349,$A$2:$A$349,$A332,$C$2:$C$349,$C332,$B$2:$B$349,_xludf.MINIFS($B$2:$B$349,$A$2:$A$349,$A332,$C$2:$C$349,$C332))),0)</f>
        <v>746.72698974609375</v>
      </c>
    </row>
    <row r="333" spans="1:12" x14ac:dyDescent="0.2">
      <c r="A333" t="s">
        <v>182</v>
      </c>
      <c r="B333">
        <v>1767074046</v>
      </c>
      <c r="C333" t="s">
        <v>19</v>
      </c>
      <c r="D333" t="s">
        <v>220</v>
      </c>
      <c r="E333" s="3">
        <f t="shared" si="41"/>
        <v>5788.8031005859375</v>
      </c>
      <c r="F333" s="3">
        <f t="shared" si="42"/>
        <v>10967.254638671875</v>
      </c>
      <c r="G333" s="3">
        <f t="shared" si="43"/>
        <v>16756.057739257812</v>
      </c>
      <c r="H333" s="4">
        <f t="shared" si="44"/>
        <v>85</v>
      </c>
      <c r="I333" s="3">
        <f t="shared" si="40"/>
        <v>104.9041748046875</v>
      </c>
      <c r="J333" s="3">
        <f t="shared" si="46"/>
        <v>0</v>
      </c>
      <c r="K333" s="3">
        <f t="shared" si="45"/>
        <v>104.9041748046875</v>
      </c>
      <c r="L333" s="3">
        <f ca="1">IFERROR(MAX(0,$G333-SUMIFS($G$2:$G$349,$A$2:$A$349,$A333,$C$2:$C$349,$C333,$B$2:$B$349,_xludf.MINIFS($B$2:$B$349,$A$2:$A$349,$A333,$C$2:$C$349,$C333))),0)</f>
        <v>16756.057739257812</v>
      </c>
    </row>
    <row r="334" spans="1:12" x14ac:dyDescent="0.2">
      <c r="A334" t="s">
        <v>182</v>
      </c>
      <c r="B334">
        <v>1767074054</v>
      </c>
      <c r="C334" t="s">
        <v>13</v>
      </c>
      <c r="D334" t="s">
        <v>217</v>
      </c>
      <c r="E334" s="3">
        <f t="shared" si="41"/>
        <v>1106.26220703125</v>
      </c>
      <c r="F334" s="3">
        <f t="shared" si="42"/>
        <v>352.8594970703125</v>
      </c>
      <c r="G334" s="3">
        <f t="shared" si="43"/>
        <v>1459.1217041015625</v>
      </c>
      <c r="H334" s="4">
        <f t="shared" si="44"/>
        <v>90</v>
      </c>
      <c r="I334" s="3">
        <f t="shared" si="40"/>
        <v>0</v>
      </c>
      <c r="J334" s="3">
        <f t="shared" si="46"/>
        <v>0</v>
      </c>
      <c r="K334" s="3">
        <f t="shared" si="45"/>
        <v>0</v>
      </c>
      <c r="L334" s="3">
        <f ca="1">IFERROR(MAX(0,$G334-SUMIFS($G$2:$G$349,$A$2:$A$349,$A334,$C$2:$C$349,$C334,$B$2:$B$349,_xludf.MINIFS($B$2:$B$349,$A$2:$A$349,$A334,$C$2:$C$349,$C334))),0)</f>
        <v>1459.1217041015625</v>
      </c>
    </row>
    <row r="335" spans="1:12" x14ac:dyDescent="0.2">
      <c r="A335" t="s">
        <v>182</v>
      </c>
      <c r="B335">
        <v>1767074054</v>
      </c>
      <c r="C335" t="s">
        <v>15</v>
      </c>
      <c r="D335" t="s">
        <v>221</v>
      </c>
      <c r="E335" s="3">
        <f t="shared" si="41"/>
        <v>5607.60498046875</v>
      </c>
      <c r="F335" s="3">
        <f t="shared" si="42"/>
        <v>6170.2728271484375</v>
      </c>
      <c r="G335" s="3">
        <f t="shared" si="43"/>
        <v>11777.877807617188</v>
      </c>
      <c r="H335" s="4">
        <f t="shared" si="44"/>
        <v>90</v>
      </c>
      <c r="I335" s="3">
        <f t="shared" si="40"/>
        <v>9.5367431640625</v>
      </c>
      <c r="J335" s="3">
        <f t="shared" si="46"/>
        <v>0</v>
      </c>
      <c r="K335" s="3">
        <f t="shared" si="45"/>
        <v>9.5367431640625</v>
      </c>
      <c r="L335" s="3">
        <f ca="1">IFERROR(MAX(0,$G335-SUMIFS($G$2:$G$349,$A$2:$A$349,$A335,$C$2:$C$349,$C335,$B$2:$B$349,_xludf.MINIFS($B$2:$B$349,$A$2:$A$349,$A335,$C$2:$C$349,$C335))),0)</f>
        <v>11777.877807617188</v>
      </c>
    </row>
    <row r="336" spans="1:12" x14ac:dyDescent="0.2">
      <c r="A336" t="s">
        <v>182</v>
      </c>
      <c r="B336">
        <v>1767074054</v>
      </c>
      <c r="C336" t="s">
        <v>17</v>
      </c>
      <c r="D336" t="s">
        <v>222</v>
      </c>
      <c r="E336" s="3">
        <f t="shared" si="41"/>
        <v>309.94415283203125</v>
      </c>
      <c r="F336" s="3">
        <f t="shared" si="42"/>
        <v>437.73651123046875</v>
      </c>
      <c r="G336" s="3">
        <f t="shared" si="43"/>
        <v>747.6806640625</v>
      </c>
      <c r="H336" s="4">
        <f t="shared" si="44"/>
        <v>90</v>
      </c>
      <c r="I336" s="3">
        <f t="shared" si="40"/>
        <v>0.95367431640625</v>
      </c>
      <c r="J336" s="3">
        <f t="shared" si="46"/>
        <v>0</v>
      </c>
      <c r="K336" s="3">
        <f t="shared" si="45"/>
        <v>0.95367431640625</v>
      </c>
      <c r="L336" s="3">
        <f ca="1">IFERROR(MAX(0,$G336-SUMIFS($G$2:$G$349,$A$2:$A$349,$A336,$C$2:$C$349,$C336,$B$2:$B$349,_xludf.MINIFS($B$2:$B$349,$A$2:$A$349,$A336,$C$2:$C$349,$C336))),0)</f>
        <v>747.6806640625</v>
      </c>
    </row>
    <row r="337" spans="1:12" x14ac:dyDescent="0.2">
      <c r="A337" t="s">
        <v>182</v>
      </c>
      <c r="B337">
        <v>1767074054</v>
      </c>
      <c r="C337" t="s">
        <v>19</v>
      </c>
      <c r="D337" t="s">
        <v>223</v>
      </c>
      <c r="E337" s="3">
        <f t="shared" si="41"/>
        <v>5826.9500732421875</v>
      </c>
      <c r="F337" s="3">
        <f t="shared" si="42"/>
        <v>10967.254638671875</v>
      </c>
      <c r="G337" s="3">
        <f t="shared" si="43"/>
        <v>16794.204711914062</v>
      </c>
      <c r="H337" s="4">
        <f t="shared" si="44"/>
        <v>90</v>
      </c>
      <c r="I337" s="3">
        <f t="shared" si="40"/>
        <v>38.14697265625</v>
      </c>
      <c r="J337" s="3">
        <f t="shared" si="46"/>
        <v>0</v>
      </c>
      <c r="K337" s="3">
        <f t="shared" si="45"/>
        <v>38.14697265625</v>
      </c>
      <c r="L337" s="3">
        <f ca="1">IFERROR(MAX(0,$G337-SUMIFS($G$2:$G$349,$A$2:$A$349,$A337,$C$2:$C$349,$C337,$B$2:$B$349,_xludf.MINIFS($B$2:$B$349,$A$2:$A$349,$A337,$C$2:$C$349,$C337))),0)</f>
        <v>16794.204711914062</v>
      </c>
    </row>
    <row r="338" spans="1:12" x14ac:dyDescent="0.2">
      <c r="A338" t="s">
        <v>182</v>
      </c>
      <c r="B338">
        <v>1767074061</v>
      </c>
      <c r="C338" t="s">
        <v>13</v>
      </c>
      <c r="D338" t="s">
        <v>217</v>
      </c>
      <c r="E338" s="3">
        <f t="shared" si="41"/>
        <v>1106.26220703125</v>
      </c>
      <c r="F338" s="3">
        <f t="shared" si="42"/>
        <v>352.8594970703125</v>
      </c>
      <c r="G338" s="3">
        <f t="shared" si="43"/>
        <v>1459.1217041015625</v>
      </c>
      <c r="H338" s="4">
        <f t="shared" si="44"/>
        <v>95</v>
      </c>
      <c r="I338" s="3">
        <f t="shared" si="40"/>
        <v>0</v>
      </c>
      <c r="J338" s="3">
        <f t="shared" si="46"/>
        <v>0</v>
      </c>
      <c r="K338" s="3">
        <f t="shared" si="45"/>
        <v>0</v>
      </c>
      <c r="L338" s="3">
        <f ca="1">IFERROR(MAX(0,$G338-SUMIFS($G$2:$G$349,$A$2:$A$349,$A338,$C$2:$C$349,$C338,$B$2:$B$349,_xludf.MINIFS($B$2:$B$349,$A$2:$A$349,$A338,$C$2:$C$349,$C338))),0)</f>
        <v>1459.1217041015625</v>
      </c>
    </row>
    <row r="339" spans="1:12" x14ac:dyDescent="0.2">
      <c r="A339" t="s">
        <v>182</v>
      </c>
      <c r="B339">
        <v>1767074061</v>
      </c>
      <c r="C339" t="s">
        <v>15</v>
      </c>
      <c r="D339" t="s">
        <v>221</v>
      </c>
      <c r="E339" s="3">
        <f t="shared" si="41"/>
        <v>5607.60498046875</v>
      </c>
      <c r="F339" s="3">
        <f t="shared" si="42"/>
        <v>6170.2728271484375</v>
      </c>
      <c r="G339" s="3">
        <f t="shared" si="43"/>
        <v>11777.877807617188</v>
      </c>
      <c r="H339" s="4">
        <f t="shared" si="44"/>
        <v>95</v>
      </c>
      <c r="I339" s="3">
        <f t="shared" si="40"/>
        <v>0</v>
      </c>
      <c r="J339" s="3">
        <f t="shared" si="46"/>
        <v>0</v>
      </c>
      <c r="K339" s="3">
        <f t="shared" si="45"/>
        <v>0</v>
      </c>
      <c r="L339" s="3">
        <f ca="1">IFERROR(MAX(0,$G339-SUMIFS($G$2:$G$349,$A$2:$A$349,$A339,$C$2:$C$349,$C339,$B$2:$B$349,_xludf.MINIFS($B$2:$B$349,$A$2:$A$349,$A339,$C$2:$C$349,$C339))),0)</f>
        <v>11777.877807617188</v>
      </c>
    </row>
    <row r="340" spans="1:12" x14ac:dyDescent="0.2">
      <c r="A340" t="s">
        <v>182</v>
      </c>
      <c r="B340">
        <v>1767074061</v>
      </c>
      <c r="C340" t="s">
        <v>17</v>
      </c>
      <c r="D340" t="s">
        <v>224</v>
      </c>
      <c r="E340" s="3">
        <f t="shared" si="41"/>
        <v>310.8978271484375</v>
      </c>
      <c r="F340" s="3">
        <f t="shared" si="42"/>
        <v>437.73651123046875</v>
      </c>
      <c r="G340" s="3">
        <f t="shared" si="43"/>
        <v>748.63433837890625</v>
      </c>
      <c r="H340" s="4">
        <f t="shared" si="44"/>
        <v>95</v>
      </c>
      <c r="I340" s="3">
        <f t="shared" si="40"/>
        <v>0.95367431640625</v>
      </c>
      <c r="J340" s="3">
        <f t="shared" si="46"/>
        <v>0</v>
      </c>
      <c r="K340" s="3">
        <f t="shared" si="45"/>
        <v>0.95367431640625</v>
      </c>
      <c r="L340" s="3">
        <f ca="1">IFERROR(MAX(0,$G340-SUMIFS($G$2:$G$349,$A$2:$A$349,$A340,$C$2:$C$349,$C340,$B$2:$B$349,_xludf.MINIFS($B$2:$B$349,$A$2:$A$349,$A340,$C$2:$C$349,$C340))),0)</f>
        <v>748.63433837890625</v>
      </c>
    </row>
    <row r="341" spans="1:12" x14ac:dyDescent="0.2">
      <c r="A341" t="s">
        <v>182</v>
      </c>
      <c r="B341">
        <v>1767074061</v>
      </c>
      <c r="C341" t="s">
        <v>19</v>
      </c>
      <c r="D341" t="s">
        <v>225</v>
      </c>
      <c r="E341" s="3">
        <f t="shared" si="41"/>
        <v>5846.0235595703125</v>
      </c>
      <c r="F341" s="3">
        <f t="shared" si="42"/>
        <v>10967.254638671875</v>
      </c>
      <c r="G341" s="3">
        <f t="shared" si="43"/>
        <v>16813.278198242188</v>
      </c>
      <c r="H341" s="4">
        <f t="shared" si="44"/>
        <v>95</v>
      </c>
      <c r="I341" s="3">
        <f t="shared" si="40"/>
        <v>19.073486328125</v>
      </c>
      <c r="J341" s="3">
        <f t="shared" si="46"/>
        <v>0</v>
      </c>
      <c r="K341" s="3">
        <f t="shared" si="45"/>
        <v>19.073486328125</v>
      </c>
      <c r="L341" s="3">
        <f ca="1">IFERROR(MAX(0,$G341-SUMIFS($G$2:$G$349,$A$2:$A$349,$A341,$C$2:$C$349,$C341,$B$2:$B$349,_xludf.MINIFS($B$2:$B$349,$A$2:$A$349,$A341,$C$2:$C$349,$C341))),0)</f>
        <v>16813.278198242188</v>
      </c>
    </row>
    <row r="342" spans="1:12" x14ac:dyDescent="0.2">
      <c r="A342" t="s">
        <v>182</v>
      </c>
      <c r="B342">
        <v>1767074069</v>
      </c>
      <c r="C342" t="s">
        <v>13</v>
      </c>
      <c r="D342" t="s">
        <v>217</v>
      </c>
      <c r="E342" s="3">
        <f t="shared" si="41"/>
        <v>1106.26220703125</v>
      </c>
      <c r="F342" s="3">
        <f t="shared" si="42"/>
        <v>352.8594970703125</v>
      </c>
      <c r="G342" s="3">
        <f t="shared" si="43"/>
        <v>1459.1217041015625</v>
      </c>
      <c r="H342" s="4">
        <f t="shared" si="44"/>
        <v>100</v>
      </c>
      <c r="I342" s="3">
        <f t="shared" si="40"/>
        <v>0</v>
      </c>
      <c r="J342" s="3">
        <f t="shared" si="46"/>
        <v>0</v>
      </c>
      <c r="K342" s="3">
        <f t="shared" si="45"/>
        <v>0</v>
      </c>
      <c r="L342" s="3">
        <f ca="1">IFERROR(MAX(0,$G342-SUMIFS($G$2:$G$349,$A$2:$A$349,$A342,$C$2:$C$349,$C342,$B$2:$B$349,_xludf.MINIFS($B$2:$B$349,$A$2:$A$349,$A342,$C$2:$C$349,$C342))),0)</f>
        <v>1459.1217041015625</v>
      </c>
    </row>
    <row r="343" spans="1:12" x14ac:dyDescent="0.2">
      <c r="A343" t="s">
        <v>182</v>
      </c>
      <c r="B343">
        <v>1767074069</v>
      </c>
      <c r="C343" t="s">
        <v>15</v>
      </c>
      <c r="D343" t="s">
        <v>221</v>
      </c>
      <c r="E343" s="3">
        <f t="shared" si="41"/>
        <v>5607.60498046875</v>
      </c>
      <c r="F343" s="3">
        <f t="shared" si="42"/>
        <v>6170.2728271484375</v>
      </c>
      <c r="G343" s="3">
        <f t="shared" si="43"/>
        <v>11777.877807617188</v>
      </c>
      <c r="H343" s="4">
        <f t="shared" si="44"/>
        <v>100</v>
      </c>
      <c r="I343" s="3">
        <f t="shared" si="40"/>
        <v>0</v>
      </c>
      <c r="J343" s="3">
        <f t="shared" si="46"/>
        <v>0</v>
      </c>
      <c r="K343" s="3">
        <f t="shared" si="45"/>
        <v>0</v>
      </c>
      <c r="L343" s="3">
        <f ca="1">IFERROR(MAX(0,$G343-SUMIFS($G$2:$G$349,$A$2:$A$349,$A343,$C$2:$C$349,$C343,$B$2:$B$349,_xludf.MINIFS($B$2:$B$349,$A$2:$A$349,$A343,$C$2:$C$349,$C343))),0)</f>
        <v>11777.877807617188</v>
      </c>
    </row>
    <row r="344" spans="1:12" x14ac:dyDescent="0.2">
      <c r="A344" t="s">
        <v>182</v>
      </c>
      <c r="B344">
        <v>1767074069</v>
      </c>
      <c r="C344" t="s">
        <v>17</v>
      </c>
      <c r="D344" t="s">
        <v>226</v>
      </c>
      <c r="E344" s="3">
        <f t="shared" si="41"/>
        <v>312.80517578125</v>
      </c>
      <c r="F344" s="3">
        <f t="shared" si="42"/>
        <v>437.73651123046875</v>
      </c>
      <c r="G344" s="3">
        <f t="shared" si="43"/>
        <v>750.54168701171875</v>
      </c>
      <c r="H344" s="4">
        <f t="shared" si="44"/>
        <v>100</v>
      </c>
      <c r="I344" s="3">
        <f t="shared" si="40"/>
        <v>1.9073486328125</v>
      </c>
      <c r="J344" s="3">
        <f t="shared" si="46"/>
        <v>0</v>
      </c>
      <c r="K344" s="3">
        <f t="shared" si="45"/>
        <v>1.9073486328125</v>
      </c>
      <c r="L344" s="3">
        <f ca="1">IFERROR(MAX(0,$G344-SUMIFS($G$2:$G$349,$A$2:$A$349,$A344,$C$2:$C$349,$C344,$B$2:$B$349,_xludf.MINIFS($B$2:$B$349,$A$2:$A$349,$A344,$C$2:$C$349,$C344))),0)</f>
        <v>750.54168701171875</v>
      </c>
    </row>
    <row r="345" spans="1:12" x14ac:dyDescent="0.2">
      <c r="A345" t="s">
        <v>182</v>
      </c>
      <c r="B345">
        <v>1767074069</v>
      </c>
      <c r="C345" t="s">
        <v>19</v>
      </c>
      <c r="D345" t="s">
        <v>227</v>
      </c>
      <c r="E345" s="3">
        <f t="shared" si="41"/>
        <v>5855.560302734375</v>
      </c>
      <c r="F345" s="3">
        <f t="shared" si="42"/>
        <v>10967.254638671875</v>
      </c>
      <c r="G345" s="3">
        <f t="shared" si="43"/>
        <v>16822.81494140625</v>
      </c>
      <c r="H345" s="4">
        <f t="shared" si="44"/>
        <v>100</v>
      </c>
      <c r="I345" s="3">
        <f t="shared" si="40"/>
        <v>9.5367431640625</v>
      </c>
      <c r="J345" s="3">
        <f t="shared" si="46"/>
        <v>0</v>
      </c>
      <c r="K345" s="3">
        <f t="shared" si="45"/>
        <v>9.5367431640625</v>
      </c>
      <c r="L345" s="3">
        <f ca="1">IFERROR(MAX(0,$G345-SUMIFS($G$2:$G$349,$A$2:$A$349,$A345,$C$2:$C$349,$C345,$B$2:$B$349,_xludf.MINIFS($B$2:$B$349,$A$2:$A$349,$A345,$C$2:$C$349,$C345))),0)</f>
        <v>16822.81494140625</v>
      </c>
    </row>
    <row r="346" spans="1:12" x14ac:dyDescent="0.2">
      <c r="A346" t="s">
        <v>182</v>
      </c>
      <c r="B346">
        <v>1767074076</v>
      </c>
      <c r="C346" t="s">
        <v>13</v>
      </c>
      <c r="D346" t="s">
        <v>217</v>
      </c>
      <c r="E346" s="3">
        <f t="shared" si="41"/>
        <v>1106.26220703125</v>
      </c>
      <c r="F346" s="3">
        <f t="shared" si="42"/>
        <v>352.8594970703125</v>
      </c>
      <c r="G346" s="3">
        <f t="shared" si="43"/>
        <v>1459.1217041015625</v>
      </c>
      <c r="H346" s="4">
        <f t="shared" si="44"/>
        <v>105</v>
      </c>
      <c r="I346" s="3">
        <f t="shared" si="40"/>
        <v>0</v>
      </c>
      <c r="J346" s="3">
        <f t="shared" si="46"/>
        <v>0</v>
      </c>
      <c r="K346" s="3">
        <f t="shared" si="45"/>
        <v>0</v>
      </c>
      <c r="L346" s="3">
        <f ca="1">IFERROR(MAX(0,$G346-SUMIFS($G$2:$G$349,$A$2:$A$349,$A346,$C$2:$C$349,$C346,$B$2:$B$349,_xludf.MINIFS($B$2:$B$349,$A$2:$A$349,$A346,$C$2:$C$349,$C346))),0)</f>
        <v>1459.1217041015625</v>
      </c>
    </row>
    <row r="347" spans="1:12" x14ac:dyDescent="0.2">
      <c r="A347" t="s">
        <v>182</v>
      </c>
      <c r="B347">
        <v>1767074076</v>
      </c>
      <c r="C347" t="s">
        <v>15</v>
      </c>
      <c r="D347" t="s">
        <v>228</v>
      </c>
      <c r="E347" s="3">
        <f t="shared" si="41"/>
        <v>5607.60498046875</v>
      </c>
      <c r="F347" s="3">
        <f t="shared" si="42"/>
        <v>6179.8095703125</v>
      </c>
      <c r="G347" s="3">
        <f t="shared" si="43"/>
        <v>11787.41455078125</v>
      </c>
      <c r="H347" s="4">
        <f t="shared" si="44"/>
        <v>105</v>
      </c>
      <c r="I347" s="3">
        <f t="shared" si="40"/>
        <v>0</v>
      </c>
      <c r="J347" s="3">
        <f t="shared" si="46"/>
        <v>9.5367431640625</v>
      </c>
      <c r="K347" s="3">
        <f t="shared" si="45"/>
        <v>9.5367431640625</v>
      </c>
      <c r="L347" s="3">
        <f ca="1">IFERROR(MAX(0,$G347-SUMIFS($G$2:$G$349,$A$2:$A$349,$A347,$C$2:$C$349,$C347,$B$2:$B$349,_xludf.MINIFS($B$2:$B$349,$A$2:$A$349,$A347,$C$2:$C$349,$C347))),0)</f>
        <v>11787.41455078125</v>
      </c>
    </row>
    <row r="348" spans="1:12" x14ac:dyDescent="0.2">
      <c r="A348" t="s">
        <v>182</v>
      </c>
      <c r="B348">
        <v>1767074076</v>
      </c>
      <c r="C348" t="s">
        <v>17</v>
      </c>
      <c r="D348" t="s">
        <v>226</v>
      </c>
      <c r="E348" s="3">
        <f t="shared" si="41"/>
        <v>312.80517578125</v>
      </c>
      <c r="F348" s="3">
        <f t="shared" si="42"/>
        <v>437.73651123046875</v>
      </c>
      <c r="G348" s="3">
        <f t="shared" si="43"/>
        <v>750.54168701171875</v>
      </c>
      <c r="H348" s="4">
        <f t="shared" si="44"/>
        <v>105</v>
      </c>
      <c r="I348" s="3">
        <f t="shared" si="40"/>
        <v>0</v>
      </c>
      <c r="J348" s="3">
        <f t="shared" si="46"/>
        <v>0</v>
      </c>
      <c r="K348" s="3">
        <f t="shared" si="45"/>
        <v>0</v>
      </c>
      <c r="L348" s="3">
        <f ca="1">IFERROR(MAX(0,$G348-SUMIFS($G$2:$G$349,$A$2:$A$349,$A348,$C$2:$C$349,$C348,$B$2:$B$349,_xludf.MINIFS($B$2:$B$349,$A$2:$A$349,$A348,$C$2:$C$349,$C348))),0)</f>
        <v>750.54168701171875</v>
      </c>
    </row>
    <row r="349" spans="1:12" x14ac:dyDescent="0.2">
      <c r="A349" t="s">
        <v>182</v>
      </c>
      <c r="B349">
        <v>1767074076</v>
      </c>
      <c r="C349" t="s">
        <v>19</v>
      </c>
      <c r="D349" t="s">
        <v>227</v>
      </c>
      <c r="E349" s="3">
        <f t="shared" si="41"/>
        <v>5855.560302734375</v>
      </c>
      <c r="F349" s="3">
        <f t="shared" si="42"/>
        <v>10967.254638671875</v>
      </c>
      <c r="G349" s="3">
        <f t="shared" si="43"/>
        <v>16822.81494140625</v>
      </c>
      <c r="H349" s="4">
        <f t="shared" si="44"/>
        <v>105</v>
      </c>
      <c r="I349" s="3">
        <f t="shared" si="40"/>
        <v>0</v>
      </c>
      <c r="J349" s="3">
        <f t="shared" si="46"/>
        <v>0</v>
      </c>
      <c r="K349" s="3">
        <f t="shared" si="45"/>
        <v>0</v>
      </c>
      <c r="L349" s="3">
        <f ca="1">IFERROR(MAX(0,$G349-SUMIFS($G$2:$G$349,$A$2:$A$349,$A349,$C$2:$C$349,$C349,$B$2:$B$349,_xludf.MINIFS($B$2:$B$349,$A$2:$A$349,$A349,$C$2:$C$349,$C349))),0)</f>
        <v>16822.81494140625</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E8E0-944C-5042-9A7F-AB93D7B0BB2D}">
  <dimension ref="A3:F46"/>
  <sheetViews>
    <sheetView workbookViewId="0">
      <selection activeCell="A3" sqref="A3"/>
    </sheetView>
  </sheetViews>
  <sheetFormatPr baseColWidth="10" defaultRowHeight="16" x14ac:dyDescent="0.2"/>
  <cols>
    <col min="1" max="1" width="19.1640625" bestFit="1" customWidth="1"/>
    <col min="2" max="2" width="15.5" bestFit="1" customWidth="1"/>
    <col min="3" max="3" width="10.6640625" bestFit="1" customWidth="1"/>
    <col min="4" max="4" width="14.6640625" bestFit="1" customWidth="1"/>
    <col min="5" max="5" width="20.6640625" bestFit="1" customWidth="1"/>
  </cols>
  <sheetData>
    <row r="3" spans="1:6" x14ac:dyDescent="0.2">
      <c r="A3" s="5" t="s">
        <v>232</v>
      </c>
      <c r="B3" s="5" t="s">
        <v>229</v>
      </c>
    </row>
    <row r="4" spans="1:6" x14ac:dyDescent="0.2">
      <c r="A4" s="5" t="s">
        <v>231</v>
      </c>
      <c r="B4" t="s">
        <v>33</v>
      </c>
      <c r="C4" t="s">
        <v>12</v>
      </c>
      <c r="D4" t="s">
        <v>82</v>
      </c>
      <c r="E4" t="s">
        <v>182</v>
      </c>
      <c r="F4" t="s">
        <v>230</v>
      </c>
    </row>
    <row r="5" spans="1:6" x14ac:dyDescent="0.2">
      <c r="A5" s="6">
        <v>0</v>
      </c>
      <c r="B5" s="7">
        <v>18526.077270507812</v>
      </c>
      <c r="C5" s="7">
        <v>18213.272094726562</v>
      </c>
      <c r="D5" s="7">
        <v>21406.173706054688</v>
      </c>
      <c r="E5" s="7">
        <v>28216.361999511719</v>
      </c>
      <c r="F5" s="7">
        <v>86361.885070800781</v>
      </c>
    </row>
    <row r="6" spans="1:6" x14ac:dyDescent="0.2">
      <c r="A6" s="6">
        <v>5</v>
      </c>
      <c r="B6" s="7">
        <v>18535.614013671875</v>
      </c>
      <c r="C6" s="7">
        <v>18220.901489257812</v>
      </c>
      <c r="D6" s="7">
        <v>21437.644958496094</v>
      </c>
      <c r="E6" s="7">
        <v>28219.223022460938</v>
      </c>
      <c r="F6" s="7">
        <v>86413.383483886719</v>
      </c>
    </row>
    <row r="7" spans="1:6" x14ac:dyDescent="0.2">
      <c r="A7" s="6">
        <v>10</v>
      </c>
      <c r="B7" s="7">
        <v>18537.521362304688</v>
      </c>
      <c r="C7" s="7">
        <v>18232.345581054688</v>
      </c>
      <c r="D7" s="7">
        <v>21515.846252441406</v>
      </c>
      <c r="E7" s="7">
        <v>28358.45947265625</v>
      </c>
      <c r="F7" s="7">
        <v>86644.172668457031</v>
      </c>
    </row>
    <row r="8" spans="1:6" x14ac:dyDescent="0.2">
      <c r="A8" s="6">
        <v>15</v>
      </c>
      <c r="B8" s="7">
        <v>18651.962280273438</v>
      </c>
      <c r="C8" s="7">
        <v>18233.299255371094</v>
      </c>
      <c r="D8" s="7">
        <v>21583.55712890625</v>
      </c>
      <c r="E8" s="7">
        <v>28415.679931640625</v>
      </c>
      <c r="F8" s="7">
        <v>86884.498596191406</v>
      </c>
    </row>
    <row r="9" spans="1:6" x14ac:dyDescent="0.2">
      <c r="A9" s="6">
        <v>20</v>
      </c>
      <c r="B9" s="7">
        <v>18761.634826660156</v>
      </c>
      <c r="C9" s="7">
        <v>18245.697021484375</v>
      </c>
      <c r="D9" s="7">
        <v>21683.692932128906</v>
      </c>
      <c r="E9" s="7">
        <v>28463.363647460938</v>
      </c>
      <c r="F9" s="7">
        <v>87154.388427734375</v>
      </c>
    </row>
    <row r="10" spans="1:6" x14ac:dyDescent="0.2">
      <c r="A10" s="6">
        <v>25</v>
      </c>
      <c r="B10" s="7">
        <v>18863.677978515625</v>
      </c>
      <c r="C10" s="7">
        <v>18250.465393066406</v>
      </c>
      <c r="D10" s="7">
        <v>21903.99169921875</v>
      </c>
      <c r="E10" s="7">
        <v>28626.441955566406</v>
      </c>
      <c r="F10" s="7">
        <v>87644.577026367188</v>
      </c>
    </row>
    <row r="11" spans="1:6" x14ac:dyDescent="0.2">
      <c r="A11" s="6">
        <v>30</v>
      </c>
      <c r="B11" s="7">
        <v>19037.246704101562</v>
      </c>
      <c r="C11" s="7">
        <v>18252.372741699219</v>
      </c>
      <c r="D11" s="7">
        <v>21990.776062011719</v>
      </c>
      <c r="E11" s="7">
        <v>28800.010681152344</v>
      </c>
      <c r="F11" s="7">
        <v>88080.406188964844</v>
      </c>
    </row>
    <row r="12" spans="1:6" x14ac:dyDescent="0.2">
      <c r="A12" s="6">
        <v>35</v>
      </c>
      <c r="B12" s="7">
        <v>19104.957580566406</v>
      </c>
      <c r="C12" s="7">
        <v>18252.372741699219</v>
      </c>
      <c r="D12" s="7">
        <v>22086.143493652344</v>
      </c>
      <c r="E12" s="7">
        <v>29000.282287597656</v>
      </c>
      <c r="F12" s="7">
        <v>88443.756103515625</v>
      </c>
    </row>
    <row r="13" spans="1:6" x14ac:dyDescent="0.2">
      <c r="A13" s="6">
        <v>40</v>
      </c>
      <c r="B13" s="7">
        <v>19267.082214355469</v>
      </c>
      <c r="C13" s="7"/>
      <c r="D13" s="7">
        <v>22171.974182128906</v>
      </c>
      <c r="E13" s="7">
        <v>29047.966003417969</v>
      </c>
      <c r="F13" s="7">
        <v>70487.022399902344</v>
      </c>
    </row>
    <row r="14" spans="1:6" x14ac:dyDescent="0.2">
      <c r="A14" s="6">
        <v>45</v>
      </c>
      <c r="B14" s="7">
        <v>19558.906555175781</v>
      </c>
      <c r="C14" s="7"/>
      <c r="D14" s="7">
        <v>22400.856018066406</v>
      </c>
      <c r="E14" s="7">
        <v>29086.112976074219</v>
      </c>
      <c r="F14" s="7">
        <v>71045.875549316406</v>
      </c>
    </row>
    <row r="15" spans="1:6" x14ac:dyDescent="0.2">
      <c r="A15" s="6">
        <v>50</v>
      </c>
      <c r="B15" s="7">
        <v>19905.09033203125</v>
      </c>
      <c r="C15" s="7"/>
      <c r="D15" s="7">
        <v>22449.493408203125</v>
      </c>
      <c r="E15" s="7">
        <v>29343.605041503906</v>
      </c>
      <c r="F15" s="7">
        <v>71698.188781738281</v>
      </c>
    </row>
    <row r="16" spans="1:6" x14ac:dyDescent="0.2">
      <c r="A16" s="6">
        <v>55</v>
      </c>
      <c r="B16" s="7">
        <v>19936.561584472656</v>
      </c>
      <c r="C16" s="7"/>
      <c r="D16" s="7">
        <v>22586.822509765625</v>
      </c>
      <c r="E16" s="7">
        <v>29419.898986816406</v>
      </c>
      <c r="F16" s="7">
        <v>71943.283081054688</v>
      </c>
    </row>
    <row r="17" spans="1:6" x14ac:dyDescent="0.2">
      <c r="A17" s="6">
        <v>60</v>
      </c>
      <c r="B17" s="7">
        <v>19967.079162597656</v>
      </c>
      <c r="C17" s="7"/>
      <c r="D17" s="7">
        <v>22653.579711914062</v>
      </c>
      <c r="E17" s="7">
        <v>29563.90380859375</v>
      </c>
      <c r="F17" s="7">
        <v>72184.562683105469</v>
      </c>
    </row>
    <row r="18" spans="1:6" x14ac:dyDescent="0.2">
      <c r="A18" s="6">
        <v>65</v>
      </c>
      <c r="B18" s="7">
        <v>19990.921020507812</v>
      </c>
      <c r="C18" s="7"/>
      <c r="D18" s="7">
        <v>22818.565368652344</v>
      </c>
      <c r="E18" s="7">
        <v>29687.881469726562</v>
      </c>
      <c r="F18" s="7">
        <v>72497.367858886719</v>
      </c>
    </row>
    <row r="19" spans="1:6" x14ac:dyDescent="0.2">
      <c r="A19" s="6">
        <v>70</v>
      </c>
      <c r="B19" s="7">
        <v>19991.874694824219</v>
      </c>
      <c r="C19" s="7"/>
      <c r="D19" s="7">
        <v>22913.932800292969</v>
      </c>
      <c r="E19" s="7">
        <v>29831.886291503906</v>
      </c>
      <c r="F19" s="7">
        <v>72737.693786621094</v>
      </c>
    </row>
    <row r="20" spans="1:6" x14ac:dyDescent="0.2">
      <c r="A20" s="6">
        <v>75</v>
      </c>
      <c r="B20" s="7">
        <v>20030.975341796875</v>
      </c>
      <c r="C20" s="7"/>
      <c r="D20" s="7">
        <v>23022.651672363281</v>
      </c>
      <c r="E20" s="7">
        <v>29870.033264160156</v>
      </c>
      <c r="F20" s="7">
        <v>72923.660278320312</v>
      </c>
    </row>
    <row r="21" spans="1:6" x14ac:dyDescent="0.2">
      <c r="A21" s="6">
        <v>80</v>
      </c>
      <c r="B21" s="7"/>
      <c r="C21" s="7"/>
      <c r="D21" s="7">
        <v>23128.509521484375</v>
      </c>
      <c r="E21" s="7">
        <v>30604.362487792969</v>
      </c>
      <c r="F21" s="7">
        <v>53732.872009277344</v>
      </c>
    </row>
    <row r="22" spans="1:6" x14ac:dyDescent="0.2">
      <c r="A22" s="6">
        <v>85</v>
      </c>
      <c r="B22" s="7"/>
      <c r="C22" s="7"/>
      <c r="D22" s="7">
        <v>23329.734802246094</v>
      </c>
      <c r="E22" s="7">
        <v>30730.247497558594</v>
      </c>
      <c r="F22" s="7">
        <v>54059.982299804688</v>
      </c>
    </row>
    <row r="23" spans="1:6" x14ac:dyDescent="0.2">
      <c r="A23" s="6">
        <v>90</v>
      </c>
      <c r="B23" s="7"/>
      <c r="C23" s="7"/>
      <c r="D23" s="7">
        <v>23386.955261230469</v>
      </c>
      <c r="E23" s="7">
        <v>30778.884887695312</v>
      </c>
      <c r="F23" s="7">
        <v>54165.840148925781</v>
      </c>
    </row>
    <row r="24" spans="1:6" x14ac:dyDescent="0.2">
      <c r="A24" s="6">
        <v>95</v>
      </c>
      <c r="B24" s="7"/>
      <c r="C24" s="7"/>
      <c r="D24" s="7">
        <v>23502.349853515625</v>
      </c>
      <c r="E24" s="7">
        <v>30798.912048339844</v>
      </c>
      <c r="F24" s="7">
        <v>54301.261901855469</v>
      </c>
    </row>
    <row r="25" spans="1:6" x14ac:dyDescent="0.2">
      <c r="A25" s="6">
        <v>100</v>
      </c>
      <c r="B25" s="7"/>
      <c r="C25" s="7"/>
      <c r="D25" s="7">
        <v>23683.547973632812</v>
      </c>
      <c r="E25" s="7">
        <v>30810.356140136719</v>
      </c>
      <c r="F25" s="7">
        <v>54493.904113769531</v>
      </c>
    </row>
    <row r="26" spans="1:6" x14ac:dyDescent="0.2">
      <c r="A26" s="6">
        <v>105</v>
      </c>
      <c r="B26" s="7"/>
      <c r="C26" s="7"/>
      <c r="D26" s="7">
        <v>23789.405822753906</v>
      </c>
      <c r="E26" s="7">
        <v>30819.892883300781</v>
      </c>
      <c r="F26" s="7">
        <v>54609.298706054688</v>
      </c>
    </row>
    <row r="27" spans="1:6" x14ac:dyDescent="0.2">
      <c r="A27" s="6">
        <v>110</v>
      </c>
      <c r="B27" s="7"/>
      <c r="C27" s="7"/>
      <c r="D27" s="7">
        <v>23856.163024902344</v>
      </c>
      <c r="E27" s="7"/>
      <c r="F27" s="7">
        <v>23856.163024902344</v>
      </c>
    </row>
    <row r="28" spans="1:6" x14ac:dyDescent="0.2">
      <c r="A28" s="6">
        <v>115</v>
      </c>
      <c r="B28" s="7"/>
      <c r="C28" s="7"/>
      <c r="D28" s="7">
        <v>24005.889892578125</v>
      </c>
      <c r="E28" s="7"/>
      <c r="F28" s="7">
        <v>24005.889892578125</v>
      </c>
    </row>
    <row r="29" spans="1:6" x14ac:dyDescent="0.2">
      <c r="A29" s="6">
        <v>120</v>
      </c>
      <c r="B29" s="7"/>
      <c r="C29" s="7"/>
      <c r="D29" s="7">
        <v>24130.821228027344</v>
      </c>
      <c r="E29" s="7"/>
      <c r="F29" s="7">
        <v>24130.821228027344</v>
      </c>
    </row>
    <row r="30" spans="1:6" x14ac:dyDescent="0.2">
      <c r="A30" s="6">
        <v>125</v>
      </c>
      <c r="B30" s="7"/>
      <c r="C30" s="7"/>
      <c r="D30" s="7">
        <v>24226.188659667969</v>
      </c>
      <c r="E30" s="7"/>
      <c r="F30" s="7">
        <v>24226.188659667969</v>
      </c>
    </row>
    <row r="31" spans="1:6" x14ac:dyDescent="0.2">
      <c r="A31" s="6">
        <v>130</v>
      </c>
      <c r="B31" s="7"/>
      <c r="C31" s="7"/>
      <c r="D31" s="7">
        <v>24341.583251953125</v>
      </c>
      <c r="E31" s="7"/>
      <c r="F31" s="7">
        <v>24341.583251953125</v>
      </c>
    </row>
    <row r="32" spans="1:6" x14ac:dyDescent="0.2">
      <c r="A32" s="6">
        <v>135</v>
      </c>
      <c r="B32" s="7"/>
      <c r="C32" s="7"/>
      <c r="D32" s="7">
        <v>24484.634399414062</v>
      </c>
      <c r="E32" s="7"/>
      <c r="F32" s="7">
        <v>24484.634399414062</v>
      </c>
    </row>
    <row r="33" spans="1:6" x14ac:dyDescent="0.2">
      <c r="A33" s="6">
        <v>140</v>
      </c>
      <c r="B33" s="7"/>
      <c r="C33" s="7"/>
      <c r="D33" s="7">
        <v>24609.565734863281</v>
      </c>
      <c r="E33" s="7"/>
      <c r="F33" s="7">
        <v>24609.565734863281</v>
      </c>
    </row>
    <row r="34" spans="1:6" x14ac:dyDescent="0.2">
      <c r="A34" s="6">
        <v>145</v>
      </c>
      <c r="B34" s="7"/>
      <c r="C34" s="7"/>
      <c r="D34" s="7">
        <v>24695.396423339844</v>
      </c>
      <c r="E34" s="7"/>
      <c r="F34" s="7">
        <v>24695.396423339844</v>
      </c>
    </row>
    <row r="35" spans="1:6" x14ac:dyDescent="0.2">
      <c r="A35" s="6">
        <v>150</v>
      </c>
      <c r="B35" s="7"/>
      <c r="C35" s="7"/>
      <c r="D35" s="7">
        <v>24906.158447265625</v>
      </c>
      <c r="E35" s="7"/>
      <c r="F35" s="7">
        <v>24906.158447265625</v>
      </c>
    </row>
    <row r="36" spans="1:6" x14ac:dyDescent="0.2">
      <c r="A36" s="6">
        <v>155</v>
      </c>
      <c r="B36" s="7"/>
      <c r="C36" s="7"/>
      <c r="D36" s="7">
        <v>25049.209594726562</v>
      </c>
      <c r="E36" s="7"/>
      <c r="F36" s="7">
        <v>25049.209594726562</v>
      </c>
    </row>
    <row r="37" spans="1:6" x14ac:dyDescent="0.2">
      <c r="A37" s="6">
        <v>160</v>
      </c>
      <c r="B37" s="7"/>
      <c r="C37" s="7"/>
      <c r="D37" s="7">
        <v>26870.7275390625</v>
      </c>
      <c r="E37" s="7"/>
      <c r="F37" s="7">
        <v>26870.7275390625</v>
      </c>
    </row>
    <row r="38" spans="1:6" x14ac:dyDescent="0.2">
      <c r="A38" s="6">
        <v>165</v>
      </c>
      <c r="B38" s="7"/>
      <c r="C38" s="7"/>
      <c r="D38" s="7">
        <v>27014.732360839844</v>
      </c>
      <c r="E38" s="7"/>
      <c r="F38" s="7">
        <v>27014.732360839844</v>
      </c>
    </row>
    <row r="39" spans="1:6" x14ac:dyDescent="0.2">
      <c r="A39" s="6">
        <v>170</v>
      </c>
      <c r="B39" s="7"/>
      <c r="C39" s="7"/>
      <c r="D39" s="7">
        <v>27281.761169433594</v>
      </c>
      <c r="E39" s="7"/>
      <c r="F39" s="7">
        <v>27281.761169433594</v>
      </c>
    </row>
    <row r="40" spans="1:6" x14ac:dyDescent="0.2">
      <c r="A40" s="6">
        <v>175</v>
      </c>
      <c r="B40" s="7"/>
      <c r="C40" s="7"/>
      <c r="D40" s="7">
        <v>27578.353881835938</v>
      </c>
      <c r="E40" s="7"/>
      <c r="F40" s="7">
        <v>27578.353881835938</v>
      </c>
    </row>
    <row r="41" spans="1:6" x14ac:dyDescent="0.2">
      <c r="A41" s="6">
        <v>180</v>
      </c>
      <c r="B41" s="7"/>
      <c r="C41" s="7"/>
      <c r="D41" s="7">
        <v>27712.821960449219</v>
      </c>
      <c r="E41" s="7"/>
      <c r="F41" s="7">
        <v>27712.821960449219</v>
      </c>
    </row>
    <row r="42" spans="1:6" x14ac:dyDescent="0.2">
      <c r="A42" s="6">
        <v>185</v>
      </c>
      <c r="B42" s="7"/>
      <c r="C42" s="7"/>
      <c r="D42" s="7">
        <v>27764.320373535156</v>
      </c>
      <c r="E42" s="7"/>
      <c r="F42" s="7">
        <v>27764.320373535156</v>
      </c>
    </row>
    <row r="43" spans="1:6" x14ac:dyDescent="0.2">
      <c r="A43" s="6">
        <v>190</v>
      </c>
      <c r="B43" s="7"/>
      <c r="C43" s="7"/>
      <c r="D43" s="7">
        <v>27784.347534179688</v>
      </c>
      <c r="E43" s="7"/>
      <c r="F43" s="7">
        <v>27784.347534179688</v>
      </c>
    </row>
    <row r="44" spans="1:6" x14ac:dyDescent="0.2">
      <c r="A44" s="6">
        <v>195</v>
      </c>
      <c r="B44" s="7"/>
      <c r="C44" s="7"/>
      <c r="D44" s="7">
        <v>27784.347534179688</v>
      </c>
      <c r="E44" s="7"/>
      <c r="F44" s="7">
        <v>27784.347534179688</v>
      </c>
    </row>
    <row r="45" spans="1:6" x14ac:dyDescent="0.2">
      <c r="A45" s="6">
        <v>200</v>
      </c>
      <c r="B45" s="7"/>
      <c r="C45" s="7"/>
      <c r="D45" s="7">
        <v>27803.421020507812</v>
      </c>
      <c r="E45" s="7"/>
      <c r="F45" s="7">
        <v>27803.421020507812</v>
      </c>
    </row>
    <row r="46" spans="1:6" x14ac:dyDescent="0.2">
      <c r="A46" s="6" t="s">
        <v>230</v>
      </c>
      <c r="B46" s="7">
        <v>308667.18292236328</v>
      </c>
      <c r="C46" s="7">
        <v>145900.72631835938</v>
      </c>
      <c r="D46" s="7">
        <v>987346.64916992188</v>
      </c>
      <c r="E46" s="7">
        <v>648493.76678466797</v>
      </c>
      <c r="F46" s="7">
        <v>2090408.3251953125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5CFDF-B3CD-A542-AF15-933D1D92D04A}">
  <dimension ref="A3:F46"/>
  <sheetViews>
    <sheetView workbookViewId="0">
      <selection activeCell="A3" sqref="A3"/>
    </sheetView>
  </sheetViews>
  <sheetFormatPr baseColWidth="10" defaultRowHeight="16" x14ac:dyDescent="0.2"/>
  <cols>
    <col min="1" max="1" width="24.5" bestFit="1" customWidth="1"/>
    <col min="2" max="2" width="15.5" bestFit="1" customWidth="1"/>
    <col min="3" max="3" width="10.6640625" bestFit="1" customWidth="1"/>
    <col min="4" max="4" width="14.6640625" bestFit="1" customWidth="1"/>
    <col min="5" max="5" width="20.6640625" bestFit="1" customWidth="1"/>
  </cols>
  <sheetData>
    <row r="3" spans="1:6" x14ac:dyDescent="0.2">
      <c r="A3" s="5" t="s">
        <v>233</v>
      </c>
      <c r="B3" s="5" t="s">
        <v>229</v>
      </c>
    </row>
    <row r="4" spans="1:6" x14ac:dyDescent="0.2">
      <c r="A4" s="5" t="s">
        <v>231</v>
      </c>
      <c r="B4" t="s">
        <v>33</v>
      </c>
      <c r="C4" t="s">
        <v>12</v>
      </c>
      <c r="D4" t="s">
        <v>82</v>
      </c>
      <c r="E4" t="s">
        <v>182</v>
      </c>
      <c r="F4" t="s">
        <v>230</v>
      </c>
    </row>
    <row r="5" spans="1:6" x14ac:dyDescent="0.2">
      <c r="A5" s="6">
        <v>0</v>
      </c>
      <c r="B5" s="7">
        <v>0</v>
      </c>
      <c r="C5" s="7">
        <v>0</v>
      </c>
      <c r="D5" s="7">
        <v>0</v>
      </c>
      <c r="E5" s="7">
        <v>0</v>
      </c>
      <c r="F5" s="7">
        <v>0</v>
      </c>
    </row>
    <row r="6" spans="1:6" x14ac:dyDescent="0.2">
      <c r="A6" s="6">
        <v>5</v>
      </c>
      <c r="B6" s="7">
        <v>9.5367431640625</v>
      </c>
      <c r="C6" s="7">
        <v>7.62939453125</v>
      </c>
      <c r="D6" s="7">
        <v>31.47125244140625</v>
      </c>
      <c r="E6" s="7">
        <v>2.86102294921875</v>
      </c>
      <c r="F6" s="7">
        <v>51.4984130859375</v>
      </c>
    </row>
    <row r="7" spans="1:6" x14ac:dyDescent="0.2">
      <c r="A7" s="6">
        <v>10</v>
      </c>
      <c r="B7" s="7">
        <v>1.9073486328125</v>
      </c>
      <c r="C7" s="7">
        <v>11.444091796875</v>
      </c>
      <c r="D7" s="7">
        <v>78.2012939453125</v>
      </c>
      <c r="E7" s="7">
        <v>139.2364501953125</v>
      </c>
      <c r="F7" s="7">
        <v>230.7891845703125</v>
      </c>
    </row>
    <row r="8" spans="1:6" x14ac:dyDescent="0.2">
      <c r="A8" s="6">
        <v>15</v>
      </c>
      <c r="B8" s="7">
        <v>114.44091796875</v>
      </c>
      <c r="C8" s="7">
        <v>0.95367431640625</v>
      </c>
      <c r="D8" s="7">
        <v>67.71087646484375</v>
      </c>
      <c r="E8" s="7">
        <v>57.220458984375</v>
      </c>
      <c r="F8" s="7">
        <v>240.325927734375</v>
      </c>
    </row>
    <row r="9" spans="1:6" x14ac:dyDescent="0.2">
      <c r="A9" s="6">
        <v>20</v>
      </c>
      <c r="B9" s="7">
        <v>109.67254638671875</v>
      </c>
      <c r="C9" s="7">
        <v>12.39776611328125</v>
      </c>
      <c r="D9" s="7">
        <v>100.13580322265625</v>
      </c>
      <c r="E9" s="7">
        <v>47.6837158203125</v>
      </c>
      <c r="F9" s="7">
        <v>269.88983154296875</v>
      </c>
    </row>
    <row r="10" spans="1:6" x14ac:dyDescent="0.2">
      <c r="A10" s="6">
        <v>25</v>
      </c>
      <c r="B10" s="7">
        <v>102.04315185546875</v>
      </c>
      <c r="C10" s="7">
        <v>4.76837158203125</v>
      </c>
      <c r="D10" s="7">
        <v>220.29876708984375</v>
      </c>
      <c r="E10" s="7">
        <v>163.07830810546875</v>
      </c>
      <c r="F10" s="7">
        <v>490.1885986328125</v>
      </c>
    </row>
    <row r="11" spans="1:6" x14ac:dyDescent="0.2">
      <c r="A11" s="6">
        <v>30</v>
      </c>
      <c r="B11" s="7">
        <v>173.5687255859375</v>
      </c>
      <c r="C11" s="7">
        <v>1.9073486328125</v>
      </c>
      <c r="D11" s="7">
        <v>86.78436279296875</v>
      </c>
      <c r="E11" s="7">
        <v>173.5687255859375</v>
      </c>
      <c r="F11" s="7">
        <v>435.82916259765625</v>
      </c>
    </row>
    <row r="12" spans="1:6" x14ac:dyDescent="0.2">
      <c r="A12" s="6">
        <v>35</v>
      </c>
      <c r="B12" s="7">
        <v>67.71087646484375</v>
      </c>
      <c r="C12" s="7">
        <v>0</v>
      </c>
      <c r="D12" s="7">
        <v>95.367431640625</v>
      </c>
      <c r="E12" s="7">
        <v>200.2716064453125</v>
      </c>
      <c r="F12" s="7">
        <v>363.34991455078125</v>
      </c>
    </row>
    <row r="13" spans="1:6" x14ac:dyDescent="0.2">
      <c r="A13" s="6">
        <v>40</v>
      </c>
      <c r="B13" s="7">
        <v>162.1246337890625</v>
      </c>
      <c r="C13" s="7"/>
      <c r="D13" s="7">
        <v>85.8306884765625</v>
      </c>
      <c r="E13" s="7">
        <v>47.6837158203125</v>
      </c>
      <c r="F13" s="7">
        <v>295.6390380859375</v>
      </c>
    </row>
    <row r="14" spans="1:6" x14ac:dyDescent="0.2">
      <c r="A14" s="6">
        <v>45</v>
      </c>
      <c r="B14" s="7">
        <v>291.8243408203125</v>
      </c>
      <c r="C14" s="7"/>
      <c r="D14" s="7">
        <v>228.8818359375</v>
      </c>
      <c r="E14" s="7">
        <v>38.14697265625</v>
      </c>
      <c r="F14" s="7">
        <v>558.8531494140625</v>
      </c>
    </row>
    <row r="15" spans="1:6" x14ac:dyDescent="0.2">
      <c r="A15" s="6">
        <v>50</v>
      </c>
      <c r="B15" s="7">
        <v>346.18377685546875</v>
      </c>
      <c r="C15" s="7"/>
      <c r="D15" s="7">
        <v>48.63739013671875</v>
      </c>
      <c r="E15" s="7">
        <v>257.4920654296875</v>
      </c>
      <c r="F15" s="7">
        <v>652.313232421875</v>
      </c>
    </row>
    <row r="16" spans="1:6" x14ac:dyDescent="0.2">
      <c r="A16" s="6">
        <v>55</v>
      </c>
      <c r="B16" s="7">
        <v>31.47125244140625</v>
      </c>
      <c r="C16" s="7"/>
      <c r="D16" s="7">
        <v>137.3291015625</v>
      </c>
      <c r="E16" s="7">
        <v>76.2939453125</v>
      </c>
      <c r="F16" s="7">
        <v>245.09429931640625</v>
      </c>
    </row>
    <row r="17" spans="1:6" x14ac:dyDescent="0.2">
      <c r="A17" s="6">
        <v>60</v>
      </c>
      <c r="B17" s="7">
        <v>30.517578125</v>
      </c>
      <c r="C17" s="7"/>
      <c r="D17" s="7">
        <v>66.7572021484375</v>
      </c>
      <c r="E17" s="7">
        <v>144.00482177734375</v>
      </c>
      <c r="F17" s="7">
        <v>241.27960205078125</v>
      </c>
    </row>
    <row r="18" spans="1:6" x14ac:dyDescent="0.2">
      <c r="A18" s="6">
        <v>65</v>
      </c>
      <c r="B18" s="7">
        <v>23.84185791015625</v>
      </c>
      <c r="C18" s="7"/>
      <c r="D18" s="7">
        <v>164.98565673828125</v>
      </c>
      <c r="E18" s="7">
        <v>123.9776611328125</v>
      </c>
      <c r="F18" s="7">
        <v>312.80517578125</v>
      </c>
    </row>
    <row r="19" spans="1:6" x14ac:dyDescent="0.2">
      <c r="A19" s="6">
        <v>70</v>
      </c>
      <c r="B19" s="7">
        <v>0.95367431640625</v>
      </c>
      <c r="C19" s="7"/>
      <c r="D19" s="7">
        <v>95.367431640625</v>
      </c>
      <c r="E19" s="7">
        <v>144.00482177734375</v>
      </c>
      <c r="F19" s="7">
        <v>240.325927734375</v>
      </c>
    </row>
    <row r="20" spans="1:6" x14ac:dyDescent="0.2">
      <c r="A20" s="6">
        <v>75</v>
      </c>
      <c r="B20" s="7">
        <v>39.10064697265625</v>
      </c>
      <c r="C20" s="7"/>
      <c r="D20" s="7">
        <v>108.7188720703125</v>
      </c>
      <c r="E20" s="7">
        <v>38.14697265625</v>
      </c>
      <c r="F20" s="7">
        <v>185.96649169921875</v>
      </c>
    </row>
    <row r="21" spans="1:6" x14ac:dyDescent="0.2">
      <c r="A21" s="6">
        <v>80</v>
      </c>
      <c r="B21" s="7"/>
      <c r="C21" s="7"/>
      <c r="D21" s="7">
        <v>105.85784912109375</v>
      </c>
      <c r="E21" s="7">
        <v>734.3292236328125</v>
      </c>
      <c r="F21" s="7">
        <v>840.18707275390625</v>
      </c>
    </row>
    <row r="22" spans="1:6" x14ac:dyDescent="0.2">
      <c r="A22" s="6">
        <v>85</v>
      </c>
      <c r="B22" s="7"/>
      <c r="C22" s="7"/>
      <c r="D22" s="7">
        <v>201.22528076171875</v>
      </c>
      <c r="E22" s="7">
        <v>125.885009765625</v>
      </c>
      <c r="F22" s="7">
        <v>327.11029052734375</v>
      </c>
    </row>
    <row r="23" spans="1:6" x14ac:dyDescent="0.2">
      <c r="A23" s="6">
        <v>90</v>
      </c>
      <c r="B23" s="7"/>
      <c r="C23" s="7"/>
      <c r="D23" s="7">
        <v>57.220458984375</v>
      </c>
      <c r="E23" s="7">
        <v>48.63739013671875</v>
      </c>
      <c r="F23" s="7">
        <v>105.85784912109375</v>
      </c>
    </row>
    <row r="24" spans="1:6" x14ac:dyDescent="0.2">
      <c r="A24" s="6">
        <v>95</v>
      </c>
      <c r="B24" s="7"/>
      <c r="C24" s="7"/>
      <c r="D24" s="7">
        <v>115.39459228515625</v>
      </c>
      <c r="E24" s="7">
        <v>20.02716064453125</v>
      </c>
      <c r="F24" s="7">
        <v>135.4217529296875</v>
      </c>
    </row>
    <row r="25" spans="1:6" x14ac:dyDescent="0.2">
      <c r="A25" s="6">
        <v>100</v>
      </c>
      <c r="B25" s="7"/>
      <c r="C25" s="7"/>
      <c r="D25" s="7">
        <v>181.1981201171875</v>
      </c>
      <c r="E25" s="7">
        <v>11.444091796875</v>
      </c>
      <c r="F25" s="7">
        <v>192.6422119140625</v>
      </c>
    </row>
    <row r="26" spans="1:6" x14ac:dyDescent="0.2">
      <c r="A26" s="6">
        <v>105</v>
      </c>
      <c r="B26" s="7"/>
      <c r="C26" s="7"/>
      <c r="D26" s="7">
        <v>105.85784912109375</v>
      </c>
      <c r="E26" s="7">
        <v>9.5367431640625</v>
      </c>
      <c r="F26" s="7">
        <v>115.39459228515625</v>
      </c>
    </row>
    <row r="27" spans="1:6" x14ac:dyDescent="0.2">
      <c r="A27" s="6">
        <v>110</v>
      </c>
      <c r="B27" s="7"/>
      <c r="C27" s="7"/>
      <c r="D27" s="7">
        <v>66.7572021484375</v>
      </c>
      <c r="E27" s="7"/>
      <c r="F27" s="7">
        <v>66.7572021484375</v>
      </c>
    </row>
    <row r="28" spans="1:6" x14ac:dyDescent="0.2">
      <c r="A28" s="6">
        <v>115</v>
      </c>
      <c r="B28" s="7"/>
      <c r="C28" s="7"/>
      <c r="D28" s="7">
        <v>149.72686767578125</v>
      </c>
      <c r="E28" s="7"/>
      <c r="F28" s="7">
        <v>149.72686767578125</v>
      </c>
    </row>
    <row r="29" spans="1:6" x14ac:dyDescent="0.2">
      <c r="A29" s="6">
        <v>120</v>
      </c>
      <c r="B29" s="7"/>
      <c r="C29" s="7"/>
      <c r="D29" s="7">
        <v>124.93133544921875</v>
      </c>
      <c r="E29" s="7"/>
      <c r="F29" s="7">
        <v>124.93133544921875</v>
      </c>
    </row>
    <row r="30" spans="1:6" x14ac:dyDescent="0.2">
      <c r="A30" s="6">
        <v>125</v>
      </c>
      <c r="B30" s="7"/>
      <c r="C30" s="7"/>
      <c r="D30" s="7">
        <v>95.367431640625</v>
      </c>
      <c r="E30" s="7"/>
      <c r="F30" s="7">
        <v>95.367431640625</v>
      </c>
    </row>
    <row r="31" spans="1:6" x14ac:dyDescent="0.2">
      <c r="A31" s="6">
        <v>130</v>
      </c>
      <c r="B31" s="7"/>
      <c r="C31" s="7"/>
      <c r="D31" s="7">
        <v>115.39459228515625</v>
      </c>
      <c r="E31" s="7"/>
      <c r="F31" s="7">
        <v>115.39459228515625</v>
      </c>
    </row>
    <row r="32" spans="1:6" x14ac:dyDescent="0.2">
      <c r="A32" s="6">
        <v>135</v>
      </c>
      <c r="B32" s="7"/>
      <c r="C32" s="7"/>
      <c r="D32" s="7">
        <v>143.0511474609375</v>
      </c>
      <c r="E32" s="7"/>
      <c r="F32" s="7">
        <v>143.0511474609375</v>
      </c>
    </row>
    <row r="33" spans="1:6" x14ac:dyDescent="0.2">
      <c r="A33" s="6">
        <v>140</v>
      </c>
      <c r="B33" s="7"/>
      <c r="C33" s="7"/>
      <c r="D33" s="7">
        <v>124.93133544921875</v>
      </c>
      <c r="E33" s="7"/>
      <c r="F33" s="7">
        <v>124.93133544921875</v>
      </c>
    </row>
    <row r="34" spans="1:6" x14ac:dyDescent="0.2">
      <c r="A34" s="6">
        <v>145</v>
      </c>
      <c r="B34" s="7"/>
      <c r="C34" s="7"/>
      <c r="D34" s="7">
        <v>85.8306884765625</v>
      </c>
      <c r="E34" s="7"/>
      <c r="F34" s="7">
        <v>85.8306884765625</v>
      </c>
    </row>
    <row r="35" spans="1:6" x14ac:dyDescent="0.2">
      <c r="A35" s="6">
        <v>150</v>
      </c>
      <c r="B35" s="7"/>
      <c r="C35" s="7"/>
      <c r="D35" s="7">
        <v>210.76202392578125</v>
      </c>
      <c r="E35" s="7"/>
      <c r="F35" s="7">
        <v>210.76202392578125</v>
      </c>
    </row>
    <row r="36" spans="1:6" x14ac:dyDescent="0.2">
      <c r="A36" s="6">
        <v>155</v>
      </c>
      <c r="B36" s="7"/>
      <c r="C36" s="7"/>
      <c r="D36" s="7">
        <v>143.0511474609375</v>
      </c>
      <c r="E36" s="7"/>
      <c r="F36" s="7">
        <v>143.0511474609375</v>
      </c>
    </row>
    <row r="37" spans="1:6" x14ac:dyDescent="0.2">
      <c r="A37" s="6">
        <v>160</v>
      </c>
      <c r="B37" s="7"/>
      <c r="C37" s="7"/>
      <c r="D37" s="7">
        <v>1821.5179443359375</v>
      </c>
      <c r="E37" s="7"/>
      <c r="F37" s="7">
        <v>1821.5179443359375</v>
      </c>
    </row>
    <row r="38" spans="1:6" x14ac:dyDescent="0.2">
      <c r="A38" s="6">
        <v>165</v>
      </c>
      <c r="B38" s="7"/>
      <c r="C38" s="7"/>
      <c r="D38" s="7">
        <v>144.00482177734375</v>
      </c>
      <c r="E38" s="7"/>
      <c r="F38" s="7">
        <v>144.00482177734375</v>
      </c>
    </row>
    <row r="39" spans="1:6" x14ac:dyDescent="0.2">
      <c r="A39" s="6">
        <v>170</v>
      </c>
      <c r="B39" s="7"/>
      <c r="C39" s="7"/>
      <c r="D39" s="7">
        <v>267.02880859375</v>
      </c>
      <c r="E39" s="7"/>
      <c r="F39" s="7">
        <v>267.02880859375</v>
      </c>
    </row>
    <row r="40" spans="1:6" x14ac:dyDescent="0.2">
      <c r="A40" s="6">
        <v>175</v>
      </c>
      <c r="B40" s="7"/>
      <c r="C40" s="7"/>
      <c r="D40" s="7">
        <v>296.59271240234375</v>
      </c>
      <c r="E40" s="7"/>
      <c r="F40" s="7">
        <v>296.59271240234375</v>
      </c>
    </row>
    <row r="41" spans="1:6" x14ac:dyDescent="0.2">
      <c r="A41" s="6">
        <v>180</v>
      </c>
      <c r="B41" s="7"/>
      <c r="C41" s="7"/>
      <c r="D41" s="7">
        <v>134.46807861328125</v>
      </c>
      <c r="E41" s="7"/>
      <c r="F41" s="7">
        <v>134.46807861328125</v>
      </c>
    </row>
    <row r="42" spans="1:6" x14ac:dyDescent="0.2">
      <c r="A42" s="6">
        <v>185</v>
      </c>
      <c r="B42" s="7"/>
      <c r="C42" s="7"/>
      <c r="D42" s="7">
        <v>51.4984130859375</v>
      </c>
      <c r="E42" s="7"/>
      <c r="F42" s="7">
        <v>51.4984130859375</v>
      </c>
    </row>
    <row r="43" spans="1:6" x14ac:dyDescent="0.2">
      <c r="A43" s="6">
        <v>190</v>
      </c>
      <c r="B43" s="7"/>
      <c r="C43" s="7"/>
      <c r="D43" s="7">
        <v>20.02716064453125</v>
      </c>
      <c r="E43" s="7"/>
      <c r="F43" s="7">
        <v>20.02716064453125</v>
      </c>
    </row>
    <row r="44" spans="1:6" x14ac:dyDescent="0.2">
      <c r="A44" s="6">
        <v>195</v>
      </c>
      <c r="B44" s="7"/>
      <c r="C44" s="7"/>
      <c r="D44" s="7">
        <v>0</v>
      </c>
      <c r="E44" s="7"/>
      <c r="F44" s="7">
        <v>0</v>
      </c>
    </row>
    <row r="45" spans="1:6" x14ac:dyDescent="0.2">
      <c r="A45" s="6">
        <v>200</v>
      </c>
      <c r="B45" s="7"/>
      <c r="C45" s="7"/>
      <c r="D45" s="7">
        <v>19.073486328125</v>
      </c>
      <c r="E45" s="7"/>
      <c r="F45" s="7">
        <v>19.073486328125</v>
      </c>
    </row>
    <row r="46" spans="1:6" x14ac:dyDescent="0.2">
      <c r="A46" s="6" t="s">
        <v>230</v>
      </c>
      <c r="B46" s="7">
        <v>1504.8980712890625</v>
      </c>
      <c r="C46" s="7">
        <v>39.10064697265625</v>
      </c>
      <c r="D46" s="7">
        <v>6397.247314453125</v>
      </c>
      <c r="E46" s="7">
        <v>2603.5308837890625</v>
      </c>
      <c r="F46" s="7">
        <v>10544.776916503906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C4BE-B32C-504A-8F72-4655325B39F4}">
  <dimension ref="A1:F13"/>
  <sheetViews>
    <sheetView topLeftCell="B1" workbookViewId="0">
      <selection activeCell="K30" sqref="K30"/>
    </sheetView>
  </sheetViews>
  <sheetFormatPr baseColWidth="10" defaultRowHeight="16" x14ac:dyDescent="0.2"/>
  <cols>
    <col min="1" max="1" width="24.5" bestFit="1" customWidth="1"/>
    <col min="2" max="2" width="15.5" bestFit="1" customWidth="1"/>
    <col min="3" max="3" width="9.83203125" bestFit="1" customWidth="1"/>
    <col min="4" max="4" width="12.5" bestFit="1" customWidth="1"/>
    <col min="5" max="5" width="15.5" bestFit="1" customWidth="1"/>
  </cols>
  <sheetData>
    <row r="1" spans="1:6" x14ac:dyDescent="0.2">
      <c r="A1" s="5" t="s">
        <v>0</v>
      </c>
      <c r="B1" t="s">
        <v>12</v>
      </c>
    </row>
    <row r="3" spans="1:6" x14ac:dyDescent="0.2">
      <c r="A3" s="5" t="s">
        <v>233</v>
      </c>
      <c r="B3" s="5" t="s">
        <v>229</v>
      </c>
    </row>
    <row r="4" spans="1:6" x14ac:dyDescent="0.2">
      <c r="A4" s="5" t="s">
        <v>231</v>
      </c>
      <c r="B4" t="s">
        <v>15</v>
      </c>
      <c r="C4" t="s">
        <v>13</v>
      </c>
      <c r="D4" t="s">
        <v>19</v>
      </c>
      <c r="E4" t="s">
        <v>17</v>
      </c>
      <c r="F4" t="s">
        <v>230</v>
      </c>
    </row>
    <row r="5" spans="1:6" x14ac:dyDescent="0.2">
      <c r="A5" s="6">
        <v>0</v>
      </c>
      <c r="B5" s="7">
        <v>0</v>
      </c>
      <c r="C5" s="7">
        <v>0</v>
      </c>
      <c r="D5" s="7">
        <v>0</v>
      </c>
      <c r="E5" s="7">
        <v>0</v>
      </c>
      <c r="F5" s="7">
        <v>0</v>
      </c>
    </row>
    <row r="6" spans="1:6" x14ac:dyDescent="0.2">
      <c r="A6" s="6">
        <v>5</v>
      </c>
      <c r="B6" s="7">
        <v>0</v>
      </c>
      <c r="C6" s="7">
        <v>4.76837158203125</v>
      </c>
      <c r="D6" s="7">
        <v>0</v>
      </c>
      <c r="E6" s="7">
        <v>2.86102294921875</v>
      </c>
      <c r="F6" s="7">
        <v>7.62939453125</v>
      </c>
    </row>
    <row r="7" spans="1:6" x14ac:dyDescent="0.2">
      <c r="A7" s="6">
        <v>10</v>
      </c>
      <c r="B7" s="7">
        <v>9.5367431640625</v>
      </c>
      <c r="C7" s="7">
        <v>0</v>
      </c>
      <c r="D7" s="7">
        <v>0</v>
      </c>
      <c r="E7" s="7">
        <v>1.9073486328125</v>
      </c>
      <c r="F7" s="7">
        <v>11.444091796875</v>
      </c>
    </row>
    <row r="8" spans="1:6" x14ac:dyDescent="0.2">
      <c r="A8" s="6">
        <v>15</v>
      </c>
      <c r="B8" s="7">
        <v>0</v>
      </c>
      <c r="C8" s="7">
        <v>0</v>
      </c>
      <c r="D8" s="7">
        <v>0</v>
      </c>
      <c r="E8" s="7">
        <v>0.95367431640625</v>
      </c>
      <c r="F8" s="7">
        <v>0.95367431640625</v>
      </c>
    </row>
    <row r="9" spans="1:6" x14ac:dyDescent="0.2">
      <c r="A9" s="6">
        <v>20</v>
      </c>
      <c r="B9" s="7">
        <v>9.5367431640625</v>
      </c>
      <c r="C9" s="7">
        <v>1.9073486328125</v>
      </c>
      <c r="D9" s="7">
        <v>0</v>
      </c>
      <c r="E9" s="7">
        <v>0.95367431640625</v>
      </c>
      <c r="F9" s="7">
        <v>12.39776611328125</v>
      </c>
    </row>
    <row r="10" spans="1:6" x14ac:dyDescent="0.2">
      <c r="A10" s="6">
        <v>25</v>
      </c>
      <c r="B10" s="7">
        <v>0</v>
      </c>
      <c r="C10" s="7">
        <v>2.86102294921875</v>
      </c>
      <c r="D10" s="7">
        <v>0</v>
      </c>
      <c r="E10" s="7">
        <v>1.9073486328125</v>
      </c>
      <c r="F10" s="7">
        <v>4.76837158203125</v>
      </c>
    </row>
    <row r="11" spans="1:6" x14ac:dyDescent="0.2">
      <c r="A11" s="6">
        <v>30</v>
      </c>
      <c r="B11" s="7">
        <v>0</v>
      </c>
      <c r="C11" s="7">
        <v>0.95367431640625</v>
      </c>
      <c r="D11" s="7">
        <v>0</v>
      </c>
      <c r="E11" s="7">
        <v>0.95367431640625</v>
      </c>
      <c r="F11" s="7">
        <v>1.9073486328125</v>
      </c>
    </row>
    <row r="12" spans="1:6" x14ac:dyDescent="0.2">
      <c r="A12" s="6">
        <v>35</v>
      </c>
      <c r="B12" s="7">
        <v>0</v>
      </c>
      <c r="C12" s="7">
        <v>0</v>
      </c>
      <c r="D12" s="7">
        <v>0</v>
      </c>
      <c r="E12" s="7">
        <v>0</v>
      </c>
      <c r="F12" s="7">
        <v>0</v>
      </c>
    </row>
    <row r="13" spans="1:6" x14ac:dyDescent="0.2">
      <c r="A13" s="6" t="s">
        <v>230</v>
      </c>
      <c r="B13" s="7">
        <v>19.073486328125</v>
      </c>
      <c r="C13" s="7">
        <v>10.49041748046875</v>
      </c>
      <c r="D13" s="7">
        <v>0</v>
      </c>
      <c r="E13" s="7">
        <v>9.5367431640625</v>
      </c>
      <c r="F13" s="7">
        <v>39.10064697265625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D416-B3CE-1140-BA8F-2613CD386B25}">
  <dimension ref="A1:F21"/>
  <sheetViews>
    <sheetView topLeftCell="B1" workbookViewId="0">
      <selection activeCell="L30" sqref="L30"/>
    </sheetView>
  </sheetViews>
  <sheetFormatPr baseColWidth="10" defaultRowHeight="16" x14ac:dyDescent="0.2"/>
  <cols>
    <col min="1" max="1" width="24.5" bestFit="1" customWidth="1"/>
    <col min="2" max="2" width="15.5" bestFit="1" customWidth="1"/>
    <col min="3" max="3" width="9.83203125" bestFit="1" customWidth="1"/>
    <col min="4" max="4" width="12.5" bestFit="1" customWidth="1"/>
    <col min="5" max="5" width="15.5" bestFit="1" customWidth="1"/>
  </cols>
  <sheetData>
    <row r="1" spans="1:6" x14ac:dyDescent="0.2">
      <c r="A1" s="5" t="s">
        <v>0</v>
      </c>
      <c r="B1" t="s">
        <v>33</v>
      </c>
    </row>
    <row r="3" spans="1:6" x14ac:dyDescent="0.2">
      <c r="A3" s="5" t="s">
        <v>233</v>
      </c>
      <c r="B3" s="5" t="s">
        <v>229</v>
      </c>
    </row>
    <row r="4" spans="1:6" x14ac:dyDescent="0.2">
      <c r="A4" s="5" t="s">
        <v>231</v>
      </c>
      <c r="B4" t="s">
        <v>15</v>
      </c>
      <c r="C4" t="s">
        <v>13</v>
      </c>
      <c r="D4" t="s">
        <v>19</v>
      </c>
      <c r="E4" t="s">
        <v>17</v>
      </c>
      <c r="F4" t="s">
        <v>230</v>
      </c>
    </row>
    <row r="5" spans="1:6" x14ac:dyDescent="0.2">
      <c r="A5" s="6">
        <v>0</v>
      </c>
      <c r="B5" s="7">
        <v>0</v>
      </c>
      <c r="C5" s="7">
        <v>0</v>
      </c>
      <c r="D5" s="7">
        <v>0</v>
      </c>
      <c r="E5" s="7">
        <v>0</v>
      </c>
      <c r="F5" s="7">
        <v>0</v>
      </c>
    </row>
    <row r="6" spans="1:6" x14ac:dyDescent="0.2">
      <c r="A6" s="6">
        <v>5</v>
      </c>
      <c r="B6" s="7">
        <v>0</v>
      </c>
      <c r="C6" s="7">
        <v>2.86102294921875</v>
      </c>
      <c r="D6" s="7">
        <v>0</v>
      </c>
      <c r="E6" s="7">
        <v>6.67572021484375</v>
      </c>
      <c r="F6" s="7">
        <v>9.5367431640625</v>
      </c>
    </row>
    <row r="7" spans="1:6" x14ac:dyDescent="0.2">
      <c r="A7" s="6">
        <v>10</v>
      </c>
      <c r="B7" s="7">
        <v>0</v>
      </c>
      <c r="C7" s="7">
        <v>0.95367431640625</v>
      </c>
      <c r="D7" s="7">
        <v>0</v>
      </c>
      <c r="E7" s="7">
        <v>0.95367431640625</v>
      </c>
      <c r="F7" s="7">
        <v>1.9073486328125</v>
      </c>
    </row>
    <row r="8" spans="1:6" x14ac:dyDescent="0.2">
      <c r="A8" s="6">
        <v>15</v>
      </c>
      <c r="B8" s="7">
        <v>85.8306884765625</v>
      </c>
      <c r="C8" s="7">
        <v>3.814697265625</v>
      </c>
      <c r="D8" s="7">
        <v>19.073486328125</v>
      </c>
      <c r="E8" s="7">
        <v>5.7220458984375</v>
      </c>
      <c r="F8" s="7">
        <v>114.44091796875</v>
      </c>
    </row>
    <row r="9" spans="1:6" x14ac:dyDescent="0.2">
      <c r="A9" s="6">
        <v>20</v>
      </c>
      <c r="B9" s="7">
        <v>66.7572021484375</v>
      </c>
      <c r="C9" s="7">
        <v>1.9073486328125</v>
      </c>
      <c r="D9" s="7">
        <v>38.14697265625</v>
      </c>
      <c r="E9" s="7">
        <v>2.86102294921875</v>
      </c>
      <c r="F9" s="7">
        <v>109.67254638671875</v>
      </c>
    </row>
    <row r="10" spans="1:6" x14ac:dyDescent="0.2">
      <c r="A10" s="6">
        <v>25</v>
      </c>
      <c r="B10" s="7">
        <v>38.14697265625</v>
      </c>
      <c r="C10" s="7">
        <v>0</v>
      </c>
      <c r="D10" s="7">
        <v>57.220458984375</v>
      </c>
      <c r="E10" s="7">
        <v>6.67572021484375</v>
      </c>
      <c r="F10" s="7">
        <v>102.04315185546875</v>
      </c>
    </row>
    <row r="11" spans="1:6" x14ac:dyDescent="0.2">
      <c r="A11" s="6">
        <v>30</v>
      </c>
      <c r="B11" s="7">
        <v>9.5367431640625</v>
      </c>
      <c r="C11" s="7">
        <v>1.9073486328125</v>
      </c>
      <c r="D11" s="7">
        <v>162.1246337890625</v>
      </c>
      <c r="E11" s="7">
        <v>0</v>
      </c>
      <c r="F11" s="7">
        <v>173.5687255859375</v>
      </c>
    </row>
    <row r="12" spans="1:6" x14ac:dyDescent="0.2">
      <c r="A12" s="6">
        <v>35</v>
      </c>
      <c r="B12" s="7">
        <v>66.7572021484375</v>
      </c>
      <c r="C12" s="7">
        <v>0.95367431640625</v>
      </c>
      <c r="D12" s="7">
        <v>0</v>
      </c>
      <c r="E12" s="7">
        <v>0</v>
      </c>
      <c r="F12" s="7">
        <v>67.71087646484375</v>
      </c>
    </row>
    <row r="13" spans="1:6" x14ac:dyDescent="0.2">
      <c r="A13" s="6">
        <v>40</v>
      </c>
      <c r="B13" s="7">
        <v>66.7572021484375</v>
      </c>
      <c r="C13" s="7">
        <v>2.86102294921875</v>
      </c>
      <c r="D13" s="7">
        <v>85.8306884765625</v>
      </c>
      <c r="E13" s="7">
        <v>6.67572021484375</v>
      </c>
      <c r="F13" s="7">
        <v>162.1246337890625</v>
      </c>
    </row>
    <row r="14" spans="1:6" x14ac:dyDescent="0.2">
      <c r="A14" s="6">
        <v>45</v>
      </c>
      <c r="B14" s="7">
        <v>28.6102294921875</v>
      </c>
      <c r="C14" s="7">
        <v>9.5367431640625</v>
      </c>
      <c r="D14" s="7">
        <v>238.4185791015625</v>
      </c>
      <c r="E14" s="7">
        <v>15.2587890625</v>
      </c>
      <c r="F14" s="7">
        <v>291.8243408203125</v>
      </c>
    </row>
    <row r="15" spans="1:6" x14ac:dyDescent="0.2">
      <c r="A15" s="6">
        <v>50</v>
      </c>
      <c r="B15" s="7">
        <v>19.073486328125</v>
      </c>
      <c r="C15" s="7">
        <v>0</v>
      </c>
      <c r="D15" s="7">
        <v>324.249267578125</v>
      </c>
      <c r="E15" s="7">
        <v>2.86102294921875</v>
      </c>
      <c r="F15" s="7">
        <v>346.18377685546875</v>
      </c>
    </row>
    <row r="16" spans="1:6" x14ac:dyDescent="0.2">
      <c r="A16" s="6">
        <v>55</v>
      </c>
      <c r="B16" s="7">
        <v>19.073486328125</v>
      </c>
      <c r="C16" s="7">
        <v>1.9073486328125</v>
      </c>
      <c r="D16" s="7">
        <v>9.5367431640625</v>
      </c>
      <c r="E16" s="7">
        <v>0.95367431640625</v>
      </c>
      <c r="F16" s="7">
        <v>31.47125244140625</v>
      </c>
    </row>
    <row r="17" spans="1:6" x14ac:dyDescent="0.2">
      <c r="A17" s="6">
        <v>60</v>
      </c>
      <c r="B17" s="7">
        <v>9.5367431640625</v>
      </c>
      <c r="C17" s="7">
        <v>1.9073486328125</v>
      </c>
      <c r="D17" s="7">
        <v>9.5367431640625</v>
      </c>
      <c r="E17" s="7">
        <v>9.5367431640625</v>
      </c>
      <c r="F17" s="7">
        <v>30.517578125</v>
      </c>
    </row>
    <row r="18" spans="1:6" x14ac:dyDescent="0.2">
      <c r="A18" s="6">
        <v>65</v>
      </c>
      <c r="B18" s="7">
        <v>0</v>
      </c>
      <c r="C18" s="7">
        <v>1.9073486328125</v>
      </c>
      <c r="D18" s="7">
        <v>19.073486328125</v>
      </c>
      <c r="E18" s="7">
        <v>2.86102294921875</v>
      </c>
      <c r="F18" s="7">
        <v>23.84185791015625</v>
      </c>
    </row>
    <row r="19" spans="1:6" x14ac:dyDescent="0.2">
      <c r="A19" s="6">
        <v>70</v>
      </c>
      <c r="B19" s="7">
        <v>0</v>
      </c>
      <c r="C19" s="7">
        <v>0.95367431640625</v>
      </c>
      <c r="D19" s="7">
        <v>0</v>
      </c>
      <c r="E19" s="7">
        <v>0</v>
      </c>
      <c r="F19" s="7">
        <v>0.95367431640625</v>
      </c>
    </row>
    <row r="20" spans="1:6" x14ac:dyDescent="0.2">
      <c r="A20" s="6">
        <v>75</v>
      </c>
      <c r="B20" s="7">
        <v>0</v>
      </c>
      <c r="C20" s="7">
        <v>0</v>
      </c>
      <c r="D20" s="7">
        <v>38.14697265625</v>
      </c>
      <c r="E20" s="7">
        <v>0.95367431640625</v>
      </c>
      <c r="F20" s="7">
        <v>39.10064697265625</v>
      </c>
    </row>
    <row r="21" spans="1:6" x14ac:dyDescent="0.2">
      <c r="A21" s="6" t="s">
        <v>230</v>
      </c>
      <c r="B21" s="7">
        <v>410.0799560546875</v>
      </c>
      <c r="C21" s="7">
        <v>31.47125244140625</v>
      </c>
      <c r="D21" s="7">
        <v>1001.3580322265625</v>
      </c>
      <c r="E21" s="7">
        <v>61.98883056640625</v>
      </c>
      <c r="F21" s="7">
        <v>1504.8980712890625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B44AC-C901-C943-B284-8B647D58CB70}">
  <dimension ref="A1:F46"/>
  <sheetViews>
    <sheetView topLeftCell="B1" workbookViewId="0">
      <selection activeCell="L28" sqref="L28"/>
    </sheetView>
  </sheetViews>
  <sheetFormatPr baseColWidth="10" defaultRowHeight="16" x14ac:dyDescent="0.2"/>
  <cols>
    <col min="1" max="1" width="24.5" bestFit="1" customWidth="1"/>
    <col min="2" max="2" width="17" bestFit="1" customWidth="1"/>
    <col min="3" max="3" width="9.83203125" bestFit="1" customWidth="1"/>
    <col min="4" max="4" width="12.5" bestFit="1" customWidth="1"/>
    <col min="5" max="5" width="15.5" bestFit="1" customWidth="1"/>
  </cols>
  <sheetData>
    <row r="1" spans="1:6" x14ac:dyDescent="0.2">
      <c r="A1" s="5" t="s">
        <v>0</v>
      </c>
      <c r="B1" t="s">
        <v>82</v>
      </c>
    </row>
    <row r="3" spans="1:6" x14ac:dyDescent="0.2">
      <c r="A3" s="5" t="s">
        <v>233</v>
      </c>
      <c r="B3" s="5" t="s">
        <v>229</v>
      </c>
    </row>
    <row r="4" spans="1:6" x14ac:dyDescent="0.2">
      <c r="A4" s="5" t="s">
        <v>231</v>
      </c>
      <c r="B4" t="s">
        <v>15</v>
      </c>
      <c r="C4" t="s">
        <v>13</v>
      </c>
      <c r="D4" t="s">
        <v>19</v>
      </c>
      <c r="E4" t="s">
        <v>17</v>
      </c>
      <c r="F4" t="s">
        <v>230</v>
      </c>
    </row>
    <row r="5" spans="1:6" x14ac:dyDescent="0.2">
      <c r="A5" s="6">
        <v>0</v>
      </c>
      <c r="B5" s="7">
        <v>0</v>
      </c>
      <c r="C5" s="7">
        <v>0</v>
      </c>
      <c r="D5" s="7">
        <v>0</v>
      </c>
      <c r="E5" s="7">
        <v>0</v>
      </c>
      <c r="F5" s="7">
        <v>0</v>
      </c>
    </row>
    <row r="6" spans="1:6" x14ac:dyDescent="0.2">
      <c r="A6" s="6">
        <v>5</v>
      </c>
      <c r="B6" s="7">
        <v>0</v>
      </c>
      <c r="C6" s="7">
        <v>19.073486328125</v>
      </c>
      <c r="D6" s="7">
        <v>9.5367431640625</v>
      </c>
      <c r="E6" s="7">
        <v>2.86102294921875</v>
      </c>
      <c r="F6" s="7">
        <v>31.47125244140625</v>
      </c>
    </row>
    <row r="7" spans="1:6" x14ac:dyDescent="0.2">
      <c r="A7" s="6">
        <v>10</v>
      </c>
      <c r="B7" s="7">
        <v>57.220458984375</v>
      </c>
      <c r="C7" s="7">
        <v>0</v>
      </c>
      <c r="D7" s="7">
        <v>19.073486328125</v>
      </c>
      <c r="E7" s="7">
        <v>1.9073486328125</v>
      </c>
      <c r="F7" s="7">
        <v>78.2012939453125</v>
      </c>
    </row>
    <row r="8" spans="1:6" x14ac:dyDescent="0.2">
      <c r="A8" s="6">
        <v>15</v>
      </c>
      <c r="B8" s="7">
        <v>66.7572021484375</v>
      </c>
      <c r="C8" s="7">
        <v>0</v>
      </c>
      <c r="D8" s="7">
        <v>0</v>
      </c>
      <c r="E8" s="7">
        <v>0.95367431640625</v>
      </c>
      <c r="F8" s="7">
        <v>67.71087646484375</v>
      </c>
    </row>
    <row r="9" spans="1:6" x14ac:dyDescent="0.2">
      <c r="A9" s="6">
        <v>20</v>
      </c>
      <c r="B9" s="7">
        <v>66.7572021484375</v>
      </c>
      <c r="C9" s="7">
        <v>0</v>
      </c>
      <c r="D9" s="7">
        <v>28.6102294921875</v>
      </c>
      <c r="E9" s="7">
        <v>4.76837158203125</v>
      </c>
      <c r="F9" s="7">
        <v>100.13580322265625</v>
      </c>
    </row>
    <row r="10" spans="1:6" x14ac:dyDescent="0.2">
      <c r="A10" s="6">
        <v>25</v>
      </c>
      <c r="B10" s="7">
        <v>47.6837158203125</v>
      </c>
      <c r="C10" s="7">
        <v>0</v>
      </c>
      <c r="D10" s="7">
        <v>171.661376953125</v>
      </c>
      <c r="E10" s="7">
        <v>0.95367431640625</v>
      </c>
      <c r="F10" s="7">
        <v>220.29876708984375</v>
      </c>
    </row>
    <row r="11" spans="1:6" x14ac:dyDescent="0.2">
      <c r="A11" s="6">
        <v>30</v>
      </c>
      <c r="B11" s="7">
        <v>28.6102294921875</v>
      </c>
      <c r="C11" s="7">
        <v>0</v>
      </c>
      <c r="D11" s="7">
        <v>57.220458984375</v>
      </c>
      <c r="E11" s="7">
        <v>0.95367431640625</v>
      </c>
      <c r="F11" s="7">
        <v>86.78436279296875</v>
      </c>
    </row>
    <row r="12" spans="1:6" x14ac:dyDescent="0.2">
      <c r="A12" s="6">
        <v>35</v>
      </c>
      <c r="B12" s="7">
        <v>57.220458984375</v>
      </c>
      <c r="C12" s="7">
        <v>0</v>
      </c>
      <c r="D12" s="7">
        <v>38.14697265625</v>
      </c>
      <c r="E12" s="7">
        <v>0</v>
      </c>
      <c r="F12" s="7">
        <v>95.367431640625</v>
      </c>
    </row>
    <row r="13" spans="1:6" x14ac:dyDescent="0.2">
      <c r="A13" s="6">
        <v>40</v>
      </c>
      <c r="B13" s="7">
        <v>47.6837158203125</v>
      </c>
      <c r="C13" s="7">
        <v>0</v>
      </c>
      <c r="D13" s="7">
        <v>38.14697265625</v>
      </c>
      <c r="E13" s="7">
        <v>0</v>
      </c>
      <c r="F13" s="7">
        <v>85.8306884765625</v>
      </c>
    </row>
    <row r="14" spans="1:6" x14ac:dyDescent="0.2">
      <c r="A14" s="6">
        <v>45</v>
      </c>
      <c r="B14" s="7">
        <v>0</v>
      </c>
      <c r="C14" s="7">
        <v>0</v>
      </c>
      <c r="D14" s="7">
        <v>228.8818359375</v>
      </c>
      <c r="E14" s="7">
        <v>0</v>
      </c>
      <c r="F14" s="7">
        <v>228.8818359375</v>
      </c>
    </row>
    <row r="15" spans="1:6" x14ac:dyDescent="0.2">
      <c r="A15" s="6">
        <v>50</v>
      </c>
      <c r="B15" s="7">
        <v>28.6102294921875</v>
      </c>
      <c r="C15" s="7">
        <v>0</v>
      </c>
      <c r="D15" s="7">
        <v>19.073486328125</v>
      </c>
      <c r="E15" s="7">
        <v>0.95367431640625</v>
      </c>
      <c r="F15" s="7">
        <v>48.63739013671875</v>
      </c>
    </row>
    <row r="16" spans="1:6" x14ac:dyDescent="0.2">
      <c r="A16" s="6">
        <v>55</v>
      </c>
      <c r="B16" s="7">
        <v>85.8306884765625</v>
      </c>
      <c r="C16" s="7">
        <v>2.86102294921875</v>
      </c>
      <c r="D16" s="7">
        <v>47.6837158203125</v>
      </c>
      <c r="E16" s="7">
        <v>0.95367431640625</v>
      </c>
      <c r="F16" s="7">
        <v>137.3291015625</v>
      </c>
    </row>
    <row r="17" spans="1:6" x14ac:dyDescent="0.2">
      <c r="A17" s="6">
        <v>60</v>
      </c>
      <c r="B17" s="7">
        <v>28.6102294921875</v>
      </c>
      <c r="C17" s="7">
        <v>0</v>
      </c>
      <c r="D17" s="7">
        <v>38.14697265625</v>
      </c>
      <c r="E17" s="7">
        <v>0</v>
      </c>
      <c r="F17" s="7">
        <v>66.7572021484375</v>
      </c>
    </row>
    <row r="18" spans="1:6" x14ac:dyDescent="0.2">
      <c r="A18" s="6">
        <v>65</v>
      </c>
      <c r="B18" s="7">
        <v>0</v>
      </c>
      <c r="C18" s="7">
        <v>1.9073486328125</v>
      </c>
      <c r="D18" s="7">
        <v>162.1246337890625</v>
      </c>
      <c r="E18" s="7">
        <v>0.95367431640625</v>
      </c>
      <c r="F18" s="7">
        <v>164.98565673828125</v>
      </c>
    </row>
    <row r="19" spans="1:6" x14ac:dyDescent="0.2">
      <c r="A19" s="6">
        <v>70</v>
      </c>
      <c r="B19" s="7">
        <v>57.220458984375</v>
      </c>
      <c r="C19" s="7">
        <v>0</v>
      </c>
      <c r="D19" s="7">
        <v>38.14697265625</v>
      </c>
      <c r="E19" s="7">
        <v>0</v>
      </c>
      <c r="F19" s="7">
        <v>95.367431640625</v>
      </c>
    </row>
    <row r="20" spans="1:6" x14ac:dyDescent="0.2">
      <c r="A20" s="6">
        <v>75</v>
      </c>
      <c r="B20" s="7">
        <v>47.6837158203125</v>
      </c>
      <c r="C20" s="7">
        <v>3.814697265625</v>
      </c>
      <c r="D20" s="7">
        <v>57.220458984375</v>
      </c>
      <c r="E20" s="7">
        <v>0</v>
      </c>
      <c r="F20" s="7">
        <v>108.7188720703125</v>
      </c>
    </row>
    <row r="21" spans="1:6" x14ac:dyDescent="0.2">
      <c r="A21" s="6">
        <v>80</v>
      </c>
      <c r="B21" s="7">
        <v>38.14697265625</v>
      </c>
      <c r="C21" s="7">
        <v>0.95367431640625</v>
      </c>
      <c r="D21" s="7">
        <v>57.220458984375</v>
      </c>
      <c r="E21" s="7">
        <v>9.5367431640625</v>
      </c>
      <c r="F21" s="7">
        <v>105.85784912109375</v>
      </c>
    </row>
    <row r="22" spans="1:6" x14ac:dyDescent="0.2">
      <c r="A22" s="6">
        <v>85</v>
      </c>
      <c r="B22" s="7">
        <v>0</v>
      </c>
      <c r="C22" s="7">
        <v>9.5367431640625</v>
      </c>
      <c r="D22" s="7">
        <v>190.73486328125</v>
      </c>
      <c r="E22" s="7">
        <v>0.95367431640625</v>
      </c>
      <c r="F22" s="7">
        <v>201.22528076171875</v>
      </c>
    </row>
    <row r="23" spans="1:6" x14ac:dyDescent="0.2">
      <c r="A23" s="6">
        <v>90</v>
      </c>
      <c r="B23" s="7">
        <v>57.220458984375</v>
      </c>
      <c r="C23" s="7">
        <v>0</v>
      </c>
      <c r="D23" s="7">
        <v>0</v>
      </c>
      <c r="E23" s="7">
        <v>0</v>
      </c>
      <c r="F23" s="7">
        <v>57.220458984375</v>
      </c>
    </row>
    <row r="24" spans="1:6" x14ac:dyDescent="0.2">
      <c r="A24" s="6">
        <v>95</v>
      </c>
      <c r="B24" s="7">
        <v>57.220458984375</v>
      </c>
      <c r="C24" s="7">
        <v>0</v>
      </c>
      <c r="D24" s="7">
        <v>57.220458984375</v>
      </c>
      <c r="E24" s="7">
        <v>0.95367431640625</v>
      </c>
      <c r="F24" s="7">
        <v>115.39459228515625</v>
      </c>
    </row>
    <row r="25" spans="1:6" x14ac:dyDescent="0.2">
      <c r="A25" s="6">
        <v>100</v>
      </c>
      <c r="B25" s="7">
        <v>28.6102294921875</v>
      </c>
      <c r="C25" s="7">
        <v>0</v>
      </c>
      <c r="D25" s="7">
        <v>152.587890625</v>
      </c>
      <c r="E25" s="7">
        <v>0</v>
      </c>
      <c r="F25" s="7">
        <v>181.1981201171875</v>
      </c>
    </row>
    <row r="26" spans="1:6" x14ac:dyDescent="0.2">
      <c r="A26" s="6">
        <v>105</v>
      </c>
      <c r="B26" s="7">
        <v>0</v>
      </c>
      <c r="C26" s="7">
        <v>0</v>
      </c>
      <c r="D26" s="7">
        <v>104.9041748046875</v>
      </c>
      <c r="E26" s="7">
        <v>0.95367431640625</v>
      </c>
      <c r="F26" s="7">
        <v>105.85784912109375</v>
      </c>
    </row>
    <row r="27" spans="1:6" x14ac:dyDescent="0.2">
      <c r="A27" s="6">
        <v>110</v>
      </c>
      <c r="B27" s="7">
        <v>66.7572021484375</v>
      </c>
      <c r="C27" s="7">
        <v>0</v>
      </c>
      <c r="D27" s="7">
        <v>0</v>
      </c>
      <c r="E27" s="7">
        <v>0</v>
      </c>
      <c r="F27" s="7">
        <v>66.7572021484375</v>
      </c>
    </row>
    <row r="28" spans="1:6" x14ac:dyDescent="0.2">
      <c r="A28" s="6">
        <v>115</v>
      </c>
      <c r="B28" s="7">
        <v>66.7572021484375</v>
      </c>
      <c r="C28" s="7">
        <v>5.7220458984375</v>
      </c>
      <c r="D28" s="7">
        <v>76.2939453125</v>
      </c>
      <c r="E28" s="7">
        <v>0.95367431640625</v>
      </c>
      <c r="F28" s="7">
        <v>149.72686767578125</v>
      </c>
    </row>
    <row r="29" spans="1:6" x14ac:dyDescent="0.2">
      <c r="A29" s="6">
        <v>120</v>
      </c>
      <c r="B29" s="7">
        <v>0</v>
      </c>
      <c r="C29" s="7">
        <v>0</v>
      </c>
      <c r="D29" s="7">
        <v>123.9776611328125</v>
      </c>
      <c r="E29" s="7">
        <v>0.95367431640625</v>
      </c>
      <c r="F29" s="7">
        <v>124.93133544921875</v>
      </c>
    </row>
    <row r="30" spans="1:6" x14ac:dyDescent="0.2">
      <c r="A30" s="6">
        <v>125</v>
      </c>
      <c r="B30" s="7">
        <v>76.2939453125</v>
      </c>
      <c r="C30" s="7">
        <v>0</v>
      </c>
      <c r="D30" s="7">
        <v>19.073486328125</v>
      </c>
      <c r="E30" s="7">
        <v>0</v>
      </c>
      <c r="F30" s="7">
        <v>95.367431640625</v>
      </c>
    </row>
    <row r="31" spans="1:6" x14ac:dyDescent="0.2">
      <c r="A31" s="6">
        <v>130</v>
      </c>
      <c r="B31" s="7">
        <v>76.2939453125</v>
      </c>
      <c r="C31" s="7">
        <v>0</v>
      </c>
      <c r="D31" s="7">
        <v>38.14697265625</v>
      </c>
      <c r="E31" s="7">
        <v>0.95367431640625</v>
      </c>
      <c r="F31" s="7">
        <v>115.39459228515625</v>
      </c>
    </row>
    <row r="32" spans="1:6" x14ac:dyDescent="0.2">
      <c r="A32" s="6">
        <v>135</v>
      </c>
      <c r="B32" s="7">
        <v>19.073486328125</v>
      </c>
      <c r="C32" s="7">
        <v>0</v>
      </c>
      <c r="D32" s="7">
        <v>123.9776611328125</v>
      </c>
      <c r="E32" s="7">
        <v>0</v>
      </c>
      <c r="F32" s="7">
        <v>143.0511474609375</v>
      </c>
    </row>
    <row r="33" spans="1:6" x14ac:dyDescent="0.2">
      <c r="A33" s="6">
        <v>140</v>
      </c>
      <c r="B33" s="7">
        <v>0</v>
      </c>
      <c r="C33" s="7">
        <v>0</v>
      </c>
      <c r="D33" s="7">
        <v>123.9776611328125</v>
      </c>
      <c r="E33" s="7">
        <v>0.95367431640625</v>
      </c>
      <c r="F33" s="7">
        <v>124.93133544921875</v>
      </c>
    </row>
    <row r="34" spans="1:6" x14ac:dyDescent="0.2">
      <c r="A34" s="6">
        <v>145</v>
      </c>
      <c r="B34" s="7">
        <v>76.2939453125</v>
      </c>
      <c r="C34" s="7">
        <v>0</v>
      </c>
      <c r="D34" s="7">
        <v>9.5367431640625</v>
      </c>
      <c r="E34" s="7">
        <v>0</v>
      </c>
      <c r="F34" s="7">
        <v>85.8306884765625</v>
      </c>
    </row>
    <row r="35" spans="1:6" x14ac:dyDescent="0.2">
      <c r="A35" s="6">
        <v>150</v>
      </c>
      <c r="B35" s="7">
        <v>76.2939453125</v>
      </c>
      <c r="C35" s="7">
        <v>0</v>
      </c>
      <c r="D35" s="7">
        <v>133.514404296875</v>
      </c>
      <c r="E35" s="7">
        <v>0.95367431640625</v>
      </c>
      <c r="F35" s="7">
        <v>210.76202392578125</v>
      </c>
    </row>
    <row r="36" spans="1:6" x14ac:dyDescent="0.2">
      <c r="A36" s="6">
        <v>155</v>
      </c>
      <c r="B36" s="7">
        <v>0</v>
      </c>
      <c r="C36" s="7">
        <v>0</v>
      </c>
      <c r="D36" s="7">
        <v>143.0511474609375</v>
      </c>
      <c r="E36" s="7">
        <v>0</v>
      </c>
      <c r="F36" s="7">
        <v>143.0511474609375</v>
      </c>
    </row>
    <row r="37" spans="1:6" x14ac:dyDescent="0.2">
      <c r="A37" s="6">
        <v>160</v>
      </c>
      <c r="B37" s="7">
        <v>9.5367431640625</v>
      </c>
      <c r="C37" s="7">
        <v>0</v>
      </c>
      <c r="D37" s="7">
        <v>1811.981201171875</v>
      </c>
      <c r="E37" s="7">
        <v>0</v>
      </c>
      <c r="F37" s="7">
        <v>1821.5179443359375</v>
      </c>
    </row>
    <row r="38" spans="1:6" x14ac:dyDescent="0.2">
      <c r="A38" s="6">
        <v>165</v>
      </c>
      <c r="B38" s="7">
        <v>0</v>
      </c>
      <c r="C38" s="7">
        <v>0</v>
      </c>
      <c r="D38" s="7">
        <v>143.0511474609375</v>
      </c>
      <c r="E38" s="7">
        <v>0.95367431640625</v>
      </c>
      <c r="F38" s="7">
        <v>144.00482177734375</v>
      </c>
    </row>
    <row r="39" spans="1:6" x14ac:dyDescent="0.2">
      <c r="A39" s="6">
        <v>170</v>
      </c>
      <c r="B39" s="7">
        <v>9.5367431640625</v>
      </c>
      <c r="C39" s="7">
        <v>0</v>
      </c>
      <c r="D39" s="7">
        <v>257.4920654296875</v>
      </c>
      <c r="E39" s="7">
        <v>0</v>
      </c>
      <c r="F39" s="7">
        <v>267.02880859375</v>
      </c>
    </row>
    <row r="40" spans="1:6" x14ac:dyDescent="0.2">
      <c r="A40" s="6">
        <v>175</v>
      </c>
      <c r="B40" s="7">
        <v>0</v>
      </c>
      <c r="C40" s="7">
        <v>0</v>
      </c>
      <c r="D40" s="7">
        <v>295.6390380859375</v>
      </c>
      <c r="E40" s="7">
        <v>0.95367431640625</v>
      </c>
      <c r="F40" s="7">
        <v>296.59271240234375</v>
      </c>
    </row>
    <row r="41" spans="1:6" x14ac:dyDescent="0.2">
      <c r="A41" s="6">
        <v>180</v>
      </c>
      <c r="B41" s="7">
        <v>38.14697265625</v>
      </c>
      <c r="C41" s="7">
        <v>9.5367431640625</v>
      </c>
      <c r="D41" s="7">
        <v>85.8306884765625</v>
      </c>
      <c r="E41" s="7">
        <v>0.95367431640625</v>
      </c>
      <c r="F41" s="7">
        <v>134.46807861328125</v>
      </c>
    </row>
    <row r="42" spans="1:6" x14ac:dyDescent="0.2">
      <c r="A42" s="6">
        <v>185</v>
      </c>
      <c r="B42" s="7">
        <v>0</v>
      </c>
      <c r="C42" s="7">
        <v>0</v>
      </c>
      <c r="D42" s="7">
        <v>47.6837158203125</v>
      </c>
      <c r="E42" s="7">
        <v>3.814697265625</v>
      </c>
      <c r="F42" s="7">
        <v>51.4984130859375</v>
      </c>
    </row>
    <row r="43" spans="1:6" x14ac:dyDescent="0.2">
      <c r="A43" s="6">
        <v>190</v>
      </c>
      <c r="B43" s="7">
        <v>9.5367431640625</v>
      </c>
      <c r="C43" s="7">
        <v>0</v>
      </c>
      <c r="D43" s="7">
        <v>9.5367431640625</v>
      </c>
      <c r="E43" s="7">
        <v>0.95367431640625</v>
      </c>
      <c r="F43" s="7">
        <v>20.02716064453125</v>
      </c>
    </row>
    <row r="44" spans="1:6" x14ac:dyDescent="0.2">
      <c r="A44" s="6">
        <v>195</v>
      </c>
      <c r="B44" s="7">
        <v>0</v>
      </c>
      <c r="C44" s="7">
        <v>0</v>
      </c>
      <c r="D44" s="7">
        <v>0</v>
      </c>
      <c r="E44" s="7">
        <v>0</v>
      </c>
      <c r="F44" s="7">
        <v>0</v>
      </c>
    </row>
    <row r="45" spans="1:6" x14ac:dyDescent="0.2">
      <c r="A45" s="6">
        <v>200</v>
      </c>
      <c r="B45" s="7">
        <v>9.5367431640625</v>
      </c>
      <c r="C45" s="7">
        <v>0</v>
      </c>
      <c r="D45" s="7">
        <v>9.5367431640625</v>
      </c>
      <c r="E45" s="7">
        <v>0</v>
      </c>
      <c r="F45" s="7">
        <v>19.073486328125</v>
      </c>
    </row>
    <row r="46" spans="1:6" x14ac:dyDescent="0.2">
      <c r="A46" s="6" t="s">
        <v>230</v>
      </c>
      <c r="B46" s="7">
        <v>1335.14404296875</v>
      </c>
      <c r="C46" s="7">
        <v>53.40576171875</v>
      </c>
      <c r="D46" s="7">
        <v>4968.6431884765625</v>
      </c>
      <c r="E46" s="7">
        <v>40.0543212890625</v>
      </c>
      <c r="F46" s="7">
        <v>6397.247314453125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9E116-ED69-A448-86F6-4410D689DE8F}">
  <dimension ref="A1:F27"/>
  <sheetViews>
    <sheetView topLeftCell="B1" workbookViewId="0">
      <selection activeCell="L29" sqref="L29"/>
    </sheetView>
  </sheetViews>
  <sheetFormatPr baseColWidth="10" defaultRowHeight="16" x14ac:dyDescent="0.2"/>
  <cols>
    <col min="1" max="1" width="24.5" bestFit="1" customWidth="1"/>
    <col min="2" max="2" width="23" bestFit="1" customWidth="1"/>
    <col min="3" max="3" width="9.83203125" bestFit="1" customWidth="1"/>
    <col min="4" max="4" width="12.5" bestFit="1" customWidth="1"/>
    <col min="5" max="5" width="15.5" bestFit="1" customWidth="1"/>
  </cols>
  <sheetData>
    <row r="1" spans="1:6" x14ac:dyDescent="0.2">
      <c r="A1" s="5" t="s">
        <v>0</v>
      </c>
      <c r="B1" t="s">
        <v>182</v>
      </c>
    </row>
    <row r="3" spans="1:6" x14ac:dyDescent="0.2">
      <c r="A3" s="5" t="s">
        <v>233</v>
      </c>
      <c r="B3" s="5" t="s">
        <v>229</v>
      </c>
    </row>
    <row r="4" spans="1:6" x14ac:dyDescent="0.2">
      <c r="A4" s="5" t="s">
        <v>231</v>
      </c>
      <c r="B4" t="s">
        <v>15</v>
      </c>
      <c r="C4" t="s">
        <v>13</v>
      </c>
      <c r="D4" t="s">
        <v>19</v>
      </c>
      <c r="E4" t="s">
        <v>17</v>
      </c>
      <c r="F4" t="s">
        <v>230</v>
      </c>
    </row>
    <row r="5" spans="1:6" x14ac:dyDescent="0.2">
      <c r="A5" s="6">
        <v>0</v>
      </c>
      <c r="B5" s="7">
        <v>0</v>
      </c>
      <c r="C5" s="7">
        <v>0</v>
      </c>
      <c r="D5" s="7">
        <v>0</v>
      </c>
      <c r="E5" s="7">
        <v>0</v>
      </c>
      <c r="F5" s="7">
        <v>0</v>
      </c>
    </row>
    <row r="6" spans="1:6" x14ac:dyDescent="0.2">
      <c r="A6" s="6">
        <v>5</v>
      </c>
      <c r="B6" s="7">
        <v>0</v>
      </c>
      <c r="C6" s="7">
        <v>0</v>
      </c>
      <c r="D6" s="7">
        <v>0</v>
      </c>
      <c r="E6" s="7">
        <v>2.86102294921875</v>
      </c>
      <c r="F6" s="7">
        <v>2.86102294921875</v>
      </c>
    </row>
    <row r="7" spans="1:6" x14ac:dyDescent="0.2">
      <c r="A7" s="6">
        <v>10</v>
      </c>
      <c r="B7" s="7">
        <v>9.5367431640625</v>
      </c>
      <c r="C7" s="7">
        <v>20.9808349609375</v>
      </c>
      <c r="D7" s="7">
        <v>104.9041748046875</v>
      </c>
      <c r="E7" s="7">
        <v>3.814697265625</v>
      </c>
      <c r="F7" s="7">
        <v>139.2364501953125</v>
      </c>
    </row>
    <row r="8" spans="1:6" x14ac:dyDescent="0.2">
      <c r="A8" s="6">
        <v>15</v>
      </c>
      <c r="B8" s="7">
        <v>57.220458984375</v>
      </c>
      <c r="C8" s="7">
        <v>0</v>
      </c>
      <c r="D8" s="7">
        <v>0</v>
      </c>
      <c r="E8" s="7">
        <v>0</v>
      </c>
      <c r="F8" s="7">
        <v>57.220458984375</v>
      </c>
    </row>
    <row r="9" spans="1:6" x14ac:dyDescent="0.2">
      <c r="A9" s="6">
        <v>20</v>
      </c>
      <c r="B9" s="7">
        <v>47.6837158203125</v>
      </c>
      <c r="C9" s="7">
        <v>0</v>
      </c>
      <c r="D9" s="7">
        <v>0</v>
      </c>
      <c r="E9" s="7">
        <v>0</v>
      </c>
      <c r="F9" s="7">
        <v>47.6837158203125</v>
      </c>
    </row>
    <row r="10" spans="1:6" x14ac:dyDescent="0.2">
      <c r="A10" s="6">
        <v>25</v>
      </c>
      <c r="B10" s="7">
        <v>57.220458984375</v>
      </c>
      <c r="C10" s="7">
        <v>0</v>
      </c>
      <c r="D10" s="7">
        <v>104.9041748046875</v>
      </c>
      <c r="E10" s="7">
        <v>0.95367431640625</v>
      </c>
      <c r="F10" s="7">
        <v>163.07830810546875</v>
      </c>
    </row>
    <row r="11" spans="1:6" x14ac:dyDescent="0.2">
      <c r="A11" s="6">
        <v>30</v>
      </c>
      <c r="B11" s="7">
        <v>0</v>
      </c>
      <c r="C11" s="7">
        <v>0</v>
      </c>
      <c r="D11" s="7">
        <v>162.1246337890625</v>
      </c>
      <c r="E11" s="7">
        <v>11.444091796875</v>
      </c>
      <c r="F11" s="7">
        <v>173.5687255859375</v>
      </c>
    </row>
    <row r="12" spans="1:6" x14ac:dyDescent="0.2">
      <c r="A12" s="6">
        <v>35</v>
      </c>
      <c r="B12" s="7">
        <v>57.220458984375</v>
      </c>
      <c r="C12" s="7">
        <v>0</v>
      </c>
      <c r="D12" s="7">
        <v>143.0511474609375</v>
      </c>
      <c r="E12" s="7">
        <v>0</v>
      </c>
      <c r="F12" s="7">
        <v>200.2716064453125</v>
      </c>
    </row>
    <row r="13" spans="1:6" x14ac:dyDescent="0.2">
      <c r="A13" s="6">
        <v>40</v>
      </c>
      <c r="B13" s="7">
        <v>47.6837158203125</v>
      </c>
      <c r="C13" s="7">
        <v>0</v>
      </c>
      <c r="D13" s="7">
        <v>0</v>
      </c>
      <c r="E13" s="7">
        <v>0</v>
      </c>
      <c r="F13" s="7">
        <v>47.6837158203125</v>
      </c>
    </row>
    <row r="14" spans="1:6" x14ac:dyDescent="0.2">
      <c r="A14" s="6">
        <v>45</v>
      </c>
      <c r="B14" s="7">
        <v>38.14697265625</v>
      </c>
      <c r="C14" s="7">
        <v>0</v>
      </c>
      <c r="D14" s="7">
        <v>0</v>
      </c>
      <c r="E14" s="7">
        <v>0</v>
      </c>
      <c r="F14" s="7">
        <v>38.14697265625</v>
      </c>
    </row>
    <row r="15" spans="1:6" x14ac:dyDescent="0.2">
      <c r="A15" s="6">
        <v>50</v>
      </c>
      <c r="B15" s="7">
        <v>0</v>
      </c>
      <c r="C15" s="7">
        <v>0</v>
      </c>
      <c r="D15" s="7">
        <v>257.4920654296875</v>
      </c>
      <c r="E15" s="7">
        <v>0</v>
      </c>
      <c r="F15" s="7">
        <v>257.4920654296875</v>
      </c>
    </row>
    <row r="16" spans="1:6" x14ac:dyDescent="0.2">
      <c r="A16" s="6">
        <v>55</v>
      </c>
      <c r="B16" s="7">
        <v>57.220458984375</v>
      </c>
      <c r="C16" s="7">
        <v>0</v>
      </c>
      <c r="D16" s="7">
        <v>19.073486328125</v>
      </c>
      <c r="E16" s="7">
        <v>0</v>
      </c>
      <c r="F16" s="7">
        <v>76.2939453125</v>
      </c>
    </row>
    <row r="17" spans="1:6" x14ac:dyDescent="0.2">
      <c r="A17" s="6">
        <v>60</v>
      </c>
      <c r="B17" s="7">
        <v>47.6837158203125</v>
      </c>
      <c r="C17" s="7">
        <v>0</v>
      </c>
      <c r="D17" s="7">
        <v>95.367431640625</v>
      </c>
      <c r="E17" s="7">
        <v>0.95367431640625</v>
      </c>
      <c r="F17" s="7">
        <v>144.00482177734375</v>
      </c>
    </row>
    <row r="18" spans="1:6" x14ac:dyDescent="0.2">
      <c r="A18" s="6">
        <v>65</v>
      </c>
      <c r="B18" s="7">
        <v>28.6102294921875</v>
      </c>
      <c r="C18" s="7">
        <v>0</v>
      </c>
      <c r="D18" s="7">
        <v>95.367431640625</v>
      </c>
      <c r="E18" s="7">
        <v>0</v>
      </c>
      <c r="F18" s="7">
        <v>123.9776611328125</v>
      </c>
    </row>
    <row r="19" spans="1:6" x14ac:dyDescent="0.2">
      <c r="A19" s="6">
        <v>70</v>
      </c>
      <c r="B19" s="7">
        <v>0</v>
      </c>
      <c r="C19" s="7">
        <v>0</v>
      </c>
      <c r="D19" s="7">
        <v>143.0511474609375</v>
      </c>
      <c r="E19" s="7">
        <v>0.95367431640625</v>
      </c>
      <c r="F19" s="7">
        <v>144.00482177734375</v>
      </c>
    </row>
    <row r="20" spans="1:6" x14ac:dyDescent="0.2">
      <c r="A20" s="6">
        <v>75</v>
      </c>
      <c r="B20" s="7">
        <v>19.073486328125</v>
      </c>
      <c r="C20" s="7">
        <v>9.5367431640625</v>
      </c>
      <c r="D20" s="7">
        <v>9.5367431640625</v>
      </c>
      <c r="E20" s="7">
        <v>0</v>
      </c>
      <c r="F20" s="7">
        <v>38.14697265625</v>
      </c>
    </row>
    <row r="21" spans="1:6" x14ac:dyDescent="0.2">
      <c r="A21" s="6">
        <v>80</v>
      </c>
      <c r="B21" s="7">
        <v>19.073486328125</v>
      </c>
      <c r="C21" s="7">
        <v>0</v>
      </c>
      <c r="D21" s="7">
        <v>715.2557373046875</v>
      </c>
      <c r="E21" s="7">
        <v>0</v>
      </c>
      <c r="F21" s="7">
        <v>734.3292236328125</v>
      </c>
    </row>
    <row r="22" spans="1:6" x14ac:dyDescent="0.2">
      <c r="A22" s="6">
        <v>85</v>
      </c>
      <c r="B22" s="7">
        <v>9.5367431640625</v>
      </c>
      <c r="C22" s="7">
        <v>0.95367431640625</v>
      </c>
      <c r="D22" s="7">
        <v>104.9041748046875</v>
      </c>
      <c r="E22" s="7">
        <v>10.49041748046875</v>
      </c>
      <c r="F22" s="7">
        <v>125.885009765625</v>
      </c>
    </row>
    <row r="23" spans="1:6" x14ac:dyDescent="0.2">
      <c r="A23" s="6">
        <v>90</v>
      </c>
      <c r="B23" s="7">
        <v>9.5367431640625</v>
      </c>
      <c r="C23" s="7">
        <v>0</v>
      </c>
      <c r="D23" s="7">
        <v>38.14697265625</v>
      </c>
      <c r="E23" s="7">
        <v>0.95367431640625</v>
      </c>
      <c r="F23" s="7">
        <v>48.63739013671875</v>
      </c>
    </row>
    <row r="24" spans="1:6" x14ac:dyDescent="0.2">
      <c r="A24" s="6">
        <v>95</v>
      </c>
      <c r="B24" s="7">
        <v>0</v>
      </c>
      <c r="C24" s="7">
        <v>0</v>
      </c>
      <c r="D24" s="7">
        <v>19.073486328125</v>
      </c>
      <c r="E24" s="7">
        <v>0.95367431640625</v>
      </c>
      <c r="F24" s="7">
        <v>20.02716064453125</v>
      </c>
    </row>
    <row r="25" spans="1:6" x14ac:dyDescent="0.2">
      <c r="A25" s="6">
        <v>100</v>
      </c>
      <c r="B25" s="7">
        <v>0</v>
      </c>
      <c r="C25" s="7">
        <v>0</v>
      </c>
      <c r="D25" s="7">
        <v>9.5367431640625</v>
      </c>
      <c r="E25" s="7">
        <v>1.9073486328125</v>
      </c>
      <c r="F25" s="7">
        <v>11.444091796875</v>
      </c>
    </row>
    <row r="26" spans="1:6" x14ac:dyDescent="0.2">
      <c r="A26" s="6">
        <v>105</v>
      </c>
      <c r="B26" s="7">
        <v>9.5367431640625</v>
      </c>
      <c r="C26" s="7">
        <v>0</v>
      </c>
      <c r="D26" s="7">
        <v>0</v>
      </c>
      <c r="E26" s="7">
        <v>0</v>
      </c>
      <c r="F26" s="7">
        <v>9.5367431640625</v>
      </c>
    </row>
    <row r="27" spans="1:6" x14ac:dyDescent="0.2">
      <c r="A27" s="6" t="s">
        <v>230</v>
      </c>
      <c r="B27" s="7">
        <v>514.984130859375</v>
      </c>
      <c r="C27" s="7">
        <v>31.47125244140625</v>
      </c>
      <c r="D27" s="7">
        <v>2021.78955078125</v>
      </c>
      <c r="E27" s="7">
        <v>35.28594970703125</v>
      </c>
      <c r="F27" s="7">
        <v>2603.5308837890625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AC9E-BAAB-4741-B6EA-5A4001D4301B}">
  <dimension ref="A1"/>
  <sheetViews>
    <sheetView tabSelected="1" workbookViewId="0">
      <selection activeCell="K22" sqref="K22"/>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hadoop memoery</vt:lpstr>
      <vt:lpstr>Sheet2</vt:lpstr>
      <vt:lpstr>Sheet2 (2)</vt:lpstr>
      <vt:lpstr>Sheet2 (3)</vt:lpstr>
      <vt:lpstr>Sheet2 (4)</vt:lpstr>
      <vt:lpstr>Sheet2 (5)</vt:lpstr>
      <vt:lpstr>Sheet2 (6)</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WEERASINGHE P D L L</cp:lastModifiedBy>
  <dcterms:modified xsi:type="dcterms:W3CDTF">2025-12-31T07:58:14Z</dcterms:modified>
</cp:coreProperties>
</file>