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lolitha/Downloads/"/>
    </mc:Choice>
  </mc:AlternateContent>
  <xr:revisionPtr revIDLastSave="0" documentId="13_ncr:1_{B2A4CE9D-D36E-C040-91D1-0A6D27080549}" xr6:coauthVersionLast="47" xr6:coauthVersionMax="47" xr10:uidLastSave="{00000000-0000-0000-0000-000000000000}"/>
  <bookViews>
    <workbookView xWindow="-20" yWindow="640" windowWidth="28800" windowHeight="16240" xr2:uid="{00000000-000D-0000-FFFF-FFFF00000000}"/>
  </bookViews>
  <sheets>
    <sheet name="Spark" sheetId="1" r:id="rId1"/>
    <sheet name="Sheet1" sheetId="2" r:id="rId2"/>
    <sheet name="Email-EuAll" sheetId="3" r:id="rId3"/>
    <sheet name="cit-Patents" sheetId="4" r:id="rId4"/>
    <sheet name="soc-pokec-relationships" sheetId="5" r:id="rId5"/>
    <sheet name="soc-LiveJournal1" sheetId="6" r:id="rId6"/>
    <sheet name="Sheet7" sheetId="8" r:id="rId7"/>
    <sheet name="Sheet1 (6)" sheetId="7" r:id="rId8"/>
  </sheets>
  <definedNames>
    <definedName name="Slicer_dataset">#N/A</definedName>
    <definedName name="Slicer_dataset1">#N/A</definedName>
    <definedName name="Slicer_dataset11">#N/A</definedName>
    <definedName name="Slicer_dataset111">#N/A</definedName>
    <definedName name="Slicer_dataset1111">#N/A</definedName>
    <definedName name="Slicer_dataset11111">#N/A</definedName>
  </definedNames>
  <calcPr calcId="191029"/>
  <pivotCaches>
    <pivotCache cacheId="24"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1" l="1"/>
  <c r="J11" i="1"/>
  <c r="J9" i="1"/>
  <c r="F25" i="1"/>
  <c r="E25" i="1"/>
  <c r="G25" i="1" s="1"/>
  <c r="F24" i="1"/>
  <c r="E24" i="1"/>
  <c r="G24" i="1" s="1"/>
  <c r="F23" i="1"/>
  <c r="G23" i="1" s="1"/>
  <c r="E23" i="1"/>
  <c r="F22" i="1"/>
  <c r="E22" i="1"/>
  <c r="G22" i="1" s="1"/>
  <c r="F21" i="1"/>
  <c r="E21" i="1"/>
  <c r="G21" i="1" s="1"/>
  <c r="H20" i="1"/>
  <c r="K20" i="1" s="1"/>
  <c r="F20" i="1"/>
  <c r="E20" i="1"/>
  <c r="G20" i="1" s="1"/>
  <c r="F19" i="1"/>
  <c r="E19" i="1"/>
  <c r="G19" i="1" s="1"/>
  <c r="F18" i="1"/>
  <c r="G18" i="1" s="1"/>
  <c r="E18" i="1"/>
  <c r="F17" i="1"/>
  <c r="E17" i="1"/>
  <c r="G17" i="1" s="1"/>
  <c r="F16" i="1"/>
  <c r="E16" i="1"/>
  <c r="G16" i="1" s="1"/>
  <c r="G15" i="1"/>
  <c r="F15" i="1"/>
  <c r="E15" i="1"/>
  <c r="F14" i="1"/>
  <c r="G14" i="1" s="1"/>
  <c r="E14" i="1"/>
  <c r="F13" i="1"/>
  <c r="E13" i="1"/>
  <c r="G13" i="1" s="1"/>
  <c r="F12" i="1"/>
  <c r="E12" i="1"/>
  <c r="G12" i="1" s="1"/>
  <c r="F11" i="1"/>
  <c r="E11" i="1"/>
  <c r="G11" i="1" s="1"/>
  <c r="H10" i="1"/>
  <c r="K10" i="1" s="1"/>
  <c r="G10" i="1"/>
  <c r="F10" i="1"/>
  <c r="E10" i="1"/>
  <c r="F9" i="1"/>
  <c r="E9" i="1"/>
  <c r="G9" i="1" s="1"/>
  <c r="F8" i="1"/>
  <c r="G8" i="1" s="1"/>
  <c r="E8" i="1"/>
  <c r="F7" i="1"/>
  <c r="E7" i="1"/>
  <c r="G7" i="1" s="1"/>
  <c r="F6" i="1"/>
  <c r="G6" i="1" s="1"/>
  <c r="E6" i="1"/>
  <c r="F5" i="1"/>
  <c r="E5" i="1"/>
  <c r="G5" i="1" s="1"/>
  <c r="H4" i="1"/>
  <c r="F4" i="1"/>
  <c r="G4" i="1" s="1"/>
  <c r="E4" i="1"/>
  <c r="F3" i="1"/>
  <c r="E3" i="1"/>
  <c r="G3" i="1" s="1"/>
  <c r="H2" i="1"/>
  <c r="F2" i="1"/>
  <c r="E2" i="1"/>
  <c r="G2" i="1" s="1"/>
  <c r="L2" i="1" s="1"/>
  <c r="K2" i="1" l="1"/>
  <c r="J2" i="1"/>
  <c r="I2" i="1"/>
  <c r="K4" i="1"/>
  <c r="J4" i="1"/>
  <c r="I4" i="1"/>
  <c r="H3" i="1"/>
  <c r="L3" i="1" s="1"/>
  <c r="H5" i="1"/>
  <c r="H11" i="1"/>
  <c r="H21" i="1"/>
  <c r="I10" i="1"/>
  <c r="I20" i="1"/>
  <c r="J20" i="1"/>
  <c r="K5" i="1" l="1"/>
  <c r="J5" i="1"/>
  <c r="I5" i="1"/>
  <c r="H6" i="1"/>
  <c r="K11" i="1"/>
  <c r="I11" i="1"/>
  <c r="H12" i="1"/>
  <c r="K3" i="1"/>
  <c r="J3" i="1"/>
  <c r="I3" i="1"/>
  <c r="K21" i="1"/>
  <c r="J21" i="1"/>
  <c r="I21" i="1"/>
  <c r="H22" i="1"/>
  <c r="H23" i="1" l="1"/>
  <c r="H7" i="1"/>
  <c r="H13" i="1"/>
  <c r="H8" i="1" l="1"/>
  <c r="H24" i="1"/>
  <c r="H14" i="1"/>
  <c r="K24" i="1" l="1"/>
  <c r="J24" i="1"/>
  <c r="I24" i="1"/>
  <c r="H25" i="1"/>
  <c r="K22" i="1"/>
  <c r="L22" i="1"/>
  <c r="L20" i="1"/>
  <c r="J22" i="1"/>
  <c r="L24" i="1"/>
  <c r="I22" i="1"/>
  <c r="K8" i="1"/>
  <c r="J8" i="1"/>
  <c r="I8" i="1"/>
  <c r="H9" i="1"/>
  <c r="J6" i="1"/>
  <c r="L6" i="1"/>
  <c r="I6" i="1"/>
  <c r="L4" i="1"/>
  <c r="L8" i="1"/>
  <c r="K6" i="1"/>
  <c r="H15" i="1"/>
  <c r="K25" i="1" l="1"/>
  <c r="J25" i="1"/>
  <c r="I25" i="1"/>
  <c r="K23" i="1"/>
  <c r="L25" i="1"/>
  <c r="L23" i="1"/>
  <c r="J23" i="1"/>
  <c r="I23" i="1"/>
  <c r="L21" i="1"/>
  <c r="H16" i="1"/>
  <c r="K9" i="1"/>
  <c r="I9" i="1"/>
  <c r="K7" i="1"/>
  <c r="L7" i="1"/>
  <c r="J7" i="1"/>
  <c r="I7" i="1"/>
  <c r="L5" i="1"/>
  <c r="L9" i="1"/>
  <c r="H17" i="1" l="1"/>
  <c r="H18" i="1" l="1"/>
  <c r="K18" i="1" l="1"/>
  <c r="J18" i="1"/>
  <c r="I18" i="1"/>
  <c r="H19" i="1"/>
  <c r="K16" i="1"/>
  <c r="J12" i="1"/>
  <c r="J14" i="1"/>
  <c r="K14" i="1"/>
  <c r="J16" i="1"/>
  <c r="I12" i="1"/>
  <c r="I16" i="1"/>
  <c r="K12" i="1"/>
  <c r="I14" i="1"/>
  <c r="K19" i="1" l="1"/>
  <c r="J19" i="1"/>
  <c r="I19" i="1"/>
  <c r="L19" i="1"/>
  <c r="L15" i="1"/>
  <c r="L13" i="1"/>
  <c r="L18" i="1"/>
  <c r="L12" i="1"/>
  <c r="L10" i="1"/>
  <c r="L16" i="1"/>
  <c r="L14" i="1"/>
  <c r="K17" i="1"/>
  <c r="K15" i="1"/>
  <c r="L11" i="1"/>
  <c r="J15" i="1"/>
  <c r="J17" i="1"/>
  <c r="I15" i="1"/>
  <c r="I13" i="1"/>
  <c r="I17" i="1"/>
  <c r="L17" i="1"/>
  <c r="K13" i="1"/>
  <c r="J13" i="1"/>
</calcChain>
</file>

<file path=xl/sharedStrings.xml><?xml version="1.0" encoding="utf-8"?>
<sst xmlns="http://schemas.openxmlformats.org/spreadsheetml/2006/main" count="138" uniqueCount="36">
  <si>
    <t>dataset</t>
  </si>
  <si>
    <t>timestamp</t>
  </si>
  <si>
    <t>container</t>
  </si>
  <si>
    <t>blk_io</t>
  </si>
  <si>
    <t>blk_read_mib</t>
  </si>
  <si>
    <t>blk_write_mib</t>
  </si>
  <si>
    <t>blk_total_mib</t>
  </si>
  <si>
    <t>elapsed_s</t>
  </si>
  <si>
    <t>blk_read_mib_delta</t>
  </si>
  <si>
    <t>blk_write_mib_delta</t>
  </si>
  <si>
    <t>blk_total_mib_delta</t>
  </si>
  <si>
    <t>blk_total_mib_job</t>
  </si>
  <si>
    <t>Email-EuAll</t>
  </si>
  <si>
    <t>spark-master</t>
  </si>
  <si>
    <t>65.1MB / 98.3kB</t>
  </si>
  <si>
    <t>spark-worker</t>
  </si>
  <si>
    <t>28.8MB / 65.5kB</t>
  </si>
  <si>
    <t>cit-Patents</t>
  </si>
  <si>
    <t>67.7MB / 950kB</t>
  </si>
  <si>
    <t>29.1MB / 893kB</t>
  </si>
  <si>
    <t>29.1MB / 897kB</t>
  </si>
  <si>
    <t>67.7MB / 1.9MB</t>
  </si>
  <si>
    <t>29.2MB / 60.6MB</t>
  </si>
  <si>
    <t>soc-LiveJournal1</t>
  </si>
  <si>
    <t>67.7MB / 2.04MB</t>
  </si>
  <si>
    <t>67.7MB / 2.84MB</t>
  </si>
  <si>
    <t>29.2MB / 205MB</t>
  </si>
  <si>
    <t>soc-pokec-relationships</t>
  </si>
  <si>
    <t>67.7MB / 2.87MB</t>
  </si>
  <si>
    <t>29.2MB / 206MB</t>
  </si>
  <si>
    <t>67.7MB / 3.02MB</t>
  </si>
  <si>
    <t>29.2MB / 207MB</t>
  </si>
  <si>
    <t>Row Labels</t>
  </si>
  <si>
    <t>Grand Total</t>
  </si>
  <si>
    <t>Column Labels</t>
  </si>
  <si>
    <t>Sum of blk_total_mib_delta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</si>
</sst>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1" fontId="0" fillId="0" borderId="0" xfId="0" applyNumberFormat="1"/>
    <xf numFmtId="0" fontId="0" fillId="0" borderId="0" xfId="0" pivotButton="1"/>
    <xf numFmtId="1"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[spark_disk_formulas_updated.xlsx]Sheet1!PivotTable4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Sheet1!$B$3:$B$4</c:f>
              <c:strCache>
                <c:ptCount val="1"/>
                <c:pt idx="0">
                  <c:v>spark-master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Sheet1!$A$5:$A$8</c:f>
              <c:strCache>
                <c:ptCount val="3"/>
                <c:pt idx="0">
                  <c:v>0</c:v>
                </c:pt>
                <c:pt idx="1">
                  <c:v>5</c:v>
                </c:pt>
                <c:pt idx="2">
                  <c:v>10</c:v>
                </c:pt>
              </c:strCache>
            </c:strRef>
          </c:cat>
          <c:val>
            <c:numRef>
              <c:f>Sheet1!$B$5:$B$8</c:f>
              <c:numCache>
                <c:formatCode>0.000000</c:formatCode>
                <c:ptCount val="3"/>
                <c:pt idx="0">
                  <c:v>0</c:v>
                </c:pt>
                <c:pt idx="1">
                  <c:v>0.1430511474609375</c:v>
                </c:pt>
                <c:pt idx="2">
                  <c:v>0</c:v>
                </c:pt>
              </c:numCache>
            </c:numRef>
          </c:val>
          <c:smooth val="0"/>
          <c:extLst>
            <c:ext xmlns:c16="http://schemas.microsoft.com/office/drawing/2014/chart" uri="{C3380CC4-5D6E-409C-BE32-E72D297353CC}">
              <c16:uniqueId val="{00000000-90B9-E94C-B555-75C5E7A79ED0}"/>
            </c:ext>
          </c:extLst>
        </c:ser>
        <c:ser>
          <c:idx val="1"/>
          <c:order val="1"/>
          <c:tx>
            <c:strRef>
              <c:f>Sheet1!$C$3:$C$4</c:f>
              <c:strCache>
                <c:ptCount val="1"/>
                <c:pt idx="0">
                  <c:v>spark-worker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Sheet1!$A$5:$A$8</c:f>
              <c:strCache>
                <c:ptCount val="3"/>
                <c:pt idx="0">
                  <c:v>0</c:v>
                </c:pt>
                <c:pt idx="1">
                  <c:v>5</c:v>
                </c:pt>
                <c:pt idx="2">
                  <c:v>10</c:v>
                </c:pt>
              </c:strCache>
            </c:strRef>
          </c:cat>
          <c:val>
            <c:numRef>
              <c:f>Sheet1!$C$5:$C$8</c:f>
              <c:numCache>
                <c:formatCode>0.000000</c:formatCode>
                <c:ptCount val="3"/>
                <c:pt idx="0">
                  <c:v>0</c:v>
                </c:pt>
                <c:pt idx="1">
                  <c:v>0</c:v>
                </c:pt>
                <c:pt idx="2">
                  <c:v>0.95367431640625</c:v>
                </c:pt>
              </c:numCache>
            </c:numRef>
          </c:val>
          <c:smooth val="0"/>
          <c:extLst>
            <c:ext xmlns:c16="http://schemas.microsoft.com/office/drawing/2014/chart" uri="{C3380CC4-5D6E-409C-BE32-E72D297353CC}">
              <c16:uniqueId val="{00000001-90B9-E94C-B555-75C5E7A79ED0}"/>
            </c:ext>
          </c:extLst>
        </c:ser>
        <c:dLbls>
          <c:showLegendKey val="0"/>
          <c:showVal val="0"/>
          <c:showCatName val="0"/>
          <c:showSerName val="0"/>
          <c:showPercent val="0"/>
          <c:showBubbleSize val="0"/>
        </c:dLbls>
        <c:marker val="1"/>
        <c:smooth val="0"/>
        <c:axId val="247913919"/>
        <c:axId val="247910335"/>
      </c:lineChart>
      <c:catAx>
        <c:axId val="24791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0335"/>
        <c:crosses val="autoZero"/>
        <c:auto val="1"/>
        <c:lblAlgn val="ctr"/>
        <c:lblOffset val="100"/>
        <c:noMultiLvlLbl val="0"/>
      </c:catAx>
      <c:valAx>
        <c:axId val="247910335"/>
        <c:scaling>
          <c:orientation val="minMax"/>
        </c:scaling>
        <c:delete val="0"/>
        <c:axPos val="l"/>
        <c:majorGridlines>
          <c:spPr>
            <a:ln w="9525" cap="flat" cmpd="sng" algn="ctr">
              <a:solidFill>
                <a:schemeClr val="tx1">
                  <a:lumMod val="15000"/>
                  <a:lumOff val="85000"/>
                </a:schemeClr>
              </a:solidFill>
              <a:round/>
            </a:ln>
            <a:effectLst/>
          </c:spPr>
        </c:majorGridlines>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[spark_disk_formulas_updated.xlsx]Email-EuAll!PivotTable4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Email-EuAll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'Email-EuAll'!$B$3:$B$4</c:f>
              <c:strCache>
                <c:ptCount val="1"/>
                <c:pt idx="0">
                  <c:v>spark-master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'Email-EuAll'!$A$5:$A$6</c:f>
              <c:strCache>
                <c:ptCount val="1"/>
                <c:pt idx="0">
                  <c:v>0</c:v>
                </c:pt>
              </c:strCache>
            </c:strRef>
          </c:cat>
          <c:val>
            <c:numRef>
              <c:f>'Email-EuAll'!$B$5:$B$6</c:f>
              <c:numCache>
                <c:formatCode>0.000000</c:formatCode>
                <c:ptCount val="1"/>
                <c:pt idx="0">
                  <c:v>0</c:v>
                </c:pt>
              </c:numCache>
            </c:numRef>
          </c:val>
          <c:smooth val="0"/>
          <c:extLst>
            <c:ext xmlns:c16="http://schemas.microsoft.com/office/drawing/2014/chart" uri="{C3380CC4-5D6E-409C-BE32-E72D297353CC}">
              <c16:uniqueId val="{00000002-6467-844F-A99C-B808F595F4F5}"/>
            </c:ext>
          </c:extLst>
        </c:ser>
        <c:ser>
          <c:idx val="1"/>
          <c:order val="1"/>
          <c:tx>
            <c:strRef>
              <c:f>'Email-EuAll'!$C$3:$C$4</c:f>
              <c:strCache>
                <c:ptCount val="1"/>
                <c:pt idx="0">
                  <c:v>spark-worker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'Email-EuAll'!$A$5:$A$6</c:f>
              <c:strCache>
                <c:ptCount val="1"/>
                <c:pt idx="0">
                  <c:v>0</c:v>
                </c:pt>
              </c:strCache>
            </c:strRef>
          </c:cat>
          <c:val>
            <c:numRef>
              <c:f>'Email-EuAll'!$C$5:$C$6</c:f>
              <c:numCache>
                <c:formatCode>0.000000</c:formatCode>
                <c:ptCount val="1"/>
                <c:pt idx="0">
                  <c:v>0</c:v>
                </c:pt>
              </c:numCache>
            </c:numRef>
          </c:val>
          <c:smooth val="0"/>
          <c:extLst>
            <c:ext xmlns:c16="http://schemas.microsoft.com/office/drawing/2014/chart" uri="{C3380CC4-5D6E-409C-BE32-E72D297353CC}">
              <c16:uniqueId val="{00000003-6467-844F-A99C-B808F595F4F5}"/>
            </c:ext>
          </c:extLst>
        </c:ser>
        <c:dLbls>
          <c:showLegendKey val="0"/>
          <c:showVal val="0"/>
          <c:showCatName val="0"/>
          <c:showSerName val="0"/>
          <c:showPercent val="0"/>
          <c:showBubbleSize val="0"/>
        </c:dLbls>
        <c:marker val="1"/>
        <c:smooth val="0"/>
        <c:axId val="247913919"/>
        <c:axId val="247910335"/>
      </c:lineChart>
      <c:catAx>
        <c:axId val="24791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0335"/>
        <c:crosses val="autoZero"/>
        <c:auto val="1"/>
        <c:lblAlgn val="ctr"/>
        <c:lblOffset val="100"/>
        <c:noMultiLvlLbl val="0"/>
      </c:catAx>
      <c:valAx>
        <c:axId val="247910335"/>
        <c:scaling>
          <c:orientation val="minMax"/>
        </c:scaling>
        <c:delete val="0"/>
        <c:axPos val="l"/>
        <c:majorGridlines>
          <c:spPr>
            <a:ln w="9525" cap="flat" cmpd="sng" algn="ctr">
              <a:solidFill>
                <a:schemeClr val="tx1">
                  <a:lumMod val="15000"/>
                  <a:lumOff val="85000"/>
                </a:schemeClr>
              </a:solidFill>
              <a:round/>
            </a:ln>
            <a:effectLst/>
          </c:spPr>
        </c:majorGridlines>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3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[spark_disk_formulas_updated.xlsx]cit-Patents!PivotTable4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cit-Patents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'cit-Patents'!$B$3:$B$4</c:f>
              <c:strCache>
                <c:ptCount val="1"/>
                <c:pt idx="0">
                  <c:v>spark-master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'cit-Patents'!$A$5:$A$8</c:f>
              <c:strCache>
                <c:ptCount val="3"/>
                <c:pt idx="0">
                  <c:v>0</c:v>
                </c:pt>
                <c:pt idx="1">
                  <c:v>5</c:v>
                </c:pt>
                <c:pt idx="2">
                  <c:v>10</c:v>
                </c:pt>
              </c:strCache>
            </c:strRef>
          </c:cat>
          <c:val>
            <c:numRef>
              <c:f>'cit-Patents'!$B$5:$B$8</c:f>
              <c:numCache>
                <c:formatCode>0.000000</c:formatCode>
                <c:ptCount val="3"/>
                <c:pt idx="0">
                  <c:v>0</c:v>
                </c:pt>
                <c:pt idx="1">
                  <c:v>0</c:v>
                </c:pt>
                <c:pt idx="2">
                  <c:v>0.9059906005859375</c:v>
                </c:pt>
              </c:numCache>
            </c:numRef>
          </c:val>
          <c:smooth val="0"/>
          <c:extLst>
            <c:ext xmlns:c16="http://schemas.microsoft.com/office/drawing/2014/chart" uri="{C3380CC4-5D6E-409C-BE32-E72D297353CC}">
              <c16:uniqueId val="{00000002-20E1-3F43-92BB-EA6F470035B2}"/>
            </c:ext>
          </c:extLst>
        </c:ser>
        <c:ser>
          <c:idx val="1"/>
          <c:order val="1"/>
          <c:tx>
            <c:strRef>
              <c:f>'cit-Patents'!$C$3:$C$4</c:f>
              <c:strCache>
                <c:ptCount val="1"/>
                <c:pt idx="0">
                  <c:v>spark-worker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'cit-Patents'!$A$5:$A$8</c:f>
              <c:strCache>
                <c:ptCount val="3"/>
                <c:pt idx="0">
                  <c:v>0</c:v>
                </c:pt>
                <c:pt idx="1">
                  <c:v>5</c:v>
                </c:pt>
                <c:pt idx="2">
                  <c:v>10</c:v>
                </c:pt>
              </c:strCache>
            </c:strRef>
          </c:cat>
          <c:val>
            <c:numRef>
              <c:f>'cit-Patents'!$C$5:$C$8</c:f>
              <c:numCache>
                <c:formatCode>0.000000</c:formatCode>
                <c:ptCount val="3"/>
                <c:pt idx="0">
                  <c:v>0</c:v>
                </c:pt>
                <c:pt idx="1">
                  <c:v>3.814697265625E-3</c:v>
                </c:pt>
                <c:pt idx="2">
                  <c:v>57.032585144042969</c:v>
                </c:pt>
              </c:numCache>
            </c:numRef>
          </c:val>
          <c:smooth val="0"/>
          <c:extLst>
            <c:ext xmlns:c16="http://schemas.microsoft.com/office/drawing/2014/chart" uri="{C3380CC4-5D6E-409C-BE32-E72D297353CC}">
              <c16:uniqueId val="{00000003-20E1-3F43-92BB-EA6F470035B2}"/>
            </c:ext>
          </c:extLst>
        </c:ser>
        <c:dLbls>
          <c:showLegendKey val="0"/>
          <c:showVal val="0"/>
          <c:showCatName val="0"/>
          <c:showSerName val="0"/>
          <c:showPercent val="0"/>
          <c:showBubbleSize val="0"/>
        </c:dLbls>
        <c:marker val="1"/>
        <c:smooth val="0"/>
        <c:axId val="247913919"/>
        <c:axId val="247910335"/>
      </c:lineChart>
      <c:catAx>
        <c:axId val="24791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0335"/>
        <c:crosses val="autoZero"/>
        <c:auto val="1"/>
        <c:lblAlgn val="ctr"/>
        <c:lblOffset val="100"/>
        <c:noMultiLvlLbl val="0"/>
      </c:catAx>
      <c:valAx>
        <c:axId val="247910335"/>
        <c:scaling>
          <c:orientation val="minMax"/>
        </c:scaling>
        <c:delete val="0"/>
        <c:axPos val="l"/>
        <c:majorGridlines>
          <c:spPr>
            <a:ln w="9525" cap="flat" cmpd="sng" algn="ctr">
              <a:solidFill>
                <a:schemeClr val="tx1">
                  <a:lumMod val="15000"/>
                  <a:lumOff val="85000"/>
                </a:schemeClr>
              </a:solidFill>
              <a:round/>
            </a:ln>
            <a:effectLst/>
          </c:spPr>
        </c:majorGridlines>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3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[spark_disk_formulas_updated.xlsx]soc-pokec-relationships!PivotTable4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soc-pokec-relationships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'soc-pokec-relationships'!$B$3:$B$4</c:f>
              <c:strCache>
                <c:ptCount val="1"/>
                <c:pt idx="0">
                  <c:v>spark-master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'soc-pokec-relationships'!$A$5:$A$8</c:f>
              <c:strCache>
                <c:ptCount val="3"/>
                <c:pt idx="0">
                  <c:v>0</c:v>
                </c:pt>
                <c:pt idx="1">
                  <c:v>5</c:v>
                </c:pt>
                <c:pt idx="2">
                  <c:v>10</c:v>
                </c:pt>
              </c:strCache>
            </c:strRef>
          </c:cat>
          <c:val>
            <c:numRef>
              <c:f>'soc-pokec-relationships'!$B$5:$B$8</c:f>
              <c:numCache>
                <c:formatCode>0.000000</c:formatCode>
                <c:ptCount val="3"/>
                <c:pt idx="0">
                  <c:v>0</c:v>
                </c:pt>
                <c:pt idx="1">
                  <c:v>0.1430511474609375</c:v>
                </c:pt>
                <c:pt idx="2">
                  <c:v>0</c:v>
                </c:pt>
              </c:numCache>
            </c:numRef>
          </c:val>
          <c:smooth val="0"/>
          <c:extLst>
            <c:ext xmlns:c16="http://schemas.microsoft.com/office/drawing/2014/chart" uri="{C3380CC4-5D6E-409C-BE32-E72D297353CC}">
              <c16:uniqueId val="{00000002-8F70-7F48-924A-F9A301EEEE6A}"/>
            </c:ext>
          </c:extLst>
        </c:ser>
        <c:ser>
          <c:idx val="1"/>
          <c:order val="1"/>
          <c:tx>
            <c:strRef>
              <c:f>'soc-pokec-relationships'!$C$3:$C$4</c:f>
              <c:strCache>
                <c:ptCount val="1"/>
                <c:pt idx="0">
                  <c:v>spark-worker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'soc-pokec-relationships'!$A$5:$A$8</c:f>
              <c:strCache>
                <c:ptCount val="3"/>
                <c:pt idx="0">
                  <c:v>0</c:v>
                </c:pt>
                <c:pt idx="1">
                  <c:v>5</c:v>
                </c:pt>
                <c:pt idx="2">
                  <c:v>10</c:v>
                </c:pt>
              </c:strCache>
            </c:strRef>
          </c:cat>
          <c:val>
            <c:numRef>
              <c:f>'soc-pokec-relationships'!$C$5:$C$8</c:f>
              <c:numCache>
                <c:formatCode>0.000000</c:formatCode>
                <c:ptCount val="3"/>
                <c:pt idx="0">
                  <c:v>0</c:v>
                </c:pt>
                <c:pt idx="1">
                  <c:v>0</c:v>
                </c:pt>
                <c:pt idx="2">
                  <c:v>0.95367431640625</c:v>
                </c:pt>
              </c:numCache>
            </c:numRef>
          </c:val>
          <c:smooth val="0"/>
          <c:extLst>
            <c:ext xmlns:c16="http://schemas.microsoft.com/office/drawing/2014/chart" uri="{C3380CC4-5D6E-409C-BE32-E72D297353CC}">
              <c16:uniqueId val="{00000003-8F70-7F48-924A-F9A301EEEE6A}"/>
            </c:ext>
          </c:extLst>
        </c:ser>
        <c:dLbls>
          <c:showLegendKey val="0"/>
          <c:showVal val="0"/>
          <c:showCatName val="0"/>
          <c:showSerName val="0"/>
          <c:showPercent val="0"/>
          <c:showBubbleSize val="0"/>
        </c:dLbls>
        <c:marker val="1"/>
        <c:smooth val="0"/>
        <c:axId val="247913919"/>
        <c:axId val="247910335"/>
      </c:lineChart>
      <c:catAx>
        <c:axId val="24791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0335"/>
        <c:crosses val="autoZero"/>
        <c:auto val="1"/>
        <c:lblAlgn val="ctr"/>
        <c:lblOffset val="100"/>
        <c:noMultiLvlLbl val="0"/>
      </c:catAx>
      <c:valAx>
        <c:axId val="247910335"/>
        <c:scaling>
          <c:orientation val="minMax"/>
        </c:scaling>
        <c:delete val="0"/>
        <c:axPos val="l"/>
        <c:majorGridlines>
          <c:spPr>
            <a:ln w="9525" cap="flat" cmpd="sng" algn="ctr">
              <a:solidFill>
                <a:schemeClr val="tx1">
                  <a:lumMod val="15000"/>
                  <a:lumOff val="85000"/>
                </a:schemeClr>
              </a:solidFill>
              <a:round/>
            </a:ln>
            <a:effectLst/>
          </c:spPr>
        </c:majorGridlines>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3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[spark_disk_formulas_updated.xlsx]soc-LiveJournal1!PivotTable4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soc-LiveJournal1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'soc-LiveJournal1'!$B$3:$B$4</c:f>
              <c:strCache>
                <c:ptCount val="1"/>
                <c:pt idx="0">
                  <c:v>spark-master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'soc-LiveJournal1'!$A$5:$A$10</c:f>
              <c:strCache>
                <c:ptCount val="5"/>
                <c:pt idx="0">
                  <c:v>0</c:v>
                </c:pt>
                <c:pt idx="1">
                  <c:v>5</c:v>
                </c:pt>
                <c:pt idx="2">
                  <c:v>10</c:v>
                </c:pt>
                <c:pt idx="3">
                  <c:v>15</c:v>
                </c:pt>
                <c:pt idx="4">
                  <c:v>20</c:v>
                </c:pt>
              </c:strCache>
            </c:strRef>
          </c:cat>
          <c:val>
            <c:numRef>
              <c:f>'soc-LiveJournal1'!$B$5:$B$10</c:f>
              <c:numCache>
                <c:formatCode>0.000000</c:formatCode>
                <c:ptCount val="5"/>
                <c:pt idx="0">
                  <c:v>0</c:v>
                </c:pt>
                <c:pt idx="1">
                  <c:v>0</c:v>
                </c:pt>
                <c:pt idx="2">
                  <c:v>0.133514404296875</c:v>
                </c:pt>
                <c:pt idx="3">
                  <c:v>0</c:v>
                </c:pt>
                <c:pt idx="4">
                  <c:v>0.762939453125</c:v>
                </c:pt>
              </c:numCache>
            </c:numRef>
          </c:val>
          <c:smooth val="0"/>
          <c:extLst>
            <c:ext xmlns:c16="http://schemas.microsoft.com/office/drawing/2014/chart" uri="{C3380CC4-5D6E-409C-BE32-E72D297353CC}">
              <c16:uniqueId val="{00000002-C3DE-F042-957C-BDB133BC6362}"/>
            </c:ext>
          </c:extLst>
        </c:ser>
        <c:ser>
          <c:idx val="1"/>
          <c:order val="1"/>
          <c:tx>
            <c:strRef>
              <c:f>'soc-LiveJournal1'!$C$3:$C$4</c:f>
              <c:strCache>
                <c:ptCount val="1"/>
                <c:pt idx="0">
                  <c:v>spark-worker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'soc-LiveJournal1'!$A$5:$A$10</c:f>
              <c:strCache>
                <c:ptCount val="5"/>
                <c:pt idx="0">
                  <c:v>0</c:v>
                </c:pt>
                <c:pt idx="1">
                  <c:v>5</c:v>
                </c:pt>
                <c:pt idx="2">
                  <c:v>10</c:v>
                </c:pt>
                <c:pt idx="3">
                  <c:v>15</c:v>
                </c:pt>
                <c:pt idx="4">
                  <c:v>20</c:v>
                </c:pt>
              </c:strCache>
            </c:strRef>
          </c:cat>
          <c:val>
            <c:numRef>
              <c:f>'soc-LiveJournal1'!$C$5:$C$10</c:f>
              <c:numCache>
                <c:formatCode>0.000000</c:formatCode>
                <c:ptCount val="5"/>
                <c:pt idx="0">
                  <c:v>0</c:v>
                </c:pt>
                <c:pt idx="1">
                  <c:v>0</c:v>
                </c:pt>
                <c:pt idx="2">
                  <c:v>0</c:v>
                </c:pt>
                <c:pt idx="3">
                  <c:v>0</c:v>
                </c:pt>
                <c:pt idx="4">
                  <c:v>137.7105712890625</c:v>
                </c:pt>
              </c:numCache>
            </c:numRef>
          </c:val>
          <c:smooth val="0"/>
          <c:extLst>
            <c:ext xmlns:c16="http://schemas.microsoft.com/office/drawing/2014/chart" uri="{C3380CC4-5D6E-409C-BE32-E72D297353CC}">
              <c16:uniqueId val="{00000003-C3DE-F042-957C-BDB133BC6362}"/>
            </c:ext>
          </c:extLst>
        </c:ser>
        <c:dLbls>
          <c:showLegendKey val="0"/>
          <c:showVal val="0"/>
          <c:showCatName val="0"/>
          <c:showSerName val="0"/>
          <c:showPercent val="0"/>
          <c:showBubbleSize val="0"/>
        </c:dLbls>
        <c:marker val="1"/>
        <c:smooth val="0"/>
        <c:axId val="247913919"/>
        <c:axId val="247910335"/>
      </c:lineChart>
      <c:catAx>
        <c:axId val="24791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0335"/>
        <c:crosses val="autoZero"/>
        <c:auto val="1"/>
        <c:lblAlgn val="ctr"/>
        <c:lblOffset val="100"/>
        <c:noMultiLvlLbl val="0"/>
      </c:catAx>
      <c:valAx>
        <c:axId val="247910335"/>
        <c:scaling>
          <c:orientation val="minMax"/>
        </c:scaling>
        <c:delete val="0"/>
        <c:axPos val="l"/>
        <c:majorGridlines>
          <c:spPr>
            <a:ln w="9525" cap="flat" cmpd="sng" algn="ctr">
              <a:solidFill>
                <a:schemeClr val="tx1">
                  <a:lumMod val="15000"/>
                  <a:lumOff val="85000"/>
                </a:schemeClr>
              </a:solidFill>
              <a:round/>
            </a:ln>
            <a:effectLst/>
          </c:spPr>
        </c:majorGridlines>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3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[spark_disk_formulas_updated.xlsx]Email-EuAll!PivotTable4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Email-EuAll </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'Email-EuAll'!$B$3:$B$4</c:f>
              <c:strCache>
                <c:ptCount val="1"/>
                <c:pt idx="0">
                  <c:v>spark-master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'Email-EuAll'!$A$5:$A$6</c:f>
              <c:strCache>
                <c:ptCount val="1"/>
                <c:pt idx="0">
                  <c:v>0</c:v>
                </c:pt>
              </c:strCache>
            </c:strRef>
          </c:cat>
          <c:val>
            <c:numRef>
              <c:f>'Email-EuAll'!$B$5:$B$6</c:f>
              <c:numCache>
                <c:formatCode>0.000000</c:formatCode>
                <c:ptCount val="1"/>
                <c:pt idx="0">
                  <c:v>0</c:v>
                </c:pt>
              </c:numCache>
            </c:numRef>
          </c:val>
          <c:smooth val="0"/>
          <c:extLst>
            <c:ext xmlns:c16="http://schemas.microsoft.com/office/drawing/2014/chart" uri="{C3380CC4-5D6E-409C-BE32-E72D297353CC}">
              <c16:uniqueId val="{00000003-265F-4447-BEE9-C2952B778BE7}"/>
            </c:ext>
          </c:extLst>
        </c:ser>
        <c:ser>
          <c:idx val="1"/>
          <c:order val="1"/>
          <c:tx>
            <c:strRef>
              <c:f>'Email-EuAll'!$C$3:$C$4</c:f>
              <c:strCache>
                <c:ptCount val="1"/>
                <c:pt idx="0">
                  <c:v>spark-worker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'Email-EuAll'!$A$5:$A$6</c:f>
              <c:strCache>
                <c:ptCount val="1"/>
                <c:pt idx="0">
                  <c:v>0</c:v>
                </c:pt>
              </c:strCache>
            </c:strRef>
          </c:cat>
          <c:val>
            <c:numRef>
              <c:f>'Email-EuAll'!$C$5:$C$6</c:f>
              <c:numCache>
                <c:formatCode>0.000000</c:formatCode>
                <c:ptCount val="1"/>
                <c:pt idx="0">
                  <c:v>0</c:v>
                </c:pt>
              </c:numCache>
            </c:numRef>
          </c:val>
          <c:smooth val="0"/>
          <c:extLst>
            <c:ext xmlns:c16="http://schemas.microsoft.com/office/drawing/2014/chart" uri="{C3380CC4-5D6E-409C-BE32-E72D297353CC}">
              <c16:uniqueId val="{00000005-265F-4447-BEE9-C2952B778BE7}"/>
            </c:ext>
          </c:extLst>
        </c:ser>
        <c:dLbls>
          <c:showLegendKey val="0"/>
          <c:showVal val="0"/>
          <c:showCatName val="0"/>
          <c:showSerName val="0"/>
          <c:showPercent val="0"/>
          <c:showBubbleSize val="0"/>
        </c:dLbls>
        <c:marker val="1"/>
        <c:smooth val="0"/>
        <c:axId val="247913919"/>
        <c:axId val="247910335"/>
      </c:lineChart>
      <c:catAx>
        <c:axId val="24791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0335"/>
        <c:crosses val="autoZero"/>
        <c:auto val="1"/>
        <c:lblAlgn val="ctr"/>
        <c:lblOffset val="100"/>
        <c:noMultiLvlLbl val="0"/>
      </c:catAx>
      <c:valAx>
        <c:axId val="247910335"/>
        <c:scaling>
          <c:orientation val="minMax"/>
        </c:scaling>
        <c:delete val="0"/>
        <c:axPos val="l"/>
        <c:majorGridlines>
          <c:spPr>
            <a:ln w="9525" cap="flat" cmpd="sng" algn="ctr">
              <a:solidFill>
                <a:schemeClr val="tx1">
                  <a:lumMod val="15000"/>
                  <a:lumOff val="85000"/>
                </a:schemeClr>
              </a:solidFill>
              <a:round/>
            </a:ln>
            <a:effectLst/>
          </c:spPr>
        </c:majorGridlines>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3919"/>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[spark_disk_formulas_updated.xlsx]cit-Patents!PivotTable4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cit-Patents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'cit-Patents'!$B$3:$B$4</c:f>
              <c:strCache>
                <c:ptCount val="1"/>
                <c:pt idx="0">
                  <c:v>spark-master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'cit-Patents'!$A$5:$A$8</c:f>
              <c:strCache>
                <c:ptCount val="3"/>
                <c:pt idx="0">
                  <c:v>0</c:v>
                </c:pt>
                <c:pt idx="1">
                  <c:v>5</c:v>
                </c:pt>
                <c:pt idx="2">
                  <c:v>10</c:v>
                </c:pt>
              </c:strCache>
            </c:strRef>
          </c:cat>
          <c:val>
            <c:numRef>
              <c:f>'cit-Patents'!$B$5:$B$8</c:f>
              <c:numCache>
                <c:formatCode>0.000000</c:formatCode>
                <c:ptCount val="3"/>
                <c:pt idx="0">
                  <c:v>0</c:v>
                </c:pt>
                <c:pt idx="1">
                  <c:v>0</c:v>
                </c:pt>
                <c:pt idx="2">
                  <c:v>0.9059906005859375</c:v>
                </c:pt>
              </c:numCache>
            </c:numRef>
          </c:val>
          <c:smooth val="0"/>
          <c:extLst>
            <c:ext xmlns:c16="http://schemas.microsoft.com/office/drawing/2014/chart" uri="{C3380CC4-5D6E-409C-BE32-E72D297353CC}">
              <c16:uniqueId val="{00000000-AACF-A048-B427-F1127DACADDA}"/>
            </c:ext>
          </c:extLst>
        </c:ser>
        <c:ser>
          <c:idx val="1"/>
          <c:order val="1"/>
          <c:tx>
            <c:strRef>
              <c:f>'cit-Patents'!$C$3:$C$4</c:f>
              <c:strCache>
                <c:ptCount val="1"/>
                <c:pt idx="0">
                  <c:v>spark-worker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'cit-Patents'!$A$5:$A$8</c:f>
              <c:strCache>
                <c:ptCount val="3"/>
                <c:pt idx="0">
                  <c:v>0</c:v>
                </c:pt>
                <c:pt idx="1">
                  <c:v>5</c:v>
                </c:pt>
                <c:pt idx="2">
                  <c:v>10</c:v>
                </c:pt>
              </c:strCache>
            </c:strRef>
          </c:cat>
          <c:val>
            <c:numRef>
              <c:f>'cit-Patents'!$C$5:$C$8</c:f>
              <c:numCache>
                <c:formatCode>0.000000</c:formatCode>
                <c:ptCount val="3"/>
                <c:pt idx="0">
                  <c:v>0</c:v>
                </c:pt>
                <c:pt idx="1">
                  <c:v>3.814697265625E-3</c:v>
                </c:pt>
                <c:pt idx="2">
                  <c:v>57.032585144042969</c:v>
                </c:pt>
              </c:numCache>
            </c:numRef>
          </c:val>
          <c:smooth val="0"/>
          <c:extLst>
            <c:ext xmlns:c16="http://schemas.microsoft.com/office/drawing/2014/chart" uri="{C3380CC4-5D6E-409C-BE32-E72D297353CC}">
              <c16:uniqueId val="{00000001-AACF-A048-B427-F1127DACADDA}"/>
            </c:ext>
          </c:extLst>
        </c:ser>
        <c:dLbls>
          <c:showLegendKey val="0"/>
          <c:showVal val="0"/>
          <c:showCatName val="0"/>
          <c:showSerName val="0"/>
          <c:showPercent val="0"/>
          <c:showBubbleSize val="0"/>
        </c:dLbls>
        <c:marker val="1"/>
        <c:smooth val="0"/>
        <c:axId val="247913919"/>
        <c:axId val="247910335"/>
      </c:lineChart>
      <c:catAx>
        <c:axId val="24791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0335"/>
        <c:crosses val="autoZero"/>
        <c:auto val="1"/>
        <c:lblAlgn val="ctr"/>
        <c:lblOffset val="100"/>
        <c:noMultiLvlLbl val="0"/>
      </c:catAx>
      <c:valAx>
        <c:axId val="247910335"/>
        <c:scaling>
          <c:orientation val="minMax"/>
        </c:scaling>
        <c:delete val="0"/>
        <c:axPos val="l"/>
        <c:majorGridlines>
          <c:spPr>
            <a:ln w="9525" cap="flat" cmpd="sng" algn="ctr">
              <a:solidFill>
                <a:schemeClr val="tx1">
                  <a:lumMod val="15000"/>
                  <a:lumOff val="85000"/>
                </a:schemeClr>
              </a:solidFill>
              <a:round/>
            </a:ln>
            <a:effectLst/>
          </c:spPr>
        </c:majorGridlines>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3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[spark_disk_formulas_updated.xlsx]soc-pokec-relationships!PivotTable4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soc-pokec-relationships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'soc-pokec-relationships'!$B$3:$B$4</c:f>
              <c:strCache>
                <c:ptCount val="1"/>
                <c:pt idx="0">
                  <c:v>spark-master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'soc-pokec-relationships'!$A$5:$A$8</c:f>
              <c:strCache>
                <c:ptCount val="3"/>
                <c:pt idx="0">
                  <c:v>0</c:v>
                </c:pt>
                <c:pt idx="1">
                  <c:v>5</c:v>
                </c:pt>
                <c:pt idx="2">
                  <c:v>10</c:v>
                </c:pt>
              </c:strCache>
            </c:strRef>
          </c:cat>
          <c:val>
            <c:numRef>
              <c:f>'soc-pokec-relationships'!$B$5:$B$8</c:f>
              <c:numCache>
                <c:formatCode>0.000000</c:formatCode>
                <c:ptCount val="3"/>
                <c:pt idx="0">
                  <c:v>0</c:v>
                </c:pt>
                <c:pt idx="1">
                  <c:v>0.1430511474609375</c:v>
                </c:pt>
                <c:pt idx="2">
                  <c:v>0</c:v>
                </c:pt>
              </c:numCache>
            </c:numRef>
          </c:val>
          <c:smooth val="0"/>
          <c:extLst>
            <c:ext xmlns:c16="http://schemas.microsoft.com/office/drawing/2014/chart" uri="{C3380CC4-5D6E-409C-BE32-E72D297353CC}">
              <c16:uniqueId val="{00000000-BA45-A24D-B5A3-2F582892BEE4}"/>
            </c:ext>
          </c:extLst>
        </c:ser>
        <c:ser>
          <c:idx val="1"/>
          <c:order val="1"/>
          <c:tx>
            <c:strRef>
              <c:f>'soc-pokec-relationships'!$C$3:$C$4</c:f>
              <c:strCache>
                <c:ptCount val="1"/>
                <c:pt idx="0">
                  <c:v>spark-worker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'soc-pokec-relationships'!$A$5:$A$8</c:f>
              <c:strCache>
                <c:ptCount val="3"/>
                <c:pt idx="0">
                  <c:v>0</c:v>
                </c:pt>
                <c:pt idx="1">
                  <c:v>5</c:v>
                </c:pt>
                <c:pt idx="2">
                  <c:v>10</c:v>
                </c:pt>
              </c:strCache>
            </c:strRef>
          </c:cat>
          <c:val>
            <c:numRef>
              <c:f>'soc-pokec-relationships'!$C$5:$C$8</c:f>
              <c:numCache>
                <c:formatCode>0.000000</c:formatCode>
                <c:ptCount val="3"/>
                <c:pt idx="0">
                  <c:v>0</c:v>
                </c:pt>
                <c:pt idx="1">
                  <c:v>0</c:v>
                </c:pt>
                <c:pt idx="2">
                  <c:v>0.95367431640625</c:v>
                </c:pt>
              </c:numCache>
            </c:numRef>
          </c:val>
          <c:smooth val="0"/>
          <c:extLst>
            <c:ext xmlns:c16="http://schemas.microsoft.com/office/drawing/2014/chart" uri="{C3380CC4-5D6E-409C-BE32-E72D297353CC}">
              <c16:uniqueId val="{00000001-BA45-A24D-B5A3-2F582892BEE4}"/>
            </c:ext>
          </c:extLst>
        </c:ser>
        <c:dLbls>
          <c:showLegendKey val="0"/>
          <c:showVal val="0"/>
          <c:showCatName val="0"/>
          <c:showSerName val="0"/>
          <c:showPercent val="0"/>
          <c:showBubbleSize val="0"/>
        </c:dLbls>
        <c:marker val="1"/>
        <c:smooth val="0"/>
        <c:axId val="247913919"/>
        <c:axId val="247910335"/>
      </c:lineChart>
      <c:catAx>
        <c:axId val="24791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0335"/>
        <c:crosses val="autoZero"/>
        <c:auto val="1"/>
        <c:lblAlgn val="ctr"/>
        <c:lblOffset val="100"/>
        <c:noMultiLvlLbl val="0"/>
      </c:catAx>
      <c:valAx>
        <c:axId val="247910335"/>
        <c:scaling>
          <c:orientation val="minMax"/>
        </c:scaling>
        <c:delete val="0"/>
        <c:axPos val="l"/>
        <c:majorGridlines>
          <c:spPr>
            <a:ln w="9525" cap="flat" cmpd="sng" algn="ctr">
              <a:solidFill>
                <a:schemeClr val="tx1">
                  <a:lumMod val="15000"/>
                  <a:lumOff val="85000"/>
                </a:schemeClr>
              </a:solidFill>
              <a:round/>
            </a:ln>
            <a:effectLst/>
          </c:spPr>
        </c:majorGridlines>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3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[spark_disk_formulas_updated.xlsx]soc-LiveJournal1!PivotTable4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soc-LiveJournal1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'soc-LiveJournal1'!$B$3:$B$4</c:f>
              <c:strCache>
                <c:ptCount val="1"/>
                <c:pt idx="0">
                  <c:v>spark-master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'soc-LiveJournal1'!$A$5:$A$10</c:f>
              <c:strCache>
                <c:ptCount val="5"/>
                <c:pt idx="0">
                  <c:v>0</c:v>
                </c:pt>
                <c:pt idx="1">
                  <c:v>5</c:v>
                </c:pt>
                <c:pt idx="2">
                  <c:v>10</c:v>
                </c:pt>
                <c:pt idx="3">
                  <c:v>15</c:v>
                </c:pt>
                <c:pt idx="4">
                  <c:v>20</c:v>
                </c:pt>
              </c:strCache>
            </c:strRef>
          </c:cat>
          <c:val>
            <c:numRef>
              <c:f>'soc-LiveJournal1'!$B$5:$B$10</c:f>
              <c:numCache>
                <c:formatCode>0.000000</c:formatCode>
                <c:ptCount val="5"/>
                <c:pt idx="0">
                  <c:v>0</c:v>
                </c:pt>
                <c:pt idx="1">
                  <c:v>0</c:v>
                </c:pt>
                <c:pt idx="2">
                  <c:v>0.133514404296875</c:v>
                </c:pt>
                <c:pt idx="3">
                  <c:v>0</c:v>
                </c:pt>
                <c:pt idx="4">
                  <c:v>0.762939453125</c:v>
                </c:pt>
              </c:numCache>
            </c:numRef>
          </c:val>
          <c:smooth val="0"/>
          <c:extLst>
            <c:ext xmlns:c16="http://schemas.microsoft.com/office/drawing/2014/chart" uri="{C3380CC4-5D6E-409C-BE32-E72D297353CC}">
              <c16:uniqueId val="{00000000-4D75-6740-B875-501A3D7F655C}"/>
            </c:ext>
          </c:extLst>
        </c:ser>
        <c:ser>
          <c:idx val="1"/>
          <c:order val="1"/>
          <c:tx>
            <c:strRef>
              <c:f>'soc-LiveJournal1'!$C$3:$C$4</c:f>
              <c:strCache>
                <c:ptCount val="1"/>
                <c:pt idx="0">
                  <c:v>spark-worker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'soc-LiveJournal1'!$A$5:$A$10</c:f>
              <c:strCache>
                <c:ptCount val="5"/>
                <c:pt idx="0">
                  <c:v>0</c:v>
                </c:pt>
                <c:pt idx="1">
                  <c:v>5</c:v>
                </c:pt>
                <c:pt idx="2">
                  <c:v>10</c:v>
                </c:pt>
                <c:pt idx="3">
                  <c:v>15</c:v>
                </c:pt>
                <c:pt idx="4">
                  <c:v>20</c:v>
                </c:pt>
              </c:strCache>
            </c:strRef>
          </c:cat>
          <c:val>
            <c:numRef>
              <c:f>'soc-LiveJournal1'!$C$5:$C$10</c:f>
              <c:numCache>
                <c:formatCode>0.000000</c:formatCode>
                <c:ptCount val="5"/>
                <c:pt idx="0">
                  <c:v>0</c:v>
                </c:pt>
                <c:pt idx="1">
                  <c:v>0</c:v>
                </c:pt>
                <c:pt idx="2">
                  <c:v>0</c:v>
                </c:pt>
                <c:pt idx="3">
                  <c:v>0</c:v>
                </c:pt>
                <c:pt idx="4">
                  <c:v>137.7105712890625</c:v>
                </c:pt>
              </c:numCache>
            </c:numRef>
          </c:val>
          <c:smooth val="0"/>
          <c:extLst>
            <c:ext xmlns:c16="http://schemas.microsoft.com/office/drawing/2014/chart" uri="{C3380CC4-5D6E-409C-BE32-E72D297353CC}">
              <c16:uniqueId val="{00000001-4D75-6740-B875-501A3D7F655C}"/>
            </c:ext>
          </c:extLst>
        </c:ser>
        <c:dLbls>
          <c:showLegendKey val="0"/>
          <c:showVal val="0"/>
          <c:showCatName val="0"/>
          <c:showSerName val="0"/>
          <c:showPercent val="0"/>
          <c:showBubbleSize val="0"/>
        </c:dLbls>
        <c:marker val="1"/>
        <c:smooth val="0"/>
        <c:axId val="247913919"/>
        <c:axId val="247910335"/>
      </c:lineChart>
      <c:catAx>
        <c:axId val="24791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0335"/>
        <c:crosses val="autoZero"/>
        <c:auto val="1"/>
        <c:lblAlgn val="ctr"/>
        <c:lblOffset val="100"/>
        <c:noMultiLvlLbl val="0"/>
      </c:catAx>
      <c:valAx>
        <c:axId val="247910335"/>
        <c:scaling>
          <c:orientation val="minMax"/>
        </c:scaling>
        <c:delete val="0"/>
        <c:axPos val="l"/>
        <c:majorGridlines>
          <c:spPr>
            <a:ln w="9525" cap="flat" cmpd="sng" algn="ctr">
              <a:solidFill>
                <a:schemeClr val="tx1">
                  <a:lumMod val="15000"/>
                  <a:lumOff val="85000"/>
                </a:schemeClr>
              </a:solidFill>
              <a:round/>
            </a:ln>
            <a:effectLst/>
          </c:spPr>
        </c:majorGridlines>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3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[spark_disk_formulas_updated.xlsx]Sheet1 (6)!PivotTable4</c:name>
    <c:fmtId val="1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(6)'!$B$3:$B$4</c:f>
              <c:strCache>
                <c:ptCount val="1"/>
                <c:pt idx="0">
                  <c:v>cit-Patents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 (6)'!$A$5:$A$10</c:f>
              <c:strCache>
                <c:ptCount val="5"/>
                <c:pt idx="0">
                  <c:v>0</c:v>
                </c:pt>
                <c:pt idx="1">
                  <c:v>5</c:v>
                </c:pt>
                <c:pt idx="2">
                  <c:v>10</c:v>
                </c:pt>
                <c:pt idx="3">
                  <c:v>15</c:v>
                </c:pt>
                <c:pt idx="4">
                  <c:v>20</c:v>
                </c:pt>
              </c:strCache>
            </c:strRef>
          </c:cat>
          <c:val>
            <c:numRef>
              <c:f>'Sheet1 (6)'!$B$5:$B$10</c:f>
              <c:numCache>
                <c:formatCode>0.000000</c:formatCode>
                <c:ptCount val="5"/>
                <c:pt idx="0">
                  <c:v>0</c:v>
                </c:pt>
                <c:pt idx="1">
                  <c:v>3.814697265625E-3</c:v>
                </c:pt>
                <c:pt idx="2">
                  <c:v>57.938575744628906</c:v>
                </c:pt>
              </c:numCache>
            </c:numRef>
          </c:val>
          <c:smooth val="0"/>
          <c:extLst>
            <c:ext xmlns:c16="http://schemas.microsoft.com/office/drawing/2014/chart" uri="{C3380CC4-5D6E-409C-BE32-E72D297353CC}">
              <c16:uniqueId val="{00000002-9F80-E342-9F08-2C9554F35B47}"/>
            </c:ext>
          </c:extLst>
        </c:ser>
        <c:ser>
          <c:idx val="1"/>
          <c:order val="1"/>
          <c:tx>
            <c:strRef>
              <c:f>'Sheet1 (6)'!$C$3:$C$4</c:f>
              <c:strCache>
                <c:ptCount val="1"/>
                <c:pt idx="0">
                  <c:v>Email-EuAll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 (6)'!$A$5:$A$10</c:f>
              <c:strCache>
                <c:ptCount val="5"/>
                <c:pt idx="0">
                  <c:v>0</c:v>
                </c:pt>
                <c:pt idx="1">
                  <c:v>5</c:v>
                </c:pt>
                <c:pt idx="2">
                  <c:v>10</c:v>
                </c:pt>
                <c:pt idx="3">
                  <c:v>15</c:v>
                </c:pt>
                <c:pt idx="4">
                  <c:v>20</c:v>
                </c:pt>
              </c:strCache>
            </c:strRef>
          </c:cat>
          <c:val>
            <c:numRef>
              <c:f>'Sheet1 (6)'!$C$5:$C$10</c:f>
              <c:numCache>
                <c:formatCode>0.000000</c:formatCode>
                <c:ptCount val="5"/>
                <c:pt idx="0">
                  <c:v>0</c:v>
                </c:pt>
              </c:numCache>
            </c:numRef>
          </c:val>
          <c:smooth val="0"/>
          <c:extLst>
            <c:ext xmlns:c16="http://schemas.microsoft.com/office/drawing/2014/chart" uri="{C3380CC4-5D6E-409C-BE32-E72D297353CC}">
              <c16:uniqueId val="{00000003-9F80-E342-9F08-2C9554F35B47}"/>
            </c:ext>
          </c:extLst>
        </c:ser>
        <c:ser>
          <c:idx val="2"/>
          <c:order val="2"/>
          <c:tx>
            <c:strRef>
              <c:f>'Sheet1 (6)'!$D$3:$D$4</c:f>
              <c:strCache>
                <c:ptCount val="1"/>
                <c:pt idx="0">
                  <c:v>soc-LiveJournal1</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 (6)'!$A$5:$A$10</c:f>
              <c:strCache>
                <c:ptCount val="5"/>
                <c:pt idx="0">
                  <c:v>0</c:v>
                </c:pt>
                <c:pt idx="1">
                  <c:v>5</c:v>
                </c:pt>
                <c:pt idx="2">
                  <c:v>10</c:v>
                </c:pt>
                <c:pt idx="3">
                  <c:v>15</c:v>
                </c:pt>
                <c:pt idx="4">
                  <c:v>20</c:v>
                </c:pt>
              </c:strCache>
            </c:strRef>
          </c:cat>
          <c:val>
            <c:numRef>
              <c:f>'Sheet1 (6)'!$D$5:$D$10</c:f>
              <c:numCache>
                <c:formatCode>0.000000</c:formatCode>
                <c:ptCount val="5"/>
                <c:pt idx="0">
                  <c:v>0</c:v>
                </c:pt>
                <c:pt idx="1">
                  <c:v>0</c:v>
                </c:pt>
                <c:pt idx="2">
                  <c:v>0.133514404296875</c:v>
                </c:pt>
                <c:pt idx="3">
                  <c:v>0</c:v>
                </c:pt>
                <c:pt idx="4">
                  <c:v>138.4735107421875</c:v>
                </c:pt>
              </c:numCache>
            </c:numRef>
          </c:val>
          <c:smooth val="0"/>
          <c:extLst>
            <c:ext xmlns:c16="http://schemas.microsoft.com/office/drawing/2014/chart" uri="{C3380CC4-5D6E-409C-BE32-E72D297353CC}">
              <c16:uniqueId val="{00000005-9F80-E342-9F08-2C9554F35B47}"/>
            </c:ext>
          </c:extLst>
        </c:ser>
        <c:ser>
          <c:idx val="3"/>
          <c:order val="3"/>
          <c:tx>
            <c:strRef>
              <c:f>'Sheet1 (6)'!$E$3:$E$4</c:f>
              <c:strCache>
                <c:ptCount val="1"/>
                <c:pt idx="0">
                  <c:v>soc-pokec-relationships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 (6)'!$A$5:$A$10</c:f>
              <c:strCache>
                <c:ptCount val="5"/>
                <c:pt idx="0">
                  <c:v>0</c:v>
                </c:pt>
                <c:pt idx="1">
                  <c:v>5</c:v>
                </c:pt>
                <c:pt idx="2">
                  <c:v>10</c:v>
                </c:pt>
                <c:pt idx="3">
                  <c:v>15</c:v>
                </c:pt>
                <c:pt idx="4">
                  <c:v>20</c:v>
                </c:pt>
              </c:strCache>
            </c:strRef>
          </c:cat>
          <c:val>
            <c:numRef>
              <c:f>'Sheet1 (6)'!$E$5:$E$10</c:f>
              <c:numCache>
                <c:formatCode>0.000000</c:formatCode>
                <c:ptCount val="5"/>
                <c:pt idx="0">
                  <c:v>0</c:v>
                </c:pt>
                <c:pt idx="1">
                  <c:v>0.1430511474609375</c:v>
                </c:pt>
                <c:pt idx="2">
                  <c:v>0.95367431640625</c:v>
                </c:pt>
              </c:numCache>
            </c:numRef>
          </c:val>
          <c:smooth val="0"/>
          <c:extLst>
            <c:ext xmlns:c16="http://schemas.microsoft.com/office/drawing/2014/chart" uri="{C3380CC4-5D6E-409C-BE32-E72D297353CC}">
              <c16:uniqueId val="{00000006-9F80-E342-9F08-2C9554F35B47}"/>
            </c:ext>
          </c:extLst>
        </c:ser>
        <c:dLbls>
          <c:showLegendKey val="0"/>
          <c:showVal val="0"/>
          <c:showCatName val="0"/>
          <c:showSerName val="0"/>
          <c:showPercent val="0"/>
          <c:showBubbleSize val="0"/>
        </c:dLbls>
        <c:marker val="1"/>
        <c:smooth val="0"/>
        <c:axId val="247913919"/>
        <c:axId val="247910335"/>
      </c:lineChart>
      <c:catAx>
        <c:axId val="24791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0335"/>
        <c:crosses val="autoZero"/>
        <c:auto val="1"/>
        <c:lblAlgn val="ctr"/>
        <c:lblOffset val="100"/>
        <c:noMultiLvlLbl val="0"/>
      </c:catAx>
      <c:valAx>
        <c:axId val="247910335"/>
        <c:scaling>
          <c:orientation val="minMax"/>
        </c:scaling>
        <c:delete val="0"/>
        <c:axPos val="l"/>
        <c:majorGridlines>
          <c:spPr>
            <a:ln w="9525" cap="flat" cmpd="sng" algn="ctr">
              <a:solidFill>
                <a:schemeClr val="tx1">
                  <a:lumMod val="15000"/>
                  <a:lumOff val="85000"/>
                </a:schemeClr>
              </a:solidFill>
              <a:round/>
            </a:ln>
            <a:effectLst/>
          </c:spPr>
        </c:majorGridlines>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1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38100</xdr:colOff>
      <xdr:row>11</xdr:row>
      <xdr:rowOff>44450</xdr:rowOff>
    </xdr:from>
    <xdr:to>
      <xdr:col>9</xdr:col>
      <xdr:colOff>482600</xdr:colOff>
      <xdr:row>24</xdr:row>
      <xdr:rowOff>146050</xdr:rowOff>
    </xdr:to>
    <xdr:graphicFrame macro="">
      <xdr:nvGraphicFramePr>
        <xdr:cNvPr id="2" name="Chart 1">
          <a:extLst>
            <a:ext uri="{FF2B5EF4-FFF2-40B4-BE49-F238E27FC236}">
              <a16:creationId xmlns:a16="http://schemas.microsoft.com/office/drawing/2014/main" id="{FBED4D13-9421-2378-B7AA-50E5C41B1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127000</xdr:colOff>
      <xdr:row>4</xdr:row>
      <xdr:rowOff>50800</xdr:rowOff>
    </xdr:from>
    <xdr:to>
      <xdr:col>13</xdr:col>
      <xdr:colOff>304800</xdr:colOff>
      <xdr:row>17</xdr:row>
      <xdr:rowOff>28572</xdr:rowOff>
    </xdr:to>
    <mc:AlternateContent xmlns:mc="http://schemas.openxmlformats.org/markup-compatibility/2006">
      <mc:Choice xmlns:a14="http://schemas.microsoft.com/office/drawing/2010/main" Requires="a14">
        <xdr:graphicFrame macro="">
          <xdr:nvGraphicFramePr>
            <xdr:cNvPr id="3" name="dataset">
              <a:extLst>
                <a:ext uri="{FF2B5EF4-FFF2-40B4-BE49-F238E27FC236}">
                  <a16:creationId xmlns:a16="http://schemas.microsoft.com/office/drawing/2014/main" id="{3CBF873B-BB81-B024-5AE0-11E47461B383}"/>
                </a:ext>
              </a:extLst>
            </xdr:cNvPr>
            <xdr:cNvGraphicFramePr/>
          </xdr:nvGraphicFramePr>
          <xdr:xfrm>
            <a:off x="0" y="0"/>
            <a:ext cx="0" cy="0"/>
          </xdr:xfrm>
          <a:graphic>
            <a:graphicData uri="http://schemas.microsoft.com/office/drawing/2010/slicer">
              <sle:slicer xmlns:sle="http://schemas.microsoft.com/office/drawing/2010/slicer" name="dataset"/>
            </a:graphicData>
          </a:graphic>
        </xdr:graphicFrame>
      </mc:Choice>
      <mc:Fallback>
        <xdr:sp macro="" textlink="">
          <xdr:nvSpPr>
            <xdr:cNvPr id="0" name=""/>
            <xdr:cNvSpPr>
              <a:spLocks noTextEdit="1"/>
            </xdr:cNvSpPr>
          </xdr:nvSpPr>
          <xdr:spPr>
            <a:xfrm>
              <a:off x="11214100" y="863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11</xdr:row>
      <xdr:rowOff>44450</xdr:rowOff>
    </xdr:from>
    <xdr:to>
      <xdr:col>9</xdr:col>
      <xdr:colOff>482600</xdr:colOff>
      <xdr:row>24</xdr:row>
      <xdr:rowOff>146050</xdr:rowOff>
    </xdr:to>
    <xdr:graphicFrame macro="">
      <xdr:nvGraphicFramePr>
        <xdr:cNvPr id="2" name="Chart 1">
          <a:extLst>
            <a:ext uri="{FF2B5EF4-FFF2-40B4-BE49-F238E27FC236}">
              <a16:creationId xmlns:a16="http://schemas.microsoft.com/office/drawing/2014/main" id="{4225D3EE-2A81-024E-91EE-2C1C504CD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127000</xdr:colOff>
      <xdr:row>4</xdr:row>
      <xdr:rowOff>50800</xdr:rowOff>
    </xdr:from>
    <xdr:to>
      <xdr:col>13</xdr:col>
      <xdr:colOff>304800</xdr:colOff>
      <xdr:row>17</xdr:row>
      <xdr:rowOff>28572</xdr:rowOff>
    </xdr:to>
    <mc:AlternateContent xmlns:mc="http://schemas.openxmlformats.org/markup-compatibility/2006">
      <mc:Choice xmlns:a14="http://schemas.microsoft.com/office/drawing/2010/main" Requires="a14">
        <xdr:graphicFrame macro="">
          <xdr:nvGraphicFramePr>
            <xdr:cNvPr id="3" name="dataset 1">
              <a:extLst>
                <a:ext uri="{FF2B5EF4-FFF2-40B4-BE49-F238E27FC236}">
                  <a16:creationId xmlns:a16="http://schemas.microsoft.com/office/drawing/2014/main" id="{AC0289DC-F074-284E-A5AC-31A05D912407}"/>
                </a:ext>
              </a:extLst>
            </xdr:cNvPr>
            <xdr:cNvGraphicFramePr/>
          </xdr:nvGraphicFramePr>
          <xdr:xfrm>
            <a:off x="0" y="0"/>
            <a:ext cx="0" cy="0"/>
          </xdr:xfrm>
          <a:graphic>
            <a:graphicData uri="http://schemas.microsoft.com/office/drawing/2010/slicer">
              <sle:slicer xmlns:sle="http://schemas.microsoft.com/office/drawing/2010/slicer" name="dataset 1"/>
            </a:graphicData>
          </a:graphic>
        </xdr:graphicFrame>
      </mc:Choice>
      <mc:Fallback>
        <xdr:sp macro="" textlink="">
          <xdr:nvSpPr>
            <xdr:cNvPr id="0" name=""/>
            <xdr:cNvSpPr>
              <a:spLocks noTextEdit="1"/>
            </xdr:cNvSpPr>
          </xdr:nvSpPr>
          <xdr:spPr>
            <a:xfrm>
              <a:off x="10655300" y="863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38100</xdr:colOff>
      <xdr:row>11</xdr:row>
      <xdr:rowOff>44450</xdr:rowOff>
    </xdr:from>
    <xdr:to>
      <xdr:col>9</xdr:col>
      <xdr:colOff>482600</xdr:colOff>
      <xdr:row>24</xdr:row>
      <xdr:rowOff>146050</xdr:rowOff>
    </xdr:to>
    <xdr:graphicFrame macro="">
      <xdr:nvGraphicFramePr>
        <xdr:cNvPr id="2" name="Chart 1">
          <a:extLst>
            <a:ext uri="{FF2B5EF4-FFF2-40B4-BE49-F238E27FC236}">
              <a16:creationId xmlns:a16="http://schemas.microsoft.com/office/drawing/2014/main" id="{21698549-3B79-7746-A4E5-D8374389C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127000</xdr:colOff>
      <xdr:row>4</xdr:row>
      <xdr:rowOff>50800</xdr:rowOff>
    </xdr:from>
    <xdr:to>
      <xdr:col>13</xdr:col>
      <xdr:colOff>304800</xdr:colOff>
      <xdr:row>17</xdr:row>
      <xdr:rowOff>28572</xdr:rowOff>
    </xdr:to>
    <mc:AlternateContent xmlns:mc="http://schemas.openxmlformats.org/markup-compatibility/2006">
      <mc:Choice xmlns:a14="http://schemas.microsoft.com/office/drawing/2010/main" Requires="a14">
        <xdr:graphicFrame macro="">
          <xdr:nvGraphicFramePr>
            <xdr:cNvPr id="3" name="dataset 2">
              <a:extLst>
                <a:ext uri="{FF2B5EF4-FFF2-40B4-BE49-F238E27FC236}">
                  <a16:creationId xmlns:a16="http://schemas.microsoft.com/office/drawing/2014/main" id="{760E9C2C-59AD-4440-935E-279746EF1BC9}"/>
                </a:ext>
              </a:extLst>
            </xdr:cNvPr>
            <xdr:cNvGraphicFramePr/>
          </xdr:nvGraphicFramePr>
          <xdr:xfrm>
            <a:off x="0" y="0"/>
            <a:ext cx="0" cy="0"/>
          </xdr:xfrm>
          <a:graphic>
            <a:graphicData uri="http://schemas.microsoft.com/office/drawing/2010/slicer">
              <sle:slicer xmlns:sle="http://schemas.microsoft.com/office/drawing/2010/slicer" name="dataset 2"/>
            </a:graphicData>
          </a:graphic>
        </xdr:graphicFrame>
      </mc:Choice>
      <mc:Fallback>
        <xdr:sp macro="" textlink="">
          <xdr:nvSpPr>
            <xdr:cNvPr id="0" name=""/>
            <xdr:cNvSpPr>
              <a:spLocks noTextEdit="1"/>
            </xdr:cNvSpPr>
          </xdr:nvSpPr>
          <xdr:spPr>
            <a:xfrm>
              <a:off x="10655300" y="863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38100</xdr:colOff>
      <xdr:row>11</xdr:row>
      <xdr:rowOff>44450</xdr:rowOff>
    </xdr:from>
    <xdr:to>
      <xdr:col>9</xdr:col>
      <xdr:colOff>482600</xdr:colOff>
      <xdr:row>24</xdr:row>
      <xdr:rowOff>146050</xdr:rowOff>
    </xdr:to>
    <xdr:graphicFrame macro="">
      <xdr:nvGraphicFramePr>
        <xdr:cNvPr id="2" name="Chart 1">
          <a:extLst>
            <a:ext uri="{FF2B5EF4-FFF2-40B4-BE49-F238E27FC236}">
              <a16:creationId xmlns:a16="http://schemas.microsoft.com/office/drawing/2014/main" id="{79FA9F48-A17F-DE4F-9358-0D43EFF12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127000</xdr:colOff>
      <xdr:row>4</xdr:row>
      <xdr:rowOff>50800</xdr:rowOff>
    </xdr:from>
    <xdr:to>
      <xdr:col>13</xdr:col>
      <xdr:colOff>304800</xdr:colOff>
      <xdr:row>17</xdr:row>
      <xdr:rowOff>28572</xdr:rowOff>
    </xdr:to>
    <mc:AlternateContent xmlns:mc="http://schemas.openxmlformats.org/markup-compatibility/2006">
      <mc:Choice xmlns:a14="http://schemas.microsoft.com/office/drawing/2010/main" Requires="a14">
        <xdr:graphicFrame macro="">
          <xdr:nvGraphicFramePr>
            <xdr:cNvPr id="3" name="dataset 3">
              <a:extLst>
                <a:ext uri="{FF2B5EF4-FFF2-40B4-BE49-F238E27FC236}">
                  <a16:creationId xmlns:a16="http://schemas.microsoft.com/office/drawing/2014/main" id="{AD7E1CC0-4A1B-9541-98DD-780D18324D4C}"/>
                </a:ext>
              </a:extLst>
            </xdr:cNvPr>
            <xdr:cNvGraphicFramePr/>
          </xdr:nvGraphicFramePr>
          <xdr:xfrm>
            <a:off x="0" y="0"/>
            <a:ext cx="0" cy="0"/>
          </xdr:xfrm>
          <a:graphic>
            <a:graphicData uri="http://schemas.microsoft.com/office/drawing/2010/slicer">
              <sle:slicer xmlns:sle="http://schemas.microsoft.com/office/drawing/2010/slicer" name="dataset 3"/>
            </a:graphicData>
          </a:graphic>
        </xdr:graphicFrame>
      </mc:Choice>
      <mc:Fallback>
        <xdr:sp macro="" textlink="">
          <xdr:nvSpPr>
            <xdr:cNvPr id="0" name=""/>
            <xdr:cNvSpPr>
              <a:spLocks noTextEdit="1"/>
            </xdr:cNvSpPr>
          </xdr:nvSpPr>
          <xdr:spPr>
            <a:xfrm>
              <a:off x="11214100" y="863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38100</xdr:colOff>
      <xdr:row>11</xdr:row>
      <xdr:rowOff>44450</xdr:rowOff>
    </xdr:from>
    <xdr:to>
      <xdr:col>9</xdr:col>
      <xdr:colOff>482600</xdr:colOff>
      <xdr:row>24</xdr:row>
      <xdr:rowOff>146050</xdr:rowOff>
    </xdr:to>
    <xdr:graphicFrame macro="">
      <xdr:nvGraphicFramePr>
        <xdr:cNvPr id="2" name="Chart 1">
          <a:extLst>
            <a:ext uri="{FF2B5EF4-FFF2-40B4-BE49-F238E27FC236}">
              <a16:creationId xmlns:a16="http://schemas.microsoft.com/office/drawing/2014/main" id="{5CB35077-03EC-6644-B6FA-0C8362C90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127000</xdr:colOff>
      <xdr:row>4</xdr:row>
      <xdr:rowOff>50800</xdr:rowOff>
    </xdr:from>
    <xdr:to>
      <xdr:col>13</xdr:col>
      <xdr:colOff>304800</xdr:colOff>
      <xdr:row>17</xdr:row>
      <xdr:rowOff>28572</xdr:rowOff>
    </xdr:to>
    <mc:AlternateContent xmlns:mc="http://schemas.openxmlformats.org/markup-compatibility/2006">
      <mc:Choice xmlns:a14="http://schemas.microsoft.com/office/drawing/2010/main" Requires="a14">
        <xdr:graphicFrame macro="">
          <xdr:nvGraphicFramePr>
            <xdr:cNvPr id="3" name="dataset 4">
              <a:extLst>
                <a:ext uri="{FF2B5EF4-FFF2-40B4-BE49-F238E27FC236}">
                  <a16:creationId xmlns:a16="http://schemas.microsoft.com/office/drawing/2014/main" id="{637F5B97-8AB2-5A4B-B582-FD1B55E520EE}"/>
                </a:ext>
              </a:extLst>
            </xdr:cNvPr>
            <xdr:cNvGraphicFramePr/>
          </xdr:nvGraphicFramePr>
          <xdr:xfrm>
            <a:off x="0" y="0"/>
            <a:ext cx="0" cy="0"/>
          </xdr:xfrm>
          <a:graphic>
            <a:graphicData uri="http://schemas.microsoft.com/office/drawing/2010/slicer">
              <sle:slicer xmlns:sle="http://schemas.microsoft.com/office/drawing/2010/slicer" name="dataset 4"/>
            </a:graphicData>
          </a:graphic>
        </xdr:graphicFrame>
      </mc:Choice>
      <mc:Fallback>
        <xdr:sp macro="" textlink="">
          <xdr:nvSpPr>
            <xdr:cNvPr id="0" name=""/>
            <xdr:cNvSpPr>
              <a:spLocks noTextEdit="1"/>
            </xdr:cNvSpPr>
          </xdr:nvSpPr>
          <xdr:spPr>
            <a:xfrm>
              <a:off x="10756900" y="863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165100</xdr:colOff>
      <xdr:row>25</xdr:row>
      <xdr:rowOff>38100</xdr:rowOff>
    </xdr:to>
    <xdr:grpSp>
      <xdr:nvGrpSpPr>
        <xdr:cNvPr id="6" name="Group 5">
          <a:extLst>
            <a:ext uri="{FF2B5EF4-FFF2-40B4-BE49-F238E27FC236}">
              <a16:creationId xmlns:a16="http://schemas.microsoft.com/office/drawing/2014/main" id="{53FA1A1D-FFCA-585A-783A-8DBAE383F40B}"/>
            </a:ext>
          </a:extLst>
        </xdr:cNvPr>
        <xdr:cNvGrpSpPr/>
      </xdr:nvGrpSpPr>
      <xdr:grpSpPr>
        <a:xfrm>
          <a:off x="0" y="0"/>
          <a:ext cx="7594600" cy="5118100"/>
          <a:chOff x="0" y="0"/>
          <a:chExt cx="7594600" cy="5118100"/>
        </a:xfrm>
      </xdr:grpSpPr>
      <xdr:graphicFrame macro="">
        <xdr:nvGraphicFramePr>
          <xdr:cNvPr id="2" name="Chart 1">
            <a:extLst>
              <a:ext uri="{FF2B5EF4-FFF2-40B4-BE49-F238E27FC236}">
                <a16:creationId xmlns:a16="http://schemas.microsoft.com/office/drawing/2014/main" id="{D846DE30-D79D-8240-BF9C-53F0F56C7BF4}"/>
              </a:ext>
            </a:extLst>
          </xdr:cNvPr>
          <xdr:cNvGraphicFramePr>
            <a:graphicFrameLocks/>
          </xdr:cNvGraphicFramePr>
        </xdr:nvGraphicFramePr>
        <xdr:xfrm>
          <a:off x="0" y="0"/>
          <a:ext cx="3517900" cy="25908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F0DC33EA-8364-224B-8161-6FC144314647}"/>
              </a:ext>
            </a:extLst>
          </xdr:cNvPr>
          <xdr:cNvGraphicFramePr>
            <a:graphicFrameLocks/>
          </xdr:cNvGraphicFramePr>
        </xdr:nvGraphicFramePr>
        <xdr:xfrm>
          <a:off x="3517900" y="12700"/>
          <a:ext cx="4076700" cy="25908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65F49A09-530C-0C47-BCA5-D5C7C6616C62}"/>
              </a:ext>
            </a:extLst>
          </xdr:cNvPr>
          <xdr:cNvGraphicFramePr>
            <a:graphicFrameLocks/>
          </xdr:cNvGraphicFramePr>
        </xdr:nvGraphicFramePr>
        <xdr:xfrm>
          <a:off x="0" y="2603500"/>
          <a:ext cx="3517900" cy="25019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32043613-C7F9-B54C-8FBD-71069A82E610}"/>
              </a:ext>
            </a:extLst>
          </xdr:cNvPr>
          <xdr:cNvGraphicFramePr>
            <a:graphicFrameLocks/>
          </xdr:cNvGraphicFramePr>
        </xdr:nvGraphicFramePr>
        <xdr:xfrm>
          <a:off x="3517900" y="2603500"/>
          <a:ext cx="4064000" cy="25146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38100</xdr:colOff>
      <xdr:row>11</xdr:row>
      <xdr:rowOff>44450</xdr:rowOff>
    </xdr:from>
    <xdr:to>
      <xdr:col>9</xdr:col>
      <xdr:colOff>482600</xdr:colOff>
      <xdr:row>24</xdr:row>
      <xdr:rowOff>146050</xdr:rowOff>
    </xdr:to>
    <xdr:graphicFrame macro="">
      <xdr:nvGraphicFramePr>
        <xdr:cNvPr id="2" name="Chart 1">
          <a:extLst>
            <a:ext uri="{FF2B5EF4-FFF2-40B4-BE49-F238E27FC236}">
              <a16:creationId xmlns:a16="http://schemas.microsoft.com/office/drawing/2014/main" id="{070DA48A-1320-6D40-9BC6-160A4B826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127000</xdr:colOff>
      <xdr:row>4</xdr:row>
      <xdr:rowOff>50800</xdr:rowOff>
    </xdr:from>
    <xdr:to>
      <xdr:col>13</xdr:col>
      <xdr:colOff>317500</xdr:colOff>
      <xdr:row>17</xdr:row>
      <xdr:rowOff>28572</xdr:rowOff>
    </xdr:to>
    <mc:AlternateContent xmlns:mc="http://schemas.openxmlformats.org/markup-compatibility/2006">
      <mc:Choice xmlns:a14="http://schemas.microsoft.com/office/drawing/2010/main" Requires="a14">
        <xdr:graphicFrame macro="">
          <xdr:nvGraphicFramePr>
            <xdr:cNvPr id="3" name="dataset 5">
              <a:extLst>
                <a:ext uri="{FF2B5EF4-FFF2-40B4-BE49-F238E27FC236}">
                  <a16:creationId xmlns:a16="http://schemas.microsoft.com/office/drawing/2014/main" id="{C3D6BCBF-CDCF-3B44-8A0A-0DCF4D650EF0}"/>
                </a:ext>
              </a:extLst>
            </xdr:cNvPr>
            <xdr:cNvGraphicFramePr/>
          </xdr:nvGraphicFramePr>
          <xdr:xfrm>
            <a:off x="0" y="0"/>
            <a:ext cx="0" cy="0"/>
          </xdr:xfrm>
          <a:graphic>
            <a:graphicData uri="http://schemas.microsoft.com/office/drawing/2010/slicer">
              <sle:slicer xmlns:sle="http://schemas.microsoft.com/office/drawing/2010/slicer" name="dataset 5"/>
            </a:graphicData>
          </a:graphic>
        </xdr:graphicFrame>
      </mc:Choice>
      <mc:Fallback>
        <xdr:sp macro="" textlink="">
          <xdr:nvSpPr>
            <xdr:cNvPr id="0" name=""/>
            <xdr:cNvSpPr>
              <a:spLocks noTextEdit="1"/>
            </xdr:cNvSpPr>
          </xdr:nvSpPr>
          <xdr:spPr>
            <a:xfrm>
              <a:off x="13525500" y="863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litha Lakshan" refreshedDate="46022.614204282407" createdVersion="8" refreshedVersion="8" minRefreshableVersion="3" recordCount="24" xr:uid="{97428629-AF9D-FB44-A314-5B90CB90091A}">
  <cacheSource type="worksheet">
    <worksheetSource ref="A1:L25" sheet="Spark"/>
  </cacheSource>
  <cacheFields count="12">
    <cacheField name="dataset" numFmtId="0">
      <sharedItems count="4">
        <s v="Email-EuAll"/>
        <s v="cit-Patents"/>
        <s v="soc-LiveJournal1"/>
        <s v="soc-pokec-relationships"/>
      </sharedItems>
    </cacheField>
    <cacheField name="timestamp" numFmtId="0">
      <sharedItems containsSemiMixedTypes="0" containsString="0" containsNumber="1" containsInteger="1" minValue="1767075374" maxValue="1767075445"/>
    </cacheField>
    <cacheField name="container" numFmtId="0">
      <sharedItems count="2">
        <s v="spark-master"/>
        <s v="spark-worker"/>
      </sharedItems>
    </cacheField>
    <cacheField name="blk_io" numFmtId="0">
      <sharedItems/>
    </cacheField>
    <cacheField name="blk_read_mib" numFmtId="164">
      <sharedItems containsSemiMixedTypes="0" containsString="0" containsNumber="1" minValue="27.4658203125" maxValue="64.563751220703125"/>
    </cacheField>
    <cacheField name="blk_write_mib" numFmtId="164">
      <sharedItems containsSemiMixedTypes="0" containsString="0" containsNumber="1" minValue="6.2465667724609375E-2" maxValue="197.41058349609375"/>
    </cacheField>
    <cacheField name="blk_total_mib" numFmtId="164">
      <sharedItems containsSemiMixedTypes="0" containsString="0" containsNumber="1" minValue="27.528285980224609" maxValue="225.25787353515625"/>
    </cacheField>
    <cacheField name="elapsed_s" numFmtId="1">
      <sharedItems containsSemiMixedTypes="0" containsString="0" containsNumber="1" containsInteger="1" minValue="0" maxValue="20" count="5">
        <n v="0"/>
        <n v="5"/>
        <n v="10"/>
        <n v="15"/>
        <n v="20"/>
      </sharedItems>
    </cacheField>
    <cacheField name="blk_read_mib_delta" numFmtId="164">
      <sharedItems containsSemiMixedTypes="0" containsString="0" containsNumber="1" minValue="0" maxValue="9.5367431640625E-2"/>
    </cacheField>
    <cacheField name="blk_write_mib_delta" numFmtId="164">
      <sharedItems containsSemiMixedTypes="0" containsString="0" containsNumber="1" minValue="0" maxValue="137.7105712890625"/>
    </cacheField>
    <cacheField name="blk_total_mib_delta" numFmtId="164">
      <sharedItems containsSemiMixedTypes="0" containsString="0" containsNumber="1" minValue="0" maxValue="137.7105712890625"/>
    </cacheField>
    <cacheField name="blk_total_mib_job" numFmtId="164">
      <sharedItems containsSemiMixedTypes="0" containsString="0" containsNumber="1" minValue="0" maxValue="137.7105712890625"/>
    </cacheField>
  </cacheFields>
  <extLst>
    <ext xmlns:x14="http://schemas.microsoft.com/office/spreadsheetml/2009/9/main" uri="{725AE2AE-9491-48be-B2B4-4EB974FC3084}">
      <x14:pivotCacheDefinition pivotCacheId="1237190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n v="1767075374"/>
    <x v="0"/>
    <s v="65.1MB / 98.3kB"/>
    <n v="62.084197998046868"/>
    <n v="9.3746185302734375E-2"/>
    <n v="62.177944183349602"/>
    <x v="0"/>
    <n v="0"/>
    <n v="0"/>
    <n v="0"/>
    <n v="0"/>
  </r>
  <r>
    <x v="0"/>
    <n v="1767075374"/>
    <x v="1"/>
    <s v="28.8MB / 65.5kB"/>
    <n v="27.4658203125"/>
    <n v="6.2465667724609375E-2"/>
    <n v="27.528285980224609"/>
    <x v="0"/>
    <n v="0"/>
    <n v="0"/>
    <n v="0"/>
    <n v="0"/>
  </r>
  <r>
    <x v="1"/>
    <n v="1767075378"/>
    <x v="0"/>
    <s v="67.7MB / 950kB"/>
    <n v="64.563751220703125"/>
    <n v="0.9059906005859375"/>
    <n v="65.469741821289062"/>
    <x v="0"/>
    <n v="0"/>
    <n v="0"/>
    <n v="0"/>
    <n v="0"/>
  </r>
  <r>
    <x v="1"/>
    <n v="1767075378"/>
    <x v="1"/>
    <s v="29.1MB / 893kB"/>
    <n v="27.751922607421875"/>
    <n v="0.85163116455078125"/>
    <n v="28.603553771972656"/>
    <x v="0"/>
    <n v="0"/>
    <n v="0"/>
    <n v="0"/>
    <n v="0"/>
  </r>
  <r>
    <x v="1"/>
    <n v="1767075386"/>
    <x v="0"/>
    <s v="67.7MB / 950kB"/>
    <n v="64.563751220703125"/>
    <n v="0.9059906005859375"/>
    <n v="65.469741821289062"/>
    <x v="1"/>
    <n v="0"/>
    <n v="0"/>
    <n v="0"/>
    <n v="0"/>
  </r>
  <r>
    <x v="1"/>
    <n v="1767075386"/>
    <x v="1"/>
    <s v="29.1MB / 897kB"/>
    <n v="27.751922607421875"/>
    <n v="0.85544586181640625"/>
    <n v="28.607368469238281"/>
    <x v="1"/>
    <n v="0"/>
    <n v="3.814697265625E-3"/>
    <n v="3.814697265625E-3"/>
    <n v="3.814697265625E-3"/>
  </r>
  <r>
    <x v="1"/>
    <n v="1767075393"/>
    <x v="0"/>
    <s v="67.7MB / 1.9MB"/>
    <n v="64.563751220703125"/>
    <n v="1.811981201171875"/>
    <n v="66.375732421875"/>
    <x v="2"/>
    <n v="0"/>
    <n v="0.9059906005859375"/>
    <n v="0.9059906005859375"/>
    <n v="0.9059906005859375"/>
  </r>
  <r>
    <x v="1"/>
    <n v="1767075393"/>
    <x v="1"/>
    <s v="29.2MB / 60.6MB"/>
    <n v="27.8472900390625"/>
    <n v="57.79266357421875"/>
    <n v="85.63995361328125"/>
    <x v="2"/>
    <n v="9.5367431640625E-2"/>
    <n v="56.937217712402344"/>
    <n v="57.032585144042969"/>
    <n v="57.036399841308594"/>
  </r>
  <r>
    <x v="2"/>
    <n v="1767075394"/>
    <x v="0"/>
    <s v="67.7MB / 1.9MB"/>
    <n v="64.563751220703125"/>
    <n v="1.811981201171875"/>
    <n v="66.375732421875"/>
    <x v="0"/>
    <n v="0"/>
    <n v="0"/>
    <n v="0"/>
    <n v="0"/>
  </r>
  <r>
    <x v="2"/>
    <n v="1767075394"/>
    <x v="1"/>
    <s v="29.2MB / 60.6MB"/>
    <n v="27.8472900390625"/>
    <n v="57.79266357421875"/>
    <n v="85.63995361328125"/>
    <x v="0"/>
    <n v="0"/>
    <n v="0"/>
    <n v="0"/>
    <n v="0"/>
  </r>
  <r>
    <x v="2"/>
    <n v="1767075401"/>
    <x v="0"/>
    <s v="67.7MB / 1.9MB"/>
    <n v="64.563751220703125"/>
    <n v="1.811981201171875"/>
    <n v="66.375732421875"/>
    <x v="1"/>
    <n v="0"/>
    <n v="0"/>
    <n v="0"/>
    <n v="0"/>
  </r>
  <r>
    <x v="2"/>
    <n v="1767075401"/>
    <x v="1"/>
    <s v="29.2MB / 60.6MB"/>
    <n v="27.8472900390625"/>
    <n v="57.79266357421875"/>
    <n v="85.63995361328125"/>
    <x v="1"/>
    <n v="0"/>
    <n v="0"/>
    <n v="0"/>
    <n v="0"/>
  </r>
  <r>
    <x v="2"/>
    <n v="1767075409"/>
    <x v="0"/>
    <s v="67.7MB / 2.04MB"/>
    <n v="64.563751220703125"/>
    <n v="1.94549560546875"/>
    <n v="66.509246826171875"/>
    <x v="2"/>
    <n v="0"/>
    <n v="0.133514404296875"/>
    <n v="0.133514404296875"/>
    <n v="0.133514404296875"/>
  </r>
  <r>
    <x v="2"/>
    <n v="1767075409"/>
    <x v="1"/>
    <s v="29.2MB / 60.6MB"/>
    <n v="27.8472900390625"/>
    <n v="57.79266357421875"/>
    <n v="85.63995361328125"/>
    <x v="2"/>
    <n v="0"/>
    <n v="0"/>
    <n v="0"/>
    <n v="0"/>
  </r>
  <r>
    <x v="2"/>
    <n v="1767075416"/>
    <x v="0"/>
    <s v="67.7MB / 2.04MB"/>
    <n v="64.563751220703125"/>
    <n v="1.94549560546875"/>
    <n v="66.509246826171875"/>
    <x v="3"/>
    <n v="0"/>
    <n v="0"/>
    <n v="0"/>
    <n v="0.133514404296875"/>
  </r>
  <r>
    <x v="2"/>
    <n v="1767075416"/>
    <x v="1"/>
    <s v="29.2MB / 60.6MB"/>
    <n v="27.8472900390625"/>
    <n v="57.79266357421875"/>
    <n v="85.63995361328125"/>
    <x v="3"/>
    <n v="0"/>
    <n v="0"/>
    <n v="0"/>
    <n v="0"/>
  </r>
  <r>
    <x v="2"/>
    <n v="1767075424"/>
    <x v="0"/>
    <s v="67.7MB / 2.84MB"/>
    <n v="64.563751220703125"/>
    <n v="2.70843505859375"/>
    <n v="67.272186279296875"/>
    <x v="4"/>
    <n v="0"/>
    <n v="0.762939453125"/>
    <n v="0.762939453125"/>
    <n v="0.896453857421875"/>
  </r>
  <r>
    <x v="2"/>
    <n v="1767075424"/>
    <x v="1"/>
    <s v="29.2MB / 205MB"/>
    <n v="27.8472900390625"/>
    <n v="195.50323486328125"/>
    <n v="223.35052490234375"/>
    <x v="4"/>
    <n v="0"/>
    <n v="137.7105712890625"/>
    <n v="137.7105712890625"/>
    <n v="137.7105712890625"/>
  </r>
  <r>
    <x v="3"/>
    <n v="1767075431"/>
    <x v="0"/>
    <s v="67.7MB / 2.87MB"/>
    <n v="64.563751220703125"/>
    <n v="2.7370452880859375"/>
    <n v="67.300796508789062"/>
    <x v="0"/>
    <n v="0"/>
    <n v="0"/>
    <n v="0"/>
    <n v="0"/>
  </r>
  <r>
    <x v="3"/>
    <n v="1767075431"/>
    <x v="1"/>
    <s v="29.2MB / 206MB"/>
    <n v="27.8472900390625"/>
    <n v="196.4569091796875"/>
    <n v="224.30419921875"/>
    <x v="0"/>
    <n v="0"/>
    <n v="0"/>
    <n v="0"/>
    <n v="0"/>
  </r>
  <r>
    <x v="3"/>
    <n v="1767075437"/>
    <x v="0"/>
    <s v="67.7MB / 3.02MB"/>
    <n v="64.563751220703125"/>
    <n v="2.880096435546875"/>
    <n v="67.44384765625"/>
    <x v="1"/>
    <n v="0"/>
    <n v="0.1430511474609375"/>
    <n v="0.1430511474609375"/>
    <n v="0.1430511474609375"/>
  </r>
  <r>
    <x v="3"/>
    <n v="1767075437"/>
    <x v="1"/>
    <s v="29.2MB / 206MB"/>
    <n v="27.8472900390625"/>
    <n v="196.4569091796875"/>
    <n v="224.30419921875"/>
    <x v="1"/>
    <n v="0"/>
    <n v="0"/>
    <n v="0"/>
    <n v="0"/>
  </r>
  <r>
    <x v="3"/>
    <n v="1767075445"/>
    <x v="0"/>
    <s v="67.7MB / 3.02MB"/>
    <n v="64.563751220703125"/>
    <n v="2.880096435546875"/>
    <n v="67.44384765625"/>
    <x v="2"/>
    <n v="0"/>
    <n v="0"/>
    <n v="0"/>
    <n v="0.1430511474609375"/>
  </r>
  <r>
    <x v="3"/>
    <n v="1767075445"/>
    <x v="1"/>
    <s v="29.2MB / 207MB"/>
    <n v="27.8472900390625"/>
    <n v="197.41058349609375"/>
    <n v="225.25787353515625"/>
    <x v="2"/>
    <n v="0"/>
    <n v="0.95367431640625"/>
    <n v="0.95367431640625"/>
    <n v="0.953674316406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7C0E16-4DE6-D34A-B063-A31728807894}"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rowPageCount="1" colPageCount="1"/>
  <pivotFields count="12">
    <pivotField axis="axisPage" showAll="0">
      <items count="5">
        <item x="1"/>
        <item x="0"/>
        <item x="2"/>
        <item x="3"/>
        <item t="default"/>
      </items>
    </pivotField>
    <pivotField showAll="0"/>
    <pivotField axis="axisCol" showAll="0">
      <items count="3">
        <item x="0"/>
        <item x="1"/>
        <item t="default"/>
      </items>
    </pivotField>
    <pivotField showAll="0"/>
    <pivotField numFmtId="164" showAll="0"/>
    <pivotField numFmtId="164" showAll="0"/>
    <pivotField numFmtId="164" showAll="0"/>
    <pivotField axis="axisRow" numFmtId="1" showAll="0">
      <items count="6">
        <item x="0"/>
        <item x="1"/>
        <item x="2"/>
        <item x="3"/>
        <item x="4"/>
        <item t="default"/>
      </items>
    </pivotField>
    <pivotField numFmtId="164" showAll="0"/>
    <pivotField numFmtId="164" showAll="0"/>
    <pivotField dataField="1" numFmtId="164" showAll="0"/>
    <pivotField numFmtId="164" showAll="0"/>
  </pivotFields>
  <rowFields count="1">
    <field x="7"/>
  </rowFields>
  <rowItems count="4">
    <i>
      <x/>
    </i>
    <i>
      <x v="1"/>
    </i>
    <i>
      <x v="2"/>
    </i>
    <i t="grand">
      <x/>
    </i>
  </rowItems>
  <colFields count="1">
    <field x="2"/>
  </colFields>
  <colItems count="3">
    <i>
      <x/>
    </i>
    <i>
      <x v="1"/>
    </i>
    <i t="grand">
      <x/>
    </i>
  </colItems>
  <pageFields count="1">
    <pageField fld="0" item="3" hier="-1"/>
  </pageFields>
  <dataFields count="1">
    <dataField name="Sum of blk_total_mib_delta" fld="10" baseField="0" baseItem="0" numFmtId="164"/>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77112F-98C4-3F4E-9364-6E277F3E1DD5}"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6" firstHeaderRow="1" firstDataRow="2" firstDataCol="1" rowPageCount="1" colPageCount="1"/>
  <pivotFields count="12">
    <pivotField axis="axisPage" showAll="0">
      <items count="5">
        <item x="1"/>
        <item x="0"/>
        <item x="2"/>
        <item x="3"/>
        <item t="default"/>
      </items>
    </pivotField>
    <pivotField showAll="0"/>
    <pivotField axis="axisCol" showAll="0">
      <items count="3">
        <item x="0"/>
        <item x="1"/>
        <item t="default"/>
      </items>
    </pivotField>
    <pivotField showAll="0"/>
    <pivotField numFmtId="164" showAll="0"/>
    <pivotField numFmtId="164" showAll="0"/>
    <pivotField numFmtId="164" showAll="0"/>
    <pivotField axis="axisRow" numFmtId="1" showAll="0">
      <items count="6">
        <item x="0"/>
        <item x="1"/>
        <item x="2"/>
        <item x="3"/>
        <item x="4"/>
        <item t="default"/>
      </items>
    </pivotField>
    <pivotField numFmtId="164" showAll="0"/>
    <pivotField numFmtId="164" showAll="0"/>
    <pivotField dataField="1" numFmtId="164" showAll="0"/>
    <pivotField numFmtId="164" showAll="0"/>
  </pivotFields>
  <rowFields count="1">
    <field x="7"/>
  </rowFields>
  <rowItems count="2">
    <i>
      <x/>
    </i>
    <i t="grand">
      <x/>
    </i>
  </rowItems>
  <colFields count="1">
    <field x="2"/>
  </colFields>
  <colItems count="3">
    <i>
      <x/>
    </i>
    <i>
      <x v="1"/>
    </i>
    <i t="grand">
      <x/>
    </i>
  </colItems>
  <pageFields count="1">
    <pageField fld="0" item="1" hier="-1"/>
  </pageFields>
  <dataFields count="1">
    <dataField name="Sum of blk_total_mib_delta" fld="10" baseField="0" baseItem="0" numFmtId="164"/>
  </dataField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 chart="9" format="14" series="1">
      <pivotArea type="data" outline="0" fieldPosition="0">
        <references count="2">
          <reference field="4294967294" count="1" selected="0">
            <x v="0"/>
          </reference>
          <reference field="2" count="1" selected="0">
            <x v="0"/>
          </reference>
        </references>
      </pivotArea>
    </chartFormat>
    <chartFormat chart="9" format="15" series="1">
      <pivotArea type="data" outline="0" fieldPosition="0">
        <references count="2">
          <reference field="4294967294" count="1" selected="0">
            <x v="0"/>
          </reference>
          <reference field="2" count="1" selected="0">
            <x v="1"/>
          </reference>
        </references>
      </pivotArea>
    </chartFormat>
    <chartFormat chart="15" format="16" series="1">
      <pivotArea type="data" outline="0" fieldPosition="0">
        <references count="2">
          <reference field="4294967294" count="1" selected="0">
            <x v="0"/>
          </reference>
          <reference field="2" count="1" selected="0">
            <x v="0"/>
          </reference>
        </references>
      </pivotArea>
    </chartFormat>
    <chartFormat chart="15" format="17" series="1">
      <pivotArea type="data" outline="0" fieldPosition="0">
        <references count="2">
          <reference field="4294967294" count="1" selected="0">
            <x v="0"/>
          </reference>
          <reference field="2" count="1" selected="0">
            <x v="1"/>
          </reference>
        </references>
      </pivotArea>
    </chartFormat>
    <chartFormat chart="16" format="18" series="1">
      <pivotArea type="data" outline="0" fieldPosition="0">
        <references count="2">
          <reference field="4294967294" count="1" selected="0">
            <x v="0"/>
          </reference>
          <reference field="2" count="1" selected="0">
            <x v="0"/>
          </reference>
        </references>
      </pivotArea>
    </chartFormat>
    <chartFormat chart="16" format="1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133633-4DBF-0147-A9B0-A2C3FFE2C20D}"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D8" firstHeaderRow="1" firstDataRow="2" firstDataCol="1" rowPageCount="1" colPageCount="1"/>
  <pivotFields count="12">
    <pivotField axis="axisPage" showAll="0">
      <items count="5">
        <item x="1"/>
        <item x="0"/>
        <item x="2"/>
        <item x="3"/>
        <item t="default"/>
      </items>
    </pivotField>
    <pivotField showAll="0"/>
    <pivotField axis="axisCol" showAll="0">
      <items count="3">
        <item x="0"/>
        <item x="1"/>
        <item t="default"/>
      </items>
    </pivotField>
    <pivotField showAll="0"/>
    <pivotField numFmtId="164" showAll="0"/>
    <pivotField numFmtId="164" showAll="0"/>
    <pivotField numFmtId="164" showAll="0"/>
    <pivotField axis="axisRow" numFmtId="1" showAll="0">
      <items count="6">
        <item x="0"/>
        <item x="1"/>
        <item x="2"/>
        <item x="3"/>
        <item x="4"/>
        <item t="default"/>
      </items>
    </pivotField>
    <pivotField numFmtId="164" showAll="0"/>
    <pivotField numFmtId="164" showAll="0"/>
    <pivotField dataField="1" numFmtId="164" showAll="0"/>
    <pivotField numFmtId="164" showAll="0"/>
  </pivotFields>
  <rowFields count="1">
    <field x="7"/>
  </rowFields>
  <rowItems count="4">
    <i>
      <x/>
    </i>
    <i>
      <x v="1"/>
    </i>
    <i>
      <x v="2"/>
    </i>
    <i t="grand">
      <x/>
    </i>
  </rowItems>
  <colFields count="1">
    <field x="2"/>
  </colFields>
  <colItems count="3">
    <i>
      <x/>
    </i>
    <i>
      <x v="1"/>
    </i>
    <i t="grand">
      <x/>
    </i>
  </colItems>
  <pageFields count="1">
    <pageField fld="0" item="0" hier="-1"/>
  </pageFields>
  <dataFields count="1">
    <dataField name="Sum of blk_total_mib_delta" fld="10" baseField="0" baseItem="0" numFmtId="164"/>
  </dataFields>
  <chartFormats count="1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 chart="8" format="12" series="1">
      <pivotArea type="data" outline="0" fieldPosition="0">
        <references count="2">
          <reference field="4294967294" count="1" selected="0">
            <x v="0"/>
          </reference>
          <reference field="2" count="1" selected="0">
            <x v="0"/>
          </reference>
        </references>
      </pivotArea>
    </chartFormat>
    <chartFormat chart="8" format="13" series="1">
      <pivotArea type="data" outline="0" fieldPosition="0">
        <references count="2">
          <reference field="4294967294" count="1" selected="0">
            <x v="0"/>
          </reference>
          <reference field="2" count="1" selected="0">
            <x v="1"/>
          </reference>
        </references>
      </pivotArea>
    </chartFormat>
    <chartFormat chart="13" format="12" series="1">
      <pivotArea type="data" outline="0" fieldPosition="0">
        <references count="2">
          <reference field="4294967294" count="1" selected="0">
            <x v="0"/>
          </reference>
          <reference field="2" count="1" selected="0">
            <x v="0"/>
          </reference>
        </references>
      </pivotArea>
    </chartFormat>
    <chartFormat chart="13" format="13" series="1">
      <pivotArea type="data" outline="0" fieldPosition="0">
        <references count="2">
          <reference field="4294967294" count="1" selected="0">
            <x v="0"/>
          </reference>
          <reference field="2" count="1" selected="0">
            <x v="1"/>
          </reference>
        </references>
      </pivotArea>
    </chartFormat>
    <chartFormat chart="20" format="14" series="1">
      <pivotArea type="data" outline="0" fieldPosition="0">
        <references count="2">
          <reference field="4294967294" count="1" selected="0">
            <x v="0"/>
          </reference>
          <reference field="2" count="1" selected="0">
            <x v="0"/>
          </reference>
        </references>
      </pivotArea>
    </chartFormat>
    <chartFormat chart="20" format="15" series="1">
      <pivotArea type="data" outline="0" fieldPosition="0">
        <references count="2">
          <reference field="4294967294" count="1" selected="0">
            <x v="0"/>
          </reference>
          <reference field="2" count="1" selected="0">
            <x v="1"/>
          </reference>
        </references>
      </pivotArea>
    </chartFormat>
    <chartFormat chart="21" format="16" series="1">
      <pivotArea type="data" outline="0" fieldPosition="0">
        <references count="2">
          <reference field="4294967294" count="1" selected="0">
            <x v="0"/>
          </reference>
          <reference field="2" count="1" selected="0">
            <x v="0"/>
          </reference>
        </references>
      </pivotArea>
    </chartFormat>
    <chartFormat chart="21" format="1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3363EC-99D1-6446-8A8B-343979F80455}"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8" firstHeaderRow="1" firstDataRow="2" firstDataCol="1" rowPageCount="1" colPageCount="1"/>
  <pivotFields count="12">
    <pivotField axis="axisPage" showAll="0">
      <items count="5">
        <item x="1"/>
        <item x="0"/>
        <item x="2"/>
        <item x="3"/>
        <item t="default"/>
      </items>
    </pivotField>
    <pivotField showAll="0"/>
    <pivotField axis="axisCol" showAll="0">
      <items count="3">
        <item x="0"/>
        <item x="1"/>
        <item t="default"/>
      </items>
    </pivotField>
    <pivotField showAll="0"/>
    <pivotField numFmtId="164" showAll="0"/>
    <pivotField numFmtId="164" showAll="0"/>
    <pivotField numFmtId="164" showAll="0"/>
    <pivotField axis="axisRow" numFmtId="1" showAll="0">
      <items count="6">
        <item x="0"/>
        <item x="1"/>
        <item x="2"/>
        <item x="3"/>
        <item x="4"/>
        <item t="default"/>
      </items>
    </pivotField>
    <pivotField numFmtId="164" showAll="0"/>
    <pivotField numFmtId="164" showAll="0"/>
    <pivotField dataField="1" numFmtId="164" showAll="0"/>
    <pivotField numFmtId="164" showAll="0"/>
  </pivotFields>
  <rowFields count="1">
    <field x="7"/>
  </rowFields>
  <rowItems count="4">
    <i>
      <x/>
    </i>
    <i>
      <x v="1"/>
    </i>
    <i>
      <x v="2"/>
    </i>
    <i t="grand">
      <x/>
    </i>
  </rowItems>
  <colFields count="1">
    <field x="2"/>
  </colFields>
  <colItems count="3">
    <i>
      <x/>
    </i>
    <i>
      <x v="1"/>
    </i>
    <i t="grand">
      <x/>
    </i>
  </colItems>
  <pageFields count="1">
    <pageField fld="0" item="3" hier="-1"/>
  </pageFields>
  <dataFields count="1">
    <dataField name="Sum of blk_total_mib_delta" fld="10" baseField="0" baseItem="0" numFmtId="164"/>
  </dataFields>
  <chartFormats count="1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 chart="8" format="12" series="1">
      <pivotArea type="data" outline="0" fieldPosition="0">
        <references count="2">
          <reference field="4294967294" count="1" selected="0">
            <x v="0"/>
          </reference>
          <reference field="2" count="1" selected="0">
            <x v="0"/>
          </reference>
        </references>
      </pivotArea>
    </chartFormat>
    <chartFormat chart="8" format="13" series="1">
      <pivotArea type="data" outline="0" fieldPosition="0">
        <references count="2">
          <reference field="4294967294" count="1" selected="0">
            <x v="0"/>
          </reference>
          <reference field="2" count="1" selected="0">
            <x v="1"/>
          </reference>
        </references>
      </pivotArea>
    </chartFormat>
    <chartFormat chart="10" format="16" series="1">
      <pivotArea type="data" outline="0" fieldPosition="0">
        <references count="2">
          <reference field="4294967294" count="1" selected="0">
            <x v="0"/>
          </reference>
          <reference field="2" count="1" selected="0">
            <x v="0"/>
          </reference>
        </references>
      </pivotArea>
    </chartFormat>
    <chartFormat chart="10" format="17" series="1">
      <pivotArea type="data" outline="0" fieldPosition="0">
        <references count="2">
          <reference field="4294967294" count="1" selected="0">
            <x v="0"/>
          </reference>
          <reference field="2" count="1" selected="0">
            <x v="1"/>
          </reference>
        </references>
      </pivotArea>
    </chartFormat>
    <chartFormat chart="13" format="16" series="1">
      <pivotArea type="data" outline="0" fieldPosition="0">
        <references count="2">
          <reference field="4294967294" count="1" selected="0">
            <x v="0"/>
          </reference>
          <reference field="2" count="1" selected="0">
            <x v="0"/>
          </reference>
        </references>
      </pivotArea>
    </chartFormat>
    <chartFormat chart="13" format="17" series="1">
      <pivotArea type="data" outline="0" fieldPosition="0">
        <references count="2">
          <reference field="4294967294" count="1" selected="0">
            <x v="0"/>
          </reference>
          <reference field="2" count="1" selected="0">
            <x v="1"/>
          </reference>
        </references>
      </pivotArea>
    </chartFormat>
    <chartFormat chart="19" format="18" series="1">
      <pivotArea type="data" outline="0" fieldPosition="0">
        <references count="2">
          <reference field="4294967294" count="1" selected="0">
            <x v="0"/>
          </reference>
          <reference field="2" count="1" selected="0">
            <x v="0"/>
          </reference>
        </references>
      </pivotArea>
    </chartFormat>
    <chartFormat chart="19" format="19" series="1">
      <pivotArea type="data" outline="0" fieldPosition="0">
        <references count="2">
          <reference field="4294967294" count="1" selected="0">
            <x v="0"/>
          </reference>
          <reference field="2" count="1" selected="0">
            <x v="1"/>
          </reference>
        </references>
      </pivotArea>
    </chartFormat>
    <chartFormat chart="20" format="20" series="1">
      <pivotArea type="data" outline="0" fieldPosition="0">
        <references count="2">
          <reference field="4294967294" count="1" selected="0">
            <x v="0"/>
          </reference>
          <reference field="2" count="1" selected="0">
            <x v="0"/>
          </reference>
        </references>
      </pivotArea>
    </chartFormat>
    <chartFormat chart="20" format="2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FCCBFD-B20A-8640-A779-8EF322CA6CB3}"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D10" firstHeaderRow="1" firstDataRow="2" firstDataCol="1" rowPageCount="1" colPageCount="1"/>
  <pivotFields count="12">
    <pivotField axis="axisPage" showAll="0">
      <items count="5">
        <item x="1"/>
        <item x="0"/>
        <item x="2"/>
        <item x="3"/>
        <item t="default"/>
      </items>
    </pivotField>
    <pivotField showAll="0"/>
    <pivotField axis="axisCol" showAll="0">
      <items count="3">
        <item x="0"/>
        <item x="1"/>
        <item t="default"/>
      </items>
    </pivotField>
    <pivotField showAll="0"/>
    <pivotField numFmtId="164" showAll="0"/>
    <pivotField numFmtId="164" showAll="0"/>
    <pivotField numFmtId="164" showAll="0"/>
    <pivotField axis="axisRow" numFmtId="1" showAll="0">
      <items count="6">
        <item x="0"/>
        <item x="1"/>
        <item x="2"/>
        <item x="3"/>
        <item x="4"/>
        <item t="default"/>
      </items>
    </pivotField>
    <pivotField numFmtId="164" showAll="0"/>
    <pivotField numFmtId="164" showAll="0"/>
    <pivotField dataField="1" numFmtId="164" showAll="0"/>
    <pivotField numFmtId="164" showAll="0"/>
  </pivotFields>
  <rowFields count="1">
    <field x="7"/>
  </rowFields>
  <rowItems count="6">
    <i>
      <x/>
    </i>
    <i>
      <x v="1"/>
    </i>
    <i>
      <x v="2"/>
    </i>
    <i>
      <x v="3"/>
    </i>
    <i>
      <x v="4"/>
    </i>
    <i t="grand">
      <x/>
    </i>
  </rowItems>
  <colFields count="1">
    <field x="2"/>
  </colFields>
  <colItems count="3">
    <i>
      <x/>
    </i>
    <i>
      <x v="1"/>
    </i>
    <i t="grand">
      <x/>
    </i>
  </colItems>
  <pageFields count="1">
    <pageField fld="0" item="2" hier="-1"/>
  </pageFields>
  <dataFields count="1">
    <dataField name="Sum of blk_total_mib_delta" fld="10" baseField="0" baseItem="0" numFmtId="164"/>
  </dataFields>
  <chartFormats count="1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 chart="8" format="12" series="1">
      <pivotArea type="data" outline="0" fieldPosition="0">
        <references count="2">
          <reference field="4294967294" count="1" selected="0">
            <x v="0"/>
          </reference>
          <reference field="2" count="1" selected="0">
            <x v="0"/>
          </reference>
        </references>
      </pivotArea>
    </chartFormat>
    <chartFormat chart="8" format="13" series="1">
      <pivotArea type="data" outline="0" fieldPosition="0">
        <references count="2">
          <reference field="4294967294" count="1" selected="0">
            <x v="0"/>
          </reference>
          <reference field="2" count="1" selected="0">
            <x v="1"/>
          </reference>
        </references>
      </pivotArea>
    </chartFormat>
    <chartFormat chart="10" format="16" series="1">
      <pivotArea type="data" outline="0" fieldPosition="0">
        <references count="2">
          <reference field="4294967294" count="1" selected="0">
            <x v="0"/>
          </reference>
          <reference field="2" count="1" selected="0">
            <x v="0"/>
          </reference>
        </references>
      </pivotArea>
    </chartFormat>
    <chartFormat chart="10" format="17" series="1">
      <pivotArea type="data" outline="0" fieldPosition="0">
        <references count="2">
          <reference field="4294967294" count="1" selected="0">
            <x v="0"/>
          </reference>
          <reference field="2" count="1" selected="0">
            <x v="1"/>
          </reference>
        </references>
      </pivotArea>
    </chartFormat>
    <chartFormat chart="12" format="20" series="1">
      <pivotArea type="data" outline="0" fieldPosition="0">
        <references count="2">
          <reference field="4294967294" count="1" selected="0">
            <x v="0"/>
          </reference>
          <reference field="2" count="1" selected="0">
            <x v="0"/>
          </reference>
        </references>
      </pivotArea>
    </chartFormat>
    <chartFormat chart="12" format="21" series="1">
      <pivotArea type="data" outline="0" fieldPosition="0">
        <references count="2">
          <reference field="4294967294" count="1" selected="0">
            <x v="0"/>
          </reference>
          <reference field="2" count="1" selected="0">
            <x v="1"/>
          </reference>
        </references>
      </pivotArea>
    </chartFormat>
    <chartFormat chart="15" format="20" series="1">
      <pivotArea type="data" outline="0" fieldPosition="0">
        <references count="2">
          <reference field="4294967294" count="1" selected="0">
            <x v="0"/>
          </reference>
          <reference field="2" count="1" selected="0">
            <x v="0"/>
          </reference>
        </references>
      </pivotArea>
    </chartFormat>
    <chartFormat chart="15" format="21" series="1">
      <pivotArea type="data" outline="0" fieldPosition="0">
        <references count="2">
          <reference field="4294967294" count="1" selected="0">
            <x v="0"/>
          </reference>
          <reference field="2" count="1" selected="0">
            <x v="1"/>
          </reference>
        </references>
      </pivotArea>
    </chartFormat>
    <chartFormat chart="21" format="22" series="1">
      <pivotArea type="data" outline="0" fieldPosition="0">
        <references count="2">
          <reference field="4294967294" count="1" selected="0">
            <x v="0"/>
          </reference>
          <reference field="2" count="1" selected="0">
            <x v="0"/>
          </reference>
        </references>
      </pivotArea>
    </chartFormat>
    <chartFormat chart="21" format="23" series="1">
      <pivotArea type="data" outline="0" fieldPosition="0">
        <references count="2">
          <reference field="4294967294" count="1" selected="0">
            <x v="0"/>
          </reference>
          <reference field="2" count="1" selected="0">
            <x v="1"/>
          </reference>
        </references>
      </pivotArea>
    </chartFormat>
    <chartFormat chart="22" format="24" series="1">
      <pivotArea type="data" outline="0" fieldPosition="0">
        <references count="2">
          <reference field="4294967294" count="1" selected="0">
            <x v="0"/>
          </reference>
          <reference field="2" count="1" selected="0">
            <x v="0"/>
          </reference>
        </references>
      </pivotArea>
    </chartFormat>
    <chartFormat chart="22" format="2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A156D9-566B-AD46-B983-F2F7F5295D1A}"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F10" firstHeaderRow="1" firstDataRow="2" firstDataCol="1"/>
  <pivotFields count="12">
    <pivotField axis="axisCol" showAll="0">
      <items count="5">
        <item x="1"/>
        <item x="0"/>
        <item x="2"/>
        <item x="3"/>
        <item t="default"/>
      </items>
    </pivotField>
    <pivotField showAll="0"/>
    <pivotField showAll="0">
      <items count="3">
        <item x="0"/>
        <item x="1"/>
        <item t="default"/>
      </items>
    </pivotField>
    <pivotField showAll="0"/>
    <pivotField numFmtId="164" showAll="0"/>
    <pivotField numFmtId="164" showAll="0"/>
    <pivotField numFmtId="164" showAll="0"/>
    <pivotField axis="axisRow" numFmtId="1" showAll="0">
      <items count="6">
        <item x="0"/>
        <item x="1"/>
        <item x="2"/>
        <item x="3"/>
        <item x="4"/>
        <item t="default"/>
      </items>
    </pivotField>
    <pivotField numFmtId="164" showAll="0"/>
    <pivotField numFmtId="164" showAll="0"/>
    <pivotField dataField="1" numFmtId="164" showAll="0"/>
    <pivotField numFmtId="164" showAll="0"/>
  </pivotFields>
  <rowFields count="1">
    <field x="7"/>
  </rowFields>
  <rowItems count="6">
    <i>
      <x/>
    </i>
    <i>
      <x v="1"/>
    </i>
    <i>
      <x v="2"/>
    </i>
    <i>
      <x v="3"/>
    </i>
    <i>
      <x v="4"/>
    </i>
    <i t="grand">
      <x/>
    </i>
  </rowItems>
  <colFields count="1">
    <field x="0"/>
  </colFields>
  <colItems count="5">
    <i>
      <x/>
    </i>
    <i>
      <x v="1"/>
    </i>
    <i>
      <x v="2"/>
    </i>
    <i>
      <x v="3"/>
    </i>
    <i t="grand">
      <x/>
    </i>
  </colItems>
  <dataFields count="1">
    <dataField name="Sum of blk_total_mib_delta" fld="10" baseField="0" baseItem="0" numFmtId="164"/>
  </dataFields>
  <chartFormats count="4">
    <chartFormat chart="12" format="28" series="1">
      <pivotArea type="data" outline="0" fieldPosition="0">
        <references count="2">
          <reference field="4294967294" count="1" selected="0">
            <x v="0"/>
          </reference>
          <reference field="0" count="1" selected="0">
            <x v="0"/>
          </reference>
        </references>
      </pivotArea>
    </chartFormat>
    <chartFormat chart="12" format="29" series="1">
      <pivotArea type="data" outline="0" fieldPosition="0">
        <references count="2">
          <reference field="4294967294" count="1" selected="0">
            <x v="0"/>
          </reference>
          <reference field="0" count="1" selected="0">
            <x v="1"/>
          </reference>
        </references>
      </pivotArea>
    </chartFormat>
    <chartFormat chart="12" format="30" series="1">
      <pivotArea type="data" outline="0" fieldPosition="0">
        <references count="2">
          <reference field="4294967294" count="1" selected="0">
            <x v="0"/>
          </reference>
          <reference field="0" count="1" selected="0">
            <x v="2"/>
          </reference>
        </references>
      </pivotArea>
    </chartFormat>
    <chartFormat chart="12" format="3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 xr10:uid="{94EB4051-4CAB-C644-841B-67A7019F7328}" sourceName="dataset">
  <pivotTables>
    <pivotTable tabId="2" name="PivotTable4"/>
  </pivotTables>
  <data>
    <tabular pivotCacheId="1237190281">
      <items count="4">
        <i x="1"/>
        <i x="0"/>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 xr10:uid="{C85F1337-07E5-6548-8F3E-7B29DE62DC3B}" sourceName="dataset">
  <pivotTables>
    <pivotTable tabId="3" name="PivotTable4"/>
  </pivotTables>
  <data>
    <tabular pivotCacheId="1237190281">
      <items count="4">
        <i x="1"/>
        <i x="0" s="1"/>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1" xr10:uid="{06B60550-87A2-0246-B511-B4E36D512B6A}" sourceName="dataset">
  <pivotTables>
    <pivotTable tabId="4" name="PivotTable4"/>
  </pivotTables>
  <data>
    <tabular pivotCacheId="1237190281">
      <items count="4">
        <i x="1" s="1"/>
        <i x="0"/>
        <i x="2"/>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11" xr10:uid="{D7BFFC26-7697-7346-B57F-4BA5F41D17C5}" sourceName="dataset">
  <pivotTables>
    <pivotTable tabId="5" name="PivotTable4"/>
  </pivotTables>
  <data>
    <tabular pivotCacheId="1237190281">
      <items count="4">
        <i x="1"/>
        <i x="0"/>
        <i x="2"/>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111" xr10:uid="{98C4FC4A-EB88-2C4E-ACA0-9B68519DCFF3}" sourceName="dataset">
  <pivotTables>
    <pivotTable tabId="6" name="PivotTable4"/>
  </pivotTables>
  <data>
    <tabular pivotCacheId="1237190281">
      <items count="4">
        <i x="1"/>
        <i x="0"/>
        <i x="2" s="1"/>
        <i x="3"/>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1111" xr10:uid="{58B3AC3B-A153-C240-80D0-AA0DAF72D134}" sourceName="dataset">
  <pivotTables>
    <pivotTable tabId="7" name="PivotTable4"/>
  </pivotTables>
  <data>
    <tabular pivotCacheId="1237190281">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xr10:uid="{C2DE09F4-738A-744D-AFCF-B88070DC90E1}" cache="Slicer_dataset" caption="datase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1" xr10:uid="{DCC0648D-F34D-2B49-8F7B-514EFB3E47A8}" cache="Slicer_dataset1" caption="dataset"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2" xr10:uid="{72010883-1ED5-FF40-8BEE-C007D1D7B16C}" cache="Slicer_dataset11" caption="dataset"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3" xr10:uid="{A5A473C2-132E-8E41-BCBA-1D3B30574600}" cache="Slicer_dataset111" caption="dataset"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4" xr10:uid="{7032708F-B952-A940-B00D-95C2CF97F25F}" cache="Slicer_dataset1111" caption="dataset"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5" xr10:uid="{190F3C40-79A3-3A45-82C0-D079296F4D44}" cache="Slicer_dataset11111" caption="dataset"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
  <sheetViews>
    <sheetView tabSelected="1" workbookViewId="0">
      <selection activeCell="F9" sqref="F9"/>
    </sheetView>
  </sheetViews>
  <sheetFormatPr baseColWidth="10" defaultRowHeight="16" x14ac:dyDescent="0.2"/>
  <cols>
    <col min="1" max="1" width="39.5" customWidth="1"/>
    <col min="3" max="3" width="29.5" customWidth="1"/>
    <col min="4" max="4" width="27"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v>1767075374</v>
      </c>
      <c r="C2" t="s">
        <v>13</v>
      </c>
      <c r="D2" t="s">
        <v>14</v>
      </c>
      <c r="E2" s="1">
        <f t="shared" ref="E2:E25" si="0">IFERROR(IF(RIGHT(UPPER(TRIM(LEFT($D2,FIND("/",$D2)-1))),3)="KIB",(VALUE(LEFT(TRIM(LEFT($D2,FIND("/",$D2)-1)),LEN(TRIM(LEFT($D2,FIND("/",$D2)-1)))-3))*1024/1024/1024),IF(RIGHT(UPPER(TRIM(LEFT($D2,FIND("/",$D2)-1))),3)="MIB",(VALUE(LEFT(TRIM(LEFT($D2,FIND("/",$D2)-1)),LEN(TRIM(LEFT($D2,FIND("/",$D2)-1)))-3))),IF(RIGHT(UPPER(TRIM(LEFT($D2,FIND("/",$D2)-1))),3)="GIB",(VALUE(LEFT(TRIM(LEFT($D2,FIND("/",$D2)-1)),LEN(TRIM(LEFT($D2,FIND("/",$D2)-1)))-3))*1024),IF(RIGHT(UPPER(TRIM(LEFT($D2,FIND("/",$D2)-1))),2)="KB",(VALUE(LEFT(TRIM(LEFT($D2,FIND("/",$D2)-1)),LEN(TRIM(LEFT($D2,FIND("/",$D2)-1)))-2))*1000/1024/1024),IF(RIGHT(UPPER(TRIM(LEFT($D2,FIND("/",$D2)-1))),2)="MB",(VALUE(LEFT(TRIM(LEFT($D2,FIND("/",$D2)-1)),LEN(TRIM(LEFT($D2,FIND("/",$D2)-1)))-2))*1000*1000/1024/1024),IF(RIGHT(UPPER(TRIM(LEFT($D2,FIND("/",$D2)-1))),2)="GB",(VALUE(LEFT(TRIM(LEFT($D2,FIND("/",$D2)-1)),LEN(TRIM(LEFT($D2,FIND("/",$D2)-1)))-2))*1000*1000*1000/1024/1024),IF(RIGHT(UPPER(TRIM(LEFT($D2,FIND("/",$D2)-1))),1)="B",(VALUE(LEFT(TRIM(LEFT($D2,FIND("/",$D2)-1)),LEN(TRIM(LEFT($D2,FIND("/",$D2)-1)))-1))/1024/1024),0))))))),0)</f>
        <v>62.084197998046868</v>
      </c>
      <c r="F2" s="1">
        <f t="shared" ref="F2:F25" si="1">IFERROR(IF(RIGHT(UPPER(TRIM(MID($D2,FIND("/",$D2)+1,999))),3)="KIB",(VALUE(LEFT(TRIM(MID($D2,FIND("/",$D2)+1,999)),LEN(TRIM(MID($D2,FIND("/",$D2)+1,999)))-3))*1024/1024/1024),IF(RIGHT(UPPER(TRIM(MID($D2,FIND("/",$D2)+1,999))),3)="MIB",(VALUE(LEFT(TRIM(MID($D2,FIND("/",$D2)+1,999)),LEN(TRIM(MID($D2,FIND("/",$D2)+1,999)))-3))),IF(RIGHT(UPPER(TRIM(MID($D2,FIND("/",$D2)+1,999))),3)="GIB",(VALUE(LEFT(TRIM(MID($D2,FIND("/",$D2)+1,999)),LEN(TRIM(MID($D2,FIND("/",$D2)+1,999)))-3))*1024),IF(RIGHT(UPPER(TRIM(MID($D2,FIND("/",$D2)+1,999))),2)="KB",(VALUE(LEFT(TRIM(MID($D2,FIND("/",$D2)+1,999)),LEN(TRIM(MID($D2,FIND("/",$D2)+1,999)))-2))*1000/1024/1024),IF(RIGHT(UPPER(TRIM(MID($D2,FIND("/",$D2)+1,999))),2)="MB",(VALUE(LEFT(TRIM(MID($D2,FIND("/",$D2)+1,999)),LEN(TRIM(MID($D2,FIND("/",$D2)+1,999)))-2))*1000*1000/1024/1024),IF(RIGHT(UPPER(TRIM(MID($D2,FIND("/",$D2)+1,999))),2)="GB",(VALUE(LEFT(TRIM(MID($D2,FIND("/",$D2)+1,999)),LEN(TRIM(MID($D2,FIND("/",$D2)+1,999)))-2))*1000*1000*1000/1024/1024),IF(RIGHT(UPPER(TRIM(MID($D2,FIND("/",$D2)+1,999))),1)="B",(VALUE(LEFT(TRIM(MID($D2,FIND("/",$D2)+1,999)),LEN(TRIM(MID($D2,FIND("/",$D2)+1,999)))-1))/1024/1024),0))))))),0)</f>
        <v>9.3746185302734375E-2</v>
      </c>
      <c r="G2" s="1">
        <f t="shared" ref="G2:G25" si="2">$E2+$F2</f>
        <v>62.177944183349602</v>
      </c>
      <c r="H2" s="2">
        <f t="shared" ref="H2:H25" si="3">IF($A2&lt;&gt;$A1,0,IF($B2=$B1,$H1,$H1+5))</f>
        <v>0</v>
      </c>
      <c r="I2" s="1">
        <f t="shared" ref="I2:I25" si="4">IF($H2=0,0,MAX(0,$E2-SUMIFS($E:$E,$A:$A,$A2,$C:$C,$C2,$H:$H,$H2-5)))</f>
        <v>0</v>
      </c>
      <c r="J2" s="1">
        <f t="shared" ref="J2:J25" si="5">IF($H2=0,0,MAX(0,$F2-SUMIFS($F:$F,$A:$A,$A2,$C:$C,$C2,$H:$H,$H2-5)))</f>
        <v>0</v>
      </c>
      <c r="K2" s="1">
        <f t="shared" ref="K2:K25" si="6">IF($H2=0,0,MAX(0,$G2-SUMIFS($G:$G,$A:$A,$A2,$C:$C,$C2,$H:$H,$H2-5)))</f>
        <v>0</v>
      </c>
      <c r="L2" s="1">
        <f t="shared" ref="L2:L25" si="7">MAX(0,$G2-SUMIFS($G:$G,$A:$A,$A2,$C:$C,$C2,$H:$H,0))</f>
        <v>0</v>
      </c>
    </row>
    <row r="3" spans="1:12" x14ac:dyDescent="0.2">
      <c r="A3" t="s">
        <v>12</v>
      </c>
      <c r="B3">
        <v>1767075374</v>
      </c>
      <c r="C3" t="s">
        <v>15</v>
      </c>
      <c r="D3" t="s">
        <v>16</v>
      </c>
      <c r="E3" s="1">
        <f t="shared" si="0"/>
        <v>27.4658203125</v>
      </c>
      <c r="F3" s="1">
        <f t="shared" si="1"/>
        <v>6.2465667724609375E-2</v>
      </c>
      <c r="G3" s="1">
        <f t="shared" si="2"/>
        <v>27.528285980224609</v>
      </c>
      <c r="H3" s="2">
        <f t="shared" si="3"/>
        <v>0</v>
      </c>
      <c r="I3" s="1">
        <f t="shared" si="4"/>
        <v>0</v>
      </c>
      <c r="J3" s="1">
        <f t="shared" si="5"/>
        <v>0</v>
      </c>
      <c r="K3" s="1">
        <f t="shared" si="6"/>
        <v>0</v>
      </c>
      <c r="L3" s="1">
        <f t="shared" si="7"/>
        <v>0</v>
      </c>
    </row>
    <row r="4" spans="1:12" x14ac:dyDescent="0.2">
      <c r="A4" t="s">
        <v>17</v>
      </c>
      <c r="B4">
        <v>1767075378</v>
      </c>
      <c r="C4" t="s">
        <v>13</v>
      </c>
      <c r="D4" t="s">
        <v>18</v>
      </c>
      <c r="E4" s="1">
        <f t="shared" si="0"/>
        <v>64.563751220703125</v>
      </c>
      <c r="F4" s="1">
        <f t="shared" si="1"/>
        <v>0.9059906005859375</v>
      </c>
      <c r="G4" s="1">
        <f t="shared" si="2"/>
        <v>65.469741821289062</v>
      </c>
      <c r="H4" s="2">
        <f t="shared" si="3"/>
        <v>0</v>
      </c>
      <c r="I4" s="1">
        <f t="shared" si="4"/>
        <v>0</v>
      </c>
      <c r="J4" s="1">
        <f t="shared" si="5"/>
        <v>0</v>
      </c>
      <c r="K4" s="1">
        <f t="shared" si="6"/>
        <v>0</v>
      </c>
      <c r="L4" s="1">
        <f t="shared" si="7"/>
        <v>0</v>
      </c>
    </row>
    <row r="5" spans="1:12" x14ac:dyDescent="0.2">
      <c r="A5" t="s">
        <v>17</v>
      </c>
      <c r="B5">
        <v>1767075378</v>
      </c>
      <c r="C5" t="s">
        <v>15</v>
      </c>
      <c r="D5" t="s">
        <v>19</v>
      </c>
      <c r="E5" s="1">
        <f t="shared" si="0"/>
        <v>27.751922607421875</v>
      </c>
      <c r="F5" s="1">
        <f t="shared" si="1"/>
        <v>0.85163116455078125</v>
      </c>
      <c r="G5" s="1">
        <f t="shared" si="2"/>
        <v>28.603553771972656</v>
      </c>
      <c r="H5" s="2">
        <f t="shared" si="3"/>
        <v>0</v>
      </c>
      <c r="I5" s="1">
        <f t="shared" si="4"/>
        <v>0</v>
      </c>
      <c r="J5" s="1">
        <f t="shared" si="5"/>
        <v>0</v>
      </c>
      <c r="K5" s="1">
        <f t="shared" si="6"/>
        <v>0</v>
      </c>
      <c r="L5" s="1">
        <f t="shared" si="7"/>
        <v>0</v>
      </c>
    </row>
    <row r="6" spans="1:12" x14ac:dyDescent="0.2">
      <c r="A6" t="s">
        <v>17</v>
      </c>
      <c r="B6">
        <v>1767075386</v>
      </c>
      <c r="C6" t="s">
        <v>13</v>
      </c>
      <c r="D6" t="s">
        <v>18</v>
      </c>
      <c r="E6" s="1">
        <f t="shared" si="0"/>
        <v>64.563751220703125</v>
      </c>
      <c r="F6" s="1">
        <f t="shared" si="1"/>
        <v>0.9059906005859375</v>
      </c>
      <c r="G6" s="1">
        <f t="shared" si="2"/>
        <v>65.469741821289062</v>
      </c>
      <c r="H6" s="2">
        <f t="shared" si="3"/>
        <v>5</v>
      </c>
      <c r="I6" s="1">
        <f t="shared" si="4"/>
        <v>0</v>
      </c>
      <c r="J6" s="1">
        <f t="shared" si="5"/>
        <v>0</v>
      </c>
      <c r="K6" s="1">
        <f t="shared" si="6"/>
        <v>0</v>
      </c>
      <c r="L6" s="1">
        <f t="shared" si="7"/>
        <v>0</v>
      </c>
    </row>
    <row r="7" spans="1:12" x14ac:dyDescent="0.2">
      <c r="A7" t="s">
        <v>17</v>
      </c>
      <c r="B7">
        <v>1767075386</v>
      </c>
      <c r="C7" t="s">
        <v>15</v>
      </c>
      <c r="D7" t="s">
        <v>20</v>
      </c>
      <c r="E7" s="1">
        <f t="shared" si="0"/>
        <v>27.751922607421875</v>
      </c>
      <c r="F7" s="1">
        <f t="shared" si="1"/>
        <v>0.85544586181640625</v>
      </c>
      <c r="G7" s="1">
        <f t="shared" si="2"/>
        <v>28.607368469238281</v>
      </c>
      <c r="H7" s="2">
        <f t="shared" si="3"/>
        <v>5</v>
      </c>
      <c r="I7" s="1">
        <f t="shared" si="4"/>
        <v>0</v>
      </c>
      <c r="J7" s="1">
        <f t="shared" si="5"/>
        <v>3.814697265625E-3</v>
      </c>
      <c r="K7" s="1">
        <f t="shared" si="6"/>
        <v>3.814697265625E-3</v>
      </c>
      <c r="L7" s="1">
        <f t="shared" si="7"/>
        <v>3.814697265625E-3</v>
      </c>
    </row>
    <row r="8" spans="1:12" x14ac:dyDescent="0.2">
      <c r="A8" t="s">
        <v>17</v>
      </c>
      <c r="B8">
        <v>1767075393</v>
      </c>
      <c r="C8" t="s">
        <v>13</v>
      </c>
      <c r="D8" t="s">
        <v>21</v>
      </c>
      <c r="E8" s="1">
        <f t="shared" si="0"/>
        <v>64.563751220703125</v>
      </c>
      <c r="F8" s="1">
        <f t="shared" si="1"/>
        <v>1.811981201171875</v>
      </c>
      <c r="G8" s="1">
        <f t="shared" si="2"/>
        <v>66.375732421875</v>
      </c>
      <c r="H8" s="2">
        <f t="shared" si="3"/>
        <v>10</v>
      </c>
      <c r="I8" s="1">
        <f t="shared" si="4"/>
        <v>0</v>
      </c>
      <c r="J8" s="1">
        <f t="shared" si="5"/>
        <v>0.9059906005859375</v>
      </c>
      <c r="K8" s="1">
        <f t="shared" si="6"/>
        <v>0.9059906005859375</v>
      </c>
      <c r="L8" s="1">
        <f t="shared" si="7"/>
        <v>0.9059906005859375</v>
      </c>
    </row>
    <row r="9" spans="1:12" x14ac:dyDescent="0.2">
      <c r="A9" t="s">
        <v>17</v>
      </c>
      <c r="B9">
        <v>1767075393</v>
      </c>
      <c r="C9" t="s">
        <v>15</v>
      </c>
      <c r="D9" t="s">
        <v>22</v>
      </c>
      <c r="E9" s="1">
        <f t="shared" si="0"/>
        <v>27.8472900390625</v>
      </c>
      <c r="F9" s="1">
        <f t="shared" si="1"/>
        <v>57.79266357421875</v>
      </c>
      <c r="G9" s="1">
        <f t="shared" si="2"/>
        <v>85.63995361328125</v>
      </c>
      <c r="H9" s="2">
        <f t="shared" si="3"/>
        <v>10</v>
      </c>
      <c r="I9" s="1">
        <f t="shared" si="4"/>
        <v>9.5367431640625E-2</v>
      </c>
      <c r="J9" s="1">
        <f t="shared" si="5"/>
        <v>56.937217712402344</v>
      </c>
      <c r="K9" s="1">
        <f t="shared" si="6"/>
        <v>57.032585144042969</v>
      </c>
      <c r="L9" s="1">
        <f t="shared" si="7"/>
        <v>57.036399841308594</v>
      </c>
    </row>
    <row r="10" spans="1:12" x14ac:dyDescent="0.2">
      <c r="A10" t="s">
        <v>23</v>
      </c>
      <c r="B10">
        <v>1767075394</v>
      </c>
      <c r="C10" t="s">
        <v>13</v>
      </c>
      <c r="D10" t="s">
        <v>21</v>
      </c>
      <c r="E10" s="1">
        <f t="shared" si="0"/>
        <v>64.563751220703125</v>
      </c>
      <c r="F10" s="1">
        <f t="shared" si="1"/>
        <v>1.811981201171875</v>
      </c>
      <c r="G10" s="1">
        <f t="shared" si="2"/>
        <v>66.375732421875</v>
      </c>
      <c r="H10" s="2">
        <f t="shared" si="3"/>
        <v>0</v>
      </c>
      <c r="I10" s="1">
        <f t="shared" si="4"/>
        <v>0</v>
      </c>
      <c r="J10" s="1">
        <f t="shared" si="5"/>
        <v>0</v>
      </c>
      <c r="K10" s="1">
        <f t="shared" si="6"/>
        <v>0</v>
      </c>
      <c r="L10" s="1">
        <f t="shared" si="7"/>
        <v>0</v>
      </c>
    </row>
    <row r="11" spans="1:12" x14ac:dyDescent="0.2">
      <c r="A11" t="s">
        <v>23</v>
      </c>
      <c r="B11">
        <v>1767075394</v>
      </c>
      <c r="C11" t="s">
        <v>15</v>
      </c>
      <c r="D11" t="s">
        <v>22</v>
      </c>
      <c r="E11" s="1">
        <f t="shared" si="0"/>
        <v>27.8472900390625</v>
      </c>
      <c r="F11" s="1">
        <f t="shared" si="1"/>
        <v>57.79266357421875</v>
      </c>
      <c r="G11" s="1">
        <f t="shared" si="2"/>
        <v>85.63995361328125</v>
      </c>
      <c r="H11" s="2">
        <f t="shared" si="3"/>
        <v>0</v>
      </c>
      <c r="I11" s="1">
        <f t="shared" si="4"/>
        <v>0</v>
      </c>
      <c r="J11" s="1">
        <f t="shared" si="5"/>
        <v>0</v>
      </c>
      <c r="K11" s="1">
        <f t="shared" si="6"/>
        <v>0</v>
      </c>
      <c r="L11" s="1">
        <f t="shared" si="7"/>
        <v>0</v>
      </c>
    </row>
    <row r="12" spans="1:12" x14ac:dyDescent="0.2">
      <c r="A12" t="s">
        <v>23</v>
      </c>
      <c r="B12">
        <v>1767075401</v>
      </c>
      <c r="C12" t="s">
        <v>13</v>
      </c>
      <c r="D12" t="s">
        <v>21</v>
      </c>
      <c r="E12" s="1">
        <f t="shared" si="0"/>
        <v>64.563751220703125</v>
      </c>
      <c r="F12" s="1">
        <f t="shared" si="1"/>
        <v>1.811981201171875</v>
      </c>
      <c r="G12" s="1">
        <f t="shared" si="2"/>
        <v>66.375732421875</v>
      </c>
      <c r="H12" s="2">
        <f t="shared" si="3"/>
        <v>5</v>
      </c>
      <c r="I12" s="1">
        <f t="shared" si="4"/>
        <v>0</v>
      </c>
      <c r="J12" s="1">
        <f t="shared" si="5"/>
        <v>0</v>
      </c>
      <c r="K12" s="1">
        <f t="shared" si="6"/>
        <v>0</v>
      </c>
      <c r="L12" s="1">
        <f t="shared" si="7"/>
        <v>0</v>
      </c>
    </row>
    <row r="13" spans="1:12" x14ac:dyDescent="0.2">
      <c r="A13" t="s">
        <v>23</v>
      </c>
      <c r="B13">
        <v>1767075401</v>
      </c>
      <c r="C13" t="s">
        <v>15</v>
      </c>
      <c r="D13" t="s">
        <v>22</v>
      </c>
      <c r="E13" s="1">
        <f t="shared" si="0"/>
        <v>27.8472900390625</v>
      </c>
      <c r="F13" s="1">
        <f t="shared" si="1"/>
        <v>57.79266357421875</v>
      </c>
      <c r="G13" s="1">
        <f t="shared" si="2"/>
        <v>85.63995361328125</v>
      </c>
      <c r="H13" s="2">
        <f t="shared" si="3"/>
        <v>5</v>
      </c>
      <c r="I13" s="1">
        <f t="shared" si="4"/>
        <v>0</v>
      </c>
      <c r="J13" s="1">
        <f t="shared" si="5"/>
        <v>0</v>
      </c>
      <c r="K13" s="1">
        <f t="shared" si="6"/>
        <v>0</v>
      </c>
      <c r="L13" s="1">
        <f t="shared" si="7"/>
        <v>0</v>
      </c>
    </row>
    <row r="14" spans="1:12" x14ac:dyDescent="0.2">
      <c r="A14" t="s">
        <v>23</v>
      </c>
      <c r="B14">
        <v>1767075409</v>
      </c>
      <c r="C14" t="s">
        <v>13</v>
      </c>
      <c r="D14" t="s">
        <v>24</v>
      </c>
      <c r="E14" s="1">
        <f t="shared" si="0"/>
        <v>64.563751220703125</v>
      </c>
      <c r="F14" s="1">
        <f t="shared" si="1"/>
        <v>1.94549560546875</v>
      </c>
      <c r="G14" s="1">
        <f t="shared" si="2"/>
        <v>66.509246826171875</v>
      </c>
      <c r="H14" s="2">
        <f t="shared" si="3"/>
        <v>10</v>
      </c>
      <c r="I14" s="1">
        <f t="shared" si="4"/>
        <v>0</v>
      </c>
      <c r="J14" s="1">
        <f t="shared" si="5"/>
        <v>0.133514404296875</v>
      </c>
      <c r="K14" s="1">
        <f t="shared" si="6"/>
        <v>0.133514404296875</v>
      </c>
      <c r="L14" s="1">
        <f t="shared" si="7"/>
        <v>0.133514404296875</v>
      </c>
    </row>
    <row r="15" spans="1:12" x14ac:dyDescent="0.2">
      <c r="A15" t="s">
        <v>23</v>
      </c>
      <c r="B15">
        <v>1767075409</v>
      </c>
      <c r="C15" t="s">
        <v>15</v>
      </c>
      <c r="D15" t="s">
        <v>22</v>
      </c>
      <c r="E15" s="1">
        <f t="shared" si="0"/>
        <v>27.8472900390625</v>
      </c>
      <c r="F15" s="1">
        <f t="shared" si="1"/>
        <v>57.79266357421875</v>
      </c>
      <c r="G15" s="1">
        <f t="shared" si="2"/>
        <v>85.63995361328125</v>
      </c>
      <c r="H15" s="2">
        <f t="shared" si="3"/>
        <v>10</v>
      </c>
      <c r="I15" s="1">
        <f t="shared" si="4"/>
        <v>0</v>
      </c>
      <c r="J15" s="1">
        <f t="shared" si="5"/>
        <v>0</v>
      </c>
      <c r="K15" s="1">
        <f t="shared" si="6"/>
        <v>0</v>
      </c>
      <c r="L15" s="1">
        <f t="shared" si="7"/>
        <v>0</v>
      </c>
    </row>
    <row r="16" spans="1:12" x14ac:dyDescent="0.2">
      <c r="A16" t="s">
        <v>23</v>
      </c>
      <c r="B16">
        <v>1767075416</v>
      </c>
      <c r="C16" t="s">
        <v>13</v>
      </c>
      <c r="D16" t="s">
        <v>24</v>
      </c>
      <c r="E16" s="1">
        <f t="shared" si="0"/>
        <v>64.563751220703125</v>
      </c>
      <c r="F16" s="1">
        <f t="shared" si="1"/>
        <v>1.94549560546875</v>
      </c>
      <c r="G16" s="1">
        <f t="shared" si="2"/>
        <v>66.509246826171875</v>
      </c>
      <c r="H16" s="2">
        <f t="shared" si="3"/>
        <v>15</v>
      </c>
      <c r="I16" s="1">
        <f t="shared" si="4"/>
        <v>0</v>
      </c>
      <c r="J16" s="1">
        <f t="shared" si="5"/>
        <v>0</v>
      </c>
      <c r="K16" s="1">
        <f t="shared" si="6"/>
        <v>0</v>
      </c>
      <c r="L16" s="1">
        <f t="shared" si="7"/>
        <v>0.133514404296875</v>
      </c>
    </row>
    <row r="17" spans="1:12" x14ac:dyDescent="0.2">
      <c r="A17" t="s">
        <v>23</v>
      </c>
      <c r="B17">
        <v>1767075416</v>
      </c>
      <c r="C17" t="s">
        <v>15</v>
      </c>
      <c r="D17" t="s">
        <v>22</v>
      </c>
      <c r="E17" s="1">
        <f t="shared" si="0"/>
        <v>27.8472900390625</v>
      </c>
      <c r="F17" s="1">
        <f t="shared" si="1"/>
        <v>57.79266357421875</v>
      </c>
      <c r="G17" s="1">
        <f t="shared" si="2"/>
        <v>85.63995361328125</v>
      </c>
      <c r="H17" s="2">
        <f t="shared" si="3"/>
        <v>15</v>
      </c>
      <c r="I17" s="1">
        <f t="shared" si="4"/>
        <v>0</v>
      </c>
      <c r="J17" s="1">
        <f t="shared" si="5"/>
        <v>0</v>
      </c>
      <c r="K17" s="1">
        <f t="shared" si="6"/>
        <v>0</v>
      </c>
      <c r="L17" s="1">
        <f t="shared" si="7"/>
        <v>0</v>
      </c>
    </row>
    <row r="18" spans="1:12" x14ac:dyDescent="0.2">
      <c r="A18" t="s">
        <v>23</v>
      </c>
      <c r="B18">
        <v>1767075424</v>
      </c>
      <c r="C18" t="s">
        <v>13</v>
      </c>
      <c r="D18" t="s">
        <v>25</v>
      </c>
      <c r="E18" s="1">
        <f t="shared" si="0"/>
        <v>64.563751220703125</v>
      </c>
      <c r="F18" s="1">
        <f t="shared" si="1"/>
        <v>2.70843505859375</v>
      </c>
      <c r="G18" s="1">
        <f t="shared" si="2"/>
        <v>67.272186279296875</v>
      </c>
      <c r="H18" s="2">
        <f t="shared" si="3"/>
        <v>20</v>
      </c>
      <c r="I18" s="1">
        <f t="shared" si="4"/>
        <v>0</v>
      </c>
      <c r="J18" s="1">
        <f t="shared" si="5"/>
        <v>0.762939453125</v>
      </c>
      <c r="K18" s="1">
        <f t="shared" si="6"/>
        <v>0.762939453125</v>
      </c>
      <c r="L18" s="1">
        <f t="shared" si="7"/>
        <v>0.896453857421875</v>
      </c>
    </row>
    <row r="19" spans="1:12" x14ac:dyDescent="0.2">
      <c r="A19" t="s">
        <v>23</v>
      </c>
      <c r="B19">
        <v>1767075424</v>
      </c>
      <c r="C19" t="s">
        <v>15</v>
      </c>
      <c r="D19" t="s">
        <v>26</v>
      </c>
      <c r="E19" s="1">
        <f t="shared" si="0"/>
        <v>27.8472900390625</v>
      </c>
      <c r="F19" s="1">
        <f t="shared" si="1"/>
        <v>195.50323486328125</v>
      </c>
      <c r="G19" s="1">
        <f t="shared" si="2"/>
        <v>223.35052490234375</v>
      </c>
      <c r="H19" s="2">
        <f t="shared" si="3"/>
        <v>20</v>
      </c>
      <c r="I19" s="1">
        <f t="shared" si="4"/>
        <v>0</v>
      </c>
      <c r="J19" s="1">
        <f t="shared" si="5"/>
        <v>137.7105712890625</v>
      </c>
      <c r="K19" s="1">
        <f t="shared" si="6"/>
        <v>137.7105712890625</v>
      </c>
      <c r="L19" s="1">
        <f t="shared" si="7"/>
        <v>137.7105712890625</v>
      </c>
    </row>
    <row r="20" spans="1:12" x14ac:dyDescent="0.2">
      <c r="A20" t="s">
        <v>27</v>
      </c>
      <c r="B20">
        <v>1767075431</v>
      </c>
      <c r="C20" t="s">
        <v>13</v>
      </c>
      <c r="D20" t="s">
        <v>28</v>
      </c>
      <c r="E20" s="1">
        <f t="shared" si="0"/>
        <v>64.563751220703125</v>
      </c>
      <c r="F20" s="1">
        <f t="shared" si="1"/>
        <v>2.7370452880859375</v>
      </c>
      <c r="G20" s="1">
        <f t="shared" si="2"/>
        <v>67.300796508789062</v>
      </c>
      <c r="H20" s="2">
        <f t="shared" si="3"/>
        <v>0</v>
      </c>
      <c r="I20" s="1">
        <f t="shared" si="4"/>
        <v>0</v>
      </c>
      <c r="J20" s="1">
        <f t="shared" si="5"/>
        <v>0</v>
      </c>
      <c r="K20" s="1">
        <f t="shared" si="6"/>
        <v>0</v>
      </c>
      <c r="L20" s="1">
        <f t="shared" si="7"/>
        <v>0</v>
      </c>
    </row>
    <row r="21" spans="1:12" x14ac:dyDescent="0.2">
      <c r="A21" t="s">
        <v>27</v>
      </c>
      <c r="B21">
        <v>1767075431</v>
      </c>
      <c r="C21" t="s">
        <v>15</v>
      </c>
      <c r="D21" t="s">
        <v>29</v>
      </c>
      <c r="E21" s="1">
        <f t="shared" si="0"/>
        <v>27.8472900390625</v>
      </c>
      <c r="F21" s="1">
        <f t="shared" si="1"/>
        <v>196.4569091796875</v>
      </c>
      <c r="G21" s="1">
        <f t="shared" si="2"/>
        <v>224.30419921875</v>
      </c>
      <c r="H21" s="2">
        <f t="shared" si="3"/>
        <v>0</v>
      </c>
      <c r="I21" s="1">
        <f t="shared" si="4"/>
        <v>0</v>
      </c>
      <c r="J21" s="1">
        <f t="shared" si="5"/>
        <v>0</v>
      </c>
      <c r="K21" s="1">
        <f t="shared" si="6"/>
        <v>0</v>
      </c>
      <c r="L21" s="1">
        <f t="shared" si="7"/>
        <v>0</v>
      </c>
    </row>
    <row r="22" spans="1:12" x14ac:dyDescent="0.2">
      <c r="A22" t="s">
        <v>27</v>
      </c>
      <c r="B22">
        <v>1767075437</v>
      </c>
      <c r="C22" t="s">
        <v>13</v>
      </c>
      <c r="D22" t="s">
        <v>30</v>
      </c>
      <c r="E22" s="1">
        <f t="shared" si="0"/>
        <v>64.563751220703125</v>
      </c>
      <c r="F22" s="1">
        <f t="shared" si="1"/>
        <v>2.880096435546875</v>
      </c>
      <c r="G22" s="1">
        <f t="shared" si="2"/>
        <v>67.44384765625</v>
      </c>
      <c r="H22" s="2">
        <f t="shared" si="3"/>
        <v>5</v>
      </c>
      <c r="I22" s="1">
        <f t="shared" si="4"/>
        <v>0</v>
      </c>
      <c r="J22" s="1">
        <f t="shared" si="5"/>
        <v>0.1430511474609375</v>
      </c>
      <c r="K22" s="1">
        <f t="shared" si="6"/>
        <v>0.1430511474609375</v>
      </c>
      <c r="L22" s="1">
        <f t="shared" si="7"/>
        <v>0.1430511474609375</v>
      </c>
    </row>
    <row r="23" spans="1:12" x14ac:dyDescent="0.2">
      <c r="A23" t="s">
        <v>27</v>
      </c>
      <c r="B23">
        <v>1767075437</v>
      </c>
      <c r="C23" t="s">
        <v>15</v>
      </c>
      <c r="D23" t="s">
        <v>29</v>
      </c>
      <c r="E23" s="1">
        <f t="shared" si="0"/>
        <v>27.8472900390625</v>
      </c>
      <c r="F23" s="1">
        <f t="shared" si="1"/>
        <v>196.4569091796875</v>
      </c>
      <c r="G23" s="1">
        <f t="shared" si="2"/>
        <v>224.30419921875</v>
      </c>
      <c r="H23" s="2">
        <f t="shared" si="3"/>
        <v>5</v>
      </c>
      <c r="I23" s="1">
        <f t="shared" si="4"/>
        <v>0</v>
      </c>
      <c r="J23" s="1">
        <f t="shared" si="5"/>
        <v>0</v>
      </c>
      <c r="K23" s="1">
        <f t="shared" si="6"/>
        <v>0</v>
      </c>
      <c r="L23" s="1">
        <f t="shared" si="7"/>
        <v>0</v>
      </c>
    </row>
    <row r="24" spans="1:12" x14ac:dyDescent="0.2">
      <c r="A24" t="s">
        <v>27</v>
      </c>
      <c r="B24">
        <v>1767075445</v>
      </c>
      <c r="C24" t="s">
        <v>13</v>
      </c>
      <c r="D24" t="s">
        <v>30</v>
      </c>
      <c r="E24" s="1">
        <f t="shared" si="0"/>
        <v>64.563751220703125</v>
      </c>
      <c r="F24" s="1">
        <f t="shared" si="1"/>
        <v>2.880096435546875</v>
      </c>
      <c r="G24" s="1">
        <f t="shared" si="2"/>
        <v>67.44384765625</v>
      </c>
      <c r="H24" s="2">
        <f t="shared" si="3"/>
        <v>10</v>
      </c>
      <c r="I24" s="1">
        <f t="shared" si="4"/>
        <v>0</v>
      </c>
      <c r="J24" s="1">
        <f t="shared" si="5"/>
        <v>0</v>
      </c>
      <c r="K24" s="1">
        <f t="shared" si="6"/>
        <v>0</v>
      </c>
      <c r="L24" s="1">
        <f t="shared" si="7"/>
        <v>0.1430511474609375</v>
      </c>
    </row>
    <row r="25" spans="1:12" x14ac:dyDescent="0.2">
      <c r="A25" t="s">
        <v>27</v>
      </c>
      <c r="B25">
        <v>1767075445</v>
      </c>
      <c r="C25" t="s">
        <v>15</v>
      </c>
      <c r="D25" t="s">
        <v>31</v>
      </c>
      <c r="E25" s="1">
        <f t="shared" si="0"/>
        <v>27.8472900390625</v>
      </c>
      <c r="F25" s="1">
        <f t="shared" si="1"/>
        <v>197.41058349609375</v>
      </c>
      <c r="G25" s="1">
        <f t="shared" si="2"/>
        <v>225.25787353515625</v>
      </c>
      <c r="H25" s="2">
        <f t="shared" si="3"/>
        <v>10</v>
      </c>
      <c r="I25" s="1">
        <f t="shared" si="4"/>
        <v>0</v>
      </c>
      <c r="J25" s="1">
        <f t="shared" si="5"/>
        <v>0.95367431640625</v>
      </c>
      <c r="K25" s="1">
        <f t="shared" si="6"/>
        <v>0.95367431640625</v>
      </c>
      <c r="L25" s="1">
        <f t="shared" si="7"/>
        <v>0.95367431640625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708DD-16A6-1047-8534-AB4B4A09453B}">
  <dimension ref="A1:D8"/>
  <sheetViews>
    <sheetView workbookViewId="0"/>
  </sheetViews>
  <sheetFormatPr baseColWidth="10" defaultRowHeight="16" x14ac:dyDescent="0.2"/>
  <cols>
    <col min="1" max="1" width="23.6640625" bestFit="1" customWidth="1"/>
    <col min="2" max="2" width="23.33203125" bestFit="1" customWidth="1"/>
    <col min="3" max="3" width="12.1640625" bestFit="1" customWidth="1"/>
    <col min="4" max="4" width="10.5" bestFit="1" customWidth="1"/>
  </cols>
  <sheetData>
    <row r="1" spans="1:4" x14ac:dyDescent="0.2">
      <c r="A1" s="3" t="s">
        <v>0</v>
      </c>
      <c r="B1" t="s">
        <v>27</v>
      </c>
    </row>
    <row r="3" spans="1:4" x14ac:dyDescent="0.2">
      <c r="A3" s="3" t="s">
        <v>35</v>
      </c>
      <c r="B3" s="3" t="s">
        <v>34</v>
      </c>
    </row>
    <row r="4" spans="1:4" x14ac:dyDescent="0.2">
      <c r="A4" s="3" t="s">
        <v>32</v>
      </c>
      <c r="B4" t="s">
        <v>13</v>
      </c>
      <c r="C4" t="s">
        <v>15</v>
      </c>
      <c r="D4" t="s">
        <v>33</v>
      </c>
    </row>
    <row r="5" spans="1:4" x14ac:dyDescent="0.2">
      <c r="A5" s="4">
        <v>0</v>
      </c>
      <c r="B5" s="1">
        <v>0</v>
      </c>
      <c r="C5" s="1">
        <v>0</v>
      </c>
      <c r="D5" s="1">
        <v>0</v>
      </c>
    </row>
    <row r="6" spans="1:4" x14ac:dyDescent="0.2">
      <c r="A6" s="4">
        <v>5</v>
      </c>
      <c r="B6" s="1">
        <v>0.1430511474609375</v>
      </c>
      <c r="C6" s="1">
        <v>0</v>
      </c>
      <c r="D6" s="1">
        <v>0.1430511474609375</v>
      </c>
    </row>
    <row r="7" spans="1:4" x14ac:dyDescent="0.2">
      <c r="A7" s="4">
        <v>10</v>
      </c>
      <c r="B7" s="1">
        <v>0</v>
      </c>
      <c r="C7" s="1">
        <v>0.95367431640625</v>
      </c>
      <c r="D7" s="1">
        <v>0.95367431640625</v>
      </c>
    </row>
    <row r="8" spans="1:4" x14ac:dyDescent="0.2">
      <c r="A8" s="4" t="s">
        <v>33</v>
      </c>
      <c r="B8" s="1">
        <v>0.1430511474609375</v>
      </c>
      <c r="C8" s="1">
        <v>0.95367431640625</v>
      </c>
      <c r="D8" s="1">
        <v>1.0967254638671875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2F733-2350-FD43-A257-CD19275F19A5}">
  <dimension ref="A1:D6"/>
  <sheetViews>
    <sheetView workbookViewId="0">
      <selection activeCell="K20" sqref="K20"/>
    </sheetView>
  </sheetViews>
  <sheetFormatPr baseColWidth="10" defaultRowHeight="16" x14ac:dyDescent="0.2"/>
  <cols>
    <col min="1" max="1" width="23.6640625" bestFit="1" customWidth="1"/>
    <col min="2" max="2" width="16" bestFit="1" customWidth="1"/>
    <col min="3" max="3" width="12.1640625" bestFit="1" customWidth="1"/>
    <col min="4" max="4" width="10.5" bestFit="1" customWidth="1"/>
  </cols>
  <sheetData>
    <row r="1" spans="1:4" x14ac:dyDescent="0.2">
      <c r="A1" s="3" t="s">
        <v>0</v>
      </c>
      <c r="B1" t="s">
        <v>12</v>
      </c>
    </row>
    <row r="3" spans="1:4" x14ac:dyDescent="0.2">
      <c r="A3" s="3" t="s">
        <v>35</v>
      </c>
      <c r="B3" s="3" t="s">
        <v>34</v>
      </c>
    </row>
    <row r="4" spans="1:4" x14ac:dyDescent="0.2">
      <c r="A4" s="3" t="s">
        <v>32</v>
      </c>
      <c r="B4" t="s">
        <v>13</v>
      </c>
      <c r="C4" t="s">
        <v>15</v>
      </c>
      <c r="D4" t="s">
        <v>33</v>
      </c>
    </row>
    <row r="5" spans="1:4" x14ac:dyDescent="0.2">
      <c r="A5" s="4">
        <v>0</v>
      </c>
      <c r="B5" s="1">
        <v>0</v>
      </c>
      <c r="C5" s="1">
        <v>0</v>
      </c>
      <c r="D5" s="1">
        <v>0</v>
      </c>
    </row>
    <row r="6" spans="1:4" x14ac:dyDescent="0.2">
      <c r="A6" s="4" t="s">
        <v>33</v>
      </c>
      <c r="B6" s="1">
        <v>0</v>
      </c>
      <c r="C6" s="1">
        <v>0</v>
      </c>
      <c r="D6" s="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AB0A3-8CE1-A248-89F4-2079ECA5FDAD}">
  <dimension ref="A1:D8"/>
  <sheetViews>
    <sheetView workbookViewId="0">
      <selection activeCell="H10" sqref="H10"/>
    </sheetView>
  </sheetViews>
  <sheetFormatPr baseColWidth="10" defaultRowHeight="16" x14ac:dyDescent="0.2"/>
  <cols>
    <col min="1" max="1" width="23.6640625" bestFit="1" customWidth="1"/>
    <col min="2" max="2" width="16" bestFit="1" customWidth="1"/>
    <col min="3" max="3" width="12.1640625" bestFit="1" customWidth="1"/>
    <col min="4" max="4" width="10.5" bestFit="1" customWidth="1"/>
  </cols>
  <sheetData>
    <row r="1" spans="1:4" x14ac:dyDescent="0.2">
      <c r="A1" s="3" t="s">
        <v>0</v>
      </c>
      <c r="B1" t="s">
        <v>17</v>
      </c>
    </row>
    <row r="3" spans="1:4" x14ac:dyDescent="0.2">
      <c r="A3" s="3" t="s">
        <v>35</v>
      </c>
      <c r="B3" s="3" t="s">
        <v>34</v>
      </c>
    </row>
    <row r="4" spans="1:4" x14ac:dyDescent="0.2">
      <c r="A4" s="3" t="s">
        <v>32</v>
      </c>
      <c r="B4" t="s">
        <v>13</v>
      </c>
      <c r="C4" t="s">
        <v>15</v>
      </c>
      <c r="D4" t="s">
        <v>33</v>
      </c>
    </row>
    <row r="5" spans="1:4" x14ac:dyDescent="0.2">
      <c r="A5" s="4">
        <v>0</v>
      </c>
      <c r="B5" s="1">
        <v>0</v>
      </c>
      <c r="C5" s="1">
        <v>0</v>
      </c>
      <c r="D5" s="1">
        <v>0</v>
      </c>
    </row>
    <row r="6" spans="1:4" x14ac:dyDescent="0.2">
      <c r="A6" s="4">
        <v>5</v>
      </c>
      <c r="B6" s="1">
        <v>0</v>
      </c>
      <c r="C6" s="1">
        <v>3.814697265625E-3</v>
      </c>
      <c r="D6" s="1">
        <v>3.814697265625E-3</v>
      </c>
    </row>
    <row r="7" spans="1:4" x14ac:dyDescent="0.2">
      <c r="A7" s="4">
        <v>10</v>
      </c>
      <c r="B7" s="1">
        <v>0.9059906005859375</v>
      </c>
      <c r="C7" s="1">
        <v>57.032585144042969</v>
      </c>
      <c r="D7" s="1">
        <v>57.938575744628906</v>
      </c>
    </row>
    <row r="8" spans="1:4" x14ac:dyDescent="0.2">
      <c r="A8" s="4" t="s">
        <v>33</v>
      </c>
      <c r="B8" s="1">
        <v>0.9059906005859375</v>
      </c>
      <c r="C8" s="1">
        <v>57.036399841308594</v>
      </c>
      <c r="D8" s="1">
        <v>57.942390441894531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0328A-D255-CC4A-9C14-362AB18A6F91}">
  <dimension ref="A1:D8"/>
  <sheetViews>
    <sheetView workbookViewId="0">
      <selection activeCell="H9" sqref="H9"/>
    </sheetView>
  </sheetViews>
  <sheetFormatPr baseColWidth="10" defaultRowHeight="16" x14ac:dyDescent="0.2"/>
  <cols>
    <col min="1" max="1" width="23.6640625" bestFit="1" customWidth="1"/>
    <col min="2" max="2" width="23.33203125" bestFit="1" customWidth="1"/>
    <col min="3" max="3" width="12.1640625" bestFit="1" customWidth="1"/>
    <col min="4" max="4" width="10.5" bestFit="1" customWidth="1"/>
  </cols>
  <sheetData>
    <row r="1" spans="1:4" x14ac:dyDescent="0.2">
      <c r="A1" t="s">
        <v>0</v>
      </c>
      <c r="B1" t="s">
        <v>27</v>
      </c>
    </row>
    <row r="3" spans="1:4" x14ac:dyDescent="0.2">
      <c r="A3" t="s">
        <v>35</v>
      </c>
      <c r="B3" t="s">
        <v>34</v>
      </c>
    </row>
    <row r="4" spans="1:4" x14ac:dyDescent="0.2">
      <c r="A4" t="s">
        <v>32</v>
      </c>
      <c r="B4" t="s">
        <v>13</v>
      </c>
      <c r="C4" t="s">
        <v>15</v>
      </c>
      <c r="D4" t="s">
        <v>33</v>
      </c>
    </row>
    <row r="5" spans="1:4" x14ac:dyDescent="0.2">
      <c r="A5" s="4">
        <v>0</v>
      </c>
      <c r="B5" s="1">
        <v>0</v>
      </c>
      <c r="C5" s="1">
        <v>0</v>
      </c>
      <c r="D5" s="1">
        <v>0</v>
      </c>
    </row>
    <row r="6" spans="1:4" x14ac:dyDescent="0.2">
      <c r="A6" s="4">
        <v>5</v>
      </c>
      <c r="B6" s="1">
        <v>0.1430511474609375</v>
      </c>
      <c r="C6" s="1">
        <v>0</v>
      </c>
      <c r="D6" s="1">
        <v>0.1430511474609375</v>
      </c>
    </row>
    <row r="7" spans="1:4" x14ac:dyDescent="0.2">
      <c r="A7" s="4">
        <v>10</v>
      </c>
      <c r="B7" s="1">
        <v>0</v>
      </c>
      <c r="C7" s="1">
        <v>0.95367431640625</v>
      </c>
      <c r="D7" s="1">
        <v>0.95367431640625</v>
      </c>
    </row>
    <row r="8" spans="1:4" x14ac:dyDescent="0.2">
      <c r="A8" s="4" t="s">
        <v>33</v>
      </c>
      <c r="B8" s="1">
        <v>0.1430511474609375</v>
      </c>
      <c r="C8" s="1">
        <v>0.95367431640625</v>
      </c>
      <c r="D8" s="1">
        <v>1.0967254638671875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87130-0724-BE4B-9E61-E43E5B9E154B}">
  <dimension ref="A1:D10"/>
  <sheetViews>
    <sheetView workbookViewId="0">
      <selection activeCell="H7" sqref="H7"/>
    </sheetView>
  </sheetViews>
  <sheetFormatPr baseColWidth="10" defaultRowHeight="16" x14ac:dyDescent="0.2"/>
  <cols>
    <col min="1" max="1" width="23.6640625" bestFit="1" customWidth="1"/>
    <col min="2" max="2" width="17.1640625" bestFit="1" customWidth="1"/>
    <col min="3" max="3" width="12.1640625" bestFit="1" customWidth="1"/>
    <col min="4" max="4" width="10.6640625" bestFit="1" customWidth="1"/>
  </cols>
  <sheetData>
    <row r="1" spans="1:4" x14ac:dyDescent="0.2">
      <c r="A1" s="3" t="s">
        <v>0</v>
      </c>
      <c r="B1" t="s">
        <v>23</v>
      </c>
    </row>
    <row r="3" spans="1:4" x14ac:dyDescent="0.2">
      <c r="A3" s="3" t="s">
        <v>35</v>
      </c>
      <c r="B3" s="3" t="s">
        <v>34</v>
      </c>
    </row>
    <row r="4" spans="1:4" x14ac:dyDescent="0.2">
      <c r="A4" s="3" t="s">
        <v>32</v>
      </c>
      <c r="B4" t="s">
        <v>13</v>
      </c>
      <c r="C4" t="s">
        <v>15</v>
      </c>
      <c r="D4" t="s">
        <v>33</v>
      </c>
    </row>
    <row r="5" spans="1:4" x14ac:dyDescent="0.2">
      <c r="A5" s="4">
        <v>0</v>
      </c>
      <c r="B5" s="1">
        <v>0</v>
      </c>
      <c r="C5" s="1">
        <v>0</v>
      </c>
      <c r="D5" s="1">
        <v>0</v>
      </c>
    </row>
    <row r="6" spans="1:4" x14ac:dyDescent="0.2">
      <c r="A6" s="4">
        <v>5</v>
      </c>
      <c r="B6" s="1">
        <v>0</v>
      </c>
      <c r="C6" s="1">
        <v>0</v>
      </c>
      <c r="D6" s="1">
        <v>0</v>
      </c>
    </row>
    <row r="7" spans="1:4" x14ac:dyDescent="0.2">
      <c r="A7" s="4">
        <v>10</v>
      </c>
      <c r="B7" s="1">
        <v>0.133514404296875</v>
      </c>
      <c r="C7" s="1">
        <v>0</v>
      </c>
      <c r="D7" s="1">
        <v>0.133514404296875</v>
      </c>
    </row>
    <row r="8" spans="1:4" x14ac:dyDescent="0.2">
      <c r="A8" s="4">
        <v>15</v>
      </c>
      <c r="B8" s="1">
        <v>0</v>
      </c>
      <c r="C8" s="1">
        <v>0</v>
      </c>
      <c r="D8" s="1">
        <v>0</v>
      </c>
    </row>
    <row r="9" spans="1:4" x14ac:dyDescent="0.2">
      <c r="A9" s="4">
        <v>20</v>
      </c>
      <c r="B9" s="1">
        <v>0.762939453125</v>
      </c>
      <c r="C9" s="1">
        <v>137.7105712890625</v>
      </c>
      <c r="D9" s="1">
        <v>138.4735107421875</v>
      </c>
    </row>
    <row r="10" spans="1:4" x14ac:dyDescent="0.2">
      <c r="A10" s="4" t="s">
        <v>33</v>
      </c>
      <c r="B10" s="1">
        <v>0.896453857421875</v>
      </c>
      <c r="C10" s="1">
        <v>137.7105712890625</v>
      </c>
      <c r="D10" s="1">
        <v>138.60702514648438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C67F3-B718-9544-9E92-333488019B14}">
  <dimension ref="A1"/>
  <sheetViews>
    <sheetView workbookViewId="0">
      <selection activeCell="K17" sqref="K17"/>
    </sheetView>
  </sheetViews>
  <sheetFormatPr baseColWidth="10" defaultRowHeight="16" x14ac:dyDescent="0.2"/>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97D5E-EEAD-2840-8854-4482D8C54678}">
  <dimension ref="A3:F10"/>
  <sheetViews>
    <sheetView workbookViewId="0">
      <selection activeCell="D3" sqref="D3"/>
    </sheetView>
  </sheetViews>
  <sheetFormatPr baseColWidth="10" defaultRowHeight="16" x14ac:dyDescent="0.2"/>
  <cols>
    <col min="1" max="1" width="23.6640625" bestFit="1" customWidth="1"/>
    <col min="2" max="2" width="16" bestFit="1" customWidth="1"/>
    <col min="3" max="3" width="10.6640625" bestFit="1" customWidth="1"/>
    <col min="4" max="4" width="15" bestFit="1" customWidth="1"/>
    <col min="5" max="5" width="21.6640625" bestFit="1" customWidth="1"/>
    <col min="6" max="6" width="10.6640625" bestFit="1" customWidth="1"/>
    <col min="7" max="7" width="14.1640625" bestFit="1" customWidth="1"/>
    <col min="8" max="8" width="10.6640625" bestFit="1" customWidth="1"/>
    <col min="9" max="9" width="15" bestFit="1" customWidth="1"/>
    <col min="10" max="10" width="21.6640625" bestFit="1" customWidth="1"/>
    <col min="11" max="11" width="16.6640625" bestFit="1" customWidth="1"/>
    <col min="12" max="12" width="10.6640625" bestFit="1" customWidth="1"/>
  </cols>
  <sheetData>
    <row r="3" spans="1:6" x14ac:dyDescent="0.2">
      <c r="A3" s="3" t="s">
        <v>35</v>
      </c>
      <c r="B3" s="3" t="s">
        <v>34</v>
      </c>
    </row>
    <row r="4" spans="1:6" x14ac:dyDescent="0.2">
      <c r="A4" s="3" t="s">
        <v>32</v>
      </c>
      <c r="B4" t="s">
        <v>17</v>
      </c>
      <c r="C4" t="s">
        <v>12</v>
      </c>
      <c r="D4" t="s">
        <v>23</v>
      </c>
      <c r="E4" t="s">
        <v>27</v>
      </c>
      <c r="F4" t="s">
        <v>33</v>
      </c>
    </row>
    <row r="5" spans="1:6" x14ac:dyDescent="0.2">
      <c r="A5" s="4">
        <v>0</v>
      </c>
      <c r="B5" s="1">
        <v>0</v>
      </c>
      <c r="C5" s="1">
        <v>0</v>
      </c>
      <c r="D5" s="1">
        <v>0</v>
      </c>
      <c r="E5" s="1">
        <v>0</v>
      </c>
      <c r="F5" s="1">
        <v>0</v>
      </c>
    </row>
    <row r="6" spans="1:6" x14ac:dyDescent="0.2">
      <c r="A6" s="4">
        <v>5</v>
      </c>
      <c r="B6" s="1">
        <v>3.814697265625E-3</v>
      </c>
      <c r="C6" s="1"/>
      <c r="D6" s="1">
        <v>0</v>
      </c>
      <c r="E6" s="1">
        <v>0.1430511474609375</v>
      </c>
      <c r="F6" s="1">
        <v>0.1468658447265625</v>
      </c>
    </row>
    <row r="7" spans="1:6" x14ac:dyDescent="0.2">
      <c r="A7" s="4">
        <v>10</v>
      </c>
      <c r="B7" s="1">
        <v>57.938575744628906</v>
      </c>
      <c r="C7" s="1"/>
      <c r="D7" s="1">
        <v>0.133514404296875</v>
      </c>
      <c r="E7" s="1">
        <v>0.95367431640625</v>
      </c>
      <c r="F7" s="1">
        <v>59.025764465332031</v>
      </c>
    </row>
    <row r="8" spans="1:6" x14ac:dyDescent="0.2">
      <c r="A8" s="4">
        <v>15</v>
      </c>
      <c r="B8" s="1"/>
      <c r="C8" s="1"/>
      <c r="D8" s="1">
        <v>0</v>
      </c>
      <c r="E8" s="1"/>
      <c r="F8" s="1">
        <v>0</v>
      </c>
    </row>
    <row r="9" spans="1:6" x14ac:dyDescent="0.2">
      <c r="A9" s="4">
        <v>20</v>
      </c>
      <c r="B9" s="1"/>
      <c r="C9" s="1"/>
      <c r="D9" s="1">
        <v>138.4735107421875</v>
      </c>
      <c r="E9" s="1"/>
      <c r="F9" s="1">
        <v>138.4735107421875</v>
      </c>
    </row>
    <row r="10" spans="1:6" x14ac:dyDescent="0.2">
      <c r="A10" s="4" t="s">
        <v>33</v>
      </c>
      <c r="B10" s="1">
        <v>57.942390441894531</v>
      </c>
      <c r="C10" s="1">
        <v>0</v>
      </c>
      <c r="D10" s="1">
        <v>138.60702514648438</v>
      </c>
      <c r="E10" s="1">
        <v>1.0967254638671875</v>
      </c>
      <c r="F10" s="1">
        <v>197.64614105224609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Spark</vt:lpstr>
      <vt:lpstr>Sheet1</vt:lpstr>
      <vt:lpstr>Email-EuAll</vt:lpstr>
      <vt:lpstr>cit-Patents</vt:lpstr>
      <vt:lpstr>soc-pokec-relationships</vt:lpstr>
      <vt:lpstr>soc-LiveJournal1</vt:lpstr>
      <vt:lpstr>Sheet7</vt:lpstr>
      <vt:lpstr>Sheet1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WEERASINGHE P D L L</dc:creator>
  <cp:lastModifiedBy>WEERASINGHE P D L L</cp:lastModifiedBy>
  <dcterms:created xsi:type="dcterms:W3CDTF">2025-12-30T06:11:26Z</dcterms:created>
  <dcterms:modified xsi:type="dcterms:W3CDTF">2025-12-31T09:33:45Z</dcterms:modified>
</cp:coreProperties>
</file>