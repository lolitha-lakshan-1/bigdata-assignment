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slicers/slicer7.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lolitha/Documents/MSC/BigData/Assignment/Final2/Task_1/comparison/pre_optimization/netio/"/>
    </mc:Choice>
  </mc:AlternateContent>
  <xr:revisionPtr revIDLastSave="0" documentId="13_ncr:1_{4AF2D6EA-719F-9A46-9ABB-7B925321DC89}" xr6:coauthVersionLast="47" xr6:coauthVersionMax="47" xr10:uidLastSave="{00000000-0000-0000-0000-000000000000}"/>
  <bookViews>
    <workbookView xWindow="0" yWindow="620" windowWidth="28800" windowHeight="16240" activeTab="8" xr2:uid="{00000000-000D-0000-FFFF-FFFF00000000}"/>
  </bookViews>
  <sheets>
    <sheet name="Sheet2" sheetId="1" r:id="rId1"/>
    <sheet name="Sheet1" sheetId="2" r:id="rId2"/>
    <sheet name="Sheet1 (2)" sheetId="3" r:id="rId3"/>
    <sheet name="Sheet1 (3)" sheetId="4" r:id="rId4"/>
    <sheet name="Sheet1 (4)" sheetId="5" r:id="rId5"/>
    <sheet name="Sheet1 (5)" sheetId="6" r:id="rId6"/>
    <sheet name="Sheet8" sheetId="8" r:id="rId7"/>
    <sheet name="Sheet1 (6)" sheetId="9" r:id="rId8"/>
    <sheet name="Sheet1 (7)" sheetId="10" r:id="rId9"/>
  </sheets>
  <definedNames>
    <definedName name="Slicer_dataset">#N/A</definedName>
    <definedName name="Slicer_dataset1">#N/A</definedName>
    <definedName name="Slicer_dataset11">#N/A</definedName>
    <definedName name="Slicer_dataset111">#N/A</definedName>
    <definedName name="Slicer_dataset1111">#N/A</definedName>
    <definedName name="Slicer_dataset11111">#N/A</definedName>
    <definedName name="Slicer_dataset111111">#N/A</definedName>
  </definedNames>
  <calcPr calcId="191029"/>
  <pivotCaches>
    <pivotCache cacheId="31"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49" i="1" l="1"/>
  <c r="E349" i="1"/>
  <c r="G349" i="1" s="1"/>
  <c r="F348" i="1"/>
  <c r="E348" i="1"/>
  <c r="F347" i="1"/>
  <c r="E347" i="1"/>
  <c r="G347" i="1" s="1"/>
  <c r="F346" i="1"/>
  <c r="E346" i="1"/>
  <c r="G346" i="1" s="1"/>
  <c r="G345" i="1"/>
  <c r="F345" i="1"/>
  <c r="E345" i="1"/>
  <c r="F344" i="1"/>
  <c r="G344" i="1" s="1"/>
  <c r="E344" i="1"/>
  <c r="F343" i="1"/>
  <c r="E343" i="1"/>
  <c r="G343" i="1" s="1"/>
  <c r="G342" i="1"/>
  <c r="F342" i="1"/>
  <c r="E342" i="1"/>
  <c r="F341" i="1"/>
  <c r="E341" i="1"/>
  <c r="G341" i="1" s="1"/>
  <c r="F340" i="1"/>
  <c r="E340" i="1"/>
  <c r="F339" i="1"/>
  <c r="E339" i="1"/>
  <c r="G339" i="1" s="1"/>
  <c r="F338" i="1"/>
  <c r="E338" i="1"/>
  <c r="G338" i="1" s="1"/>
  <c r="G337" i="1"/>
  <c r="F337" i="1"/>
  <c r="E337" i="1"/>
  <c r="F336" i="1"/>
  <c r="G336" i="1" s="1"/>
  <c r="E336" i="1"/>
  <c r="F335" i="1"/>
  <c r="E335" i="1"/>
  <c r="G335" i="1" s="1"/>
  <c r="G334" i="1"/>
  <c r="F334" i="1"/>
  <c r="E334" i="1"/>
  <c r="F333" i="1"/>
  <c r="E333" i="1"/>
  <c r="G333" i="1" s="1"/>
  <c r="F332" i="1"/>
  <c r="E332" i="1"/>
  <c r="F331" i="1"/>
  <c r="E331" i="1"/>
  <c r="G331" i="1" s="1"/>
  <c r="F330" i="1"/>
  <c r="E330" i="1"/>
  <c r="G330" i="1" s="1"/>
  <c r="G329" i="1"/>
  <c r="F329" i="1"/>
  <c r="E329" i="1"/>
  <c r="F328" i="1"/>
  <c r="G328" i="1" s="1"/>
  <c r="E328" i="1"/>
  <c r="G327" i="1"/>
  <c r="F327" i="1"/>
  <c r="E327" i="1"/>
  <c r="G326" i="1"/>
  <c r="F326" i="1"/>
  <c r="E326" i="1"/>
  <c r="G325" i="1"/>
  <c r="F325" i="1"/>
  <c r="E325" i="1"/>
  <c r="F324" i="1"/>
  <c r="E324" i="1"/>
  <c r="F323" i="1"/>
  <c r="E323" i="1"/>
  <c r="G323" i="1" s="1"/>
  <c r="F322" i="1"/>
  <c r="E322" i="1"/>
  <c r="G322" i="1" s="1"/>
  <c r="G321" i="1"/>
  <c r="F321" i="1"/>
  <c r="E321" i="1"/>
  <c r="F320" i="1"/>
  <c r="E320" i="1"/>
  <c r="F319" i="1"/>
  <c r="E319" i="1"/>
  <c r="G319" i="1" s="1"/>
  <c r="F318" i="1"/>
  <c r="G318" i="1" s="1"/>
  <c r="E318" i="1"/>
  <c r="F317" i="1"/>
  <c r="E317" i="1"/>
  <c r="G317" i="1" s="1"/>
  <c r="F316" i="1"/>
  <c r="E316" i="1"/>
  <c r="G316" i="1" s="1"/>
  <c r="F315" i="1"/>
  <c r="E315" i="1"/>
  <c r="G315" i="1" s="1"/>
  <c r="G314" i="1"/>
  <c r="F314" i="1"/>
  <c r="E314" i="1"/>
  <c r="F313" i="1"/>
  <c r="G313" i="1" s="1"/>
  <c r="E313" i="1"/>
  <c r="F312" i="1"/>
  <c r="E312" i="1"/>
  <c r="G312" i="1" s="1"/>
  <c r="G311" i="1"/>
  <c r="F311" i="1"/>
  <c r="E311" i="1"/>
  <c r="G310" i="1"/>
  <c r="F310" i="1"/>
  <c r="E310" i="1"/>
  <c r="F309" i="1"/>
  <c r="E309" i="1"/>
  <c r="G309" i="1" s="1"/>
  <c r="F308" i="1"/>
  <c r="E308" i="1"/>
  <c r="G308" i="1" s="1"/>
  <c r="F307" i="1"/>
  <c r="E307" i="1"/>
  <c r="G307" i="1" s="1"/>
  <c r="G306" i="1"/>
  <c r="F306" i="1"/>
  <c r="E306" i="1"/>
  <c r="F305" i="1"/>
  <c r="G305" i="1" s="1"/>
  <c r="E305" i="1"/>
  <c r="F304" i="1"/>
  <c r="E304" i="1"/>
  <c r="F303" i="1"/>
  <c r="E303" i="1"/>
  <c r="G303" i="1" s="1"/>
  <c r="F302" i="1"/>
  <c r="G302" i="1" s="1"/>
  <c r="E302" i="1"/>
  <c r="G301" i="1"/>
  <c r="F301" i="1"/>
  <c r="E301" i="1"/>
  <c r="F300" i="1"/>
  <c r="E300" i="1"/>
  <c r="G300" i="1" s="1"/>
  <c r="F299" i="1"/>
  <c r="E299" i="1"/>
  <c r="G299" i="1" s="1"/>
  <c r="G298" i="1"/>
  <c r="F298" i="1"/>
  <c r="E298" i="1"/>
  <c r="F297" i="1"/>
  <c r="G297" i="1" s="1"/>
  <c r="E297" i="1"/>
  <c r="F296" i="1"/>
  <c r="E296" i="1"/>
  <c r="G296" i="1" s="1"/>
  <c r="G295" i="1"/>
  <c r="F295" i="1"/>
  <c r="E295" i="1"/>
  <c r="F294" i="1"/>
  <c r="G294" i="1" s="1"/>
  <c r="E294" i="1"/>
  <c r="F293" i="1"/>
  <c r="E293" i="1"/>
  <c r="F292" i="1"/>
  <c r="E292" i="1"/>
  <c r="G292" i="1" s="1"/>
  <c r="F291" i="1"/>
  <c r="E291" i="1"/>
  <c r="G291" i="1" s="1"/>
  <c r="G290" i="1"/>
  <c r="F290" i="1"/>
  <c r="E290" i="1"/>
  <c r="F289" i="1"/>
  <c r="G289" i="1" s="1"/>
  <c r="E289" i="1"/>
  <c r="F288" i="1"/>
  <c r="E288" i="1"/>
  <c r="F287" i="1"/>
  <c r="E287" i="1"/>
  <c r="G287" i="1" s="1"/>
  <c r="F286" i="1"/>
  <c r="G286" i="1" s="1"/>
  <c r="E286" i="1"/>
  <c r="F285" i="1"/>
  <c r="E285" i="1"/>
  <c r="G285" i="1" s="1"/>
  <c r="F284" i="1"/>
  <c r="E284" i="1"/>
  <c r="G284" i="1" s="1"/>
  <c r="F283" i="1"/>
  <c r="E283" i="1"/>
  <c r="G283" i="1" s="1"/>
  <c r="G282" i="1"/>
  <c r="F282" i="1"/>
  <c r="E282" i="1"/>
  <c r="F281" i="1"/>
  <c r="G281" i="1" s="1"/>
  <c r="E281" i="1"/>
  <c r="F280" i="1"/>
  <c r="E280" i="1"/>
  <c r="G280" i="1" s="1"/>
  <c r="G279" i="1"/>
  <c r="F279" i="1"/>
  <c r="E279" i="1"/>
  <c r="G278" i="1"/>
  <c r="F278" i="1"/>
  <c r="E278" i="1"/>
  <c r="F277" i="1"/>
  <c r="E277" i="1"/>
  <c r="F276" i="1"/>
  <c r="E276" i="1"/>
  <c r="F275" i="1"/>
  <c r="E275" i="1"/>
  <c r="G275" i="1" s="1"/>
  <c r="G274" i="1"/>
  <c r="F274" i="1"/>
  <c r="E274" i="1"/>
  <c r="G273" i="1"/>
  <c r="F273" i="1"/>
  <c r="E273" i="1"/>
  <c r="F272" i="1"/>
  <c r="E272" i="1"/>
  <c r="G272" i="1" s="1"/>
  <c r="F271" i="1"/>
  <c r="E271" i="1"/>
  <c r="G271" i="1" s="1"/>
  <c r="G270" i="1"/>
  <c r="F270" i="1"/>
  <c r="E270" i="1"/>
  <c r="F269" i="1"/>
  <c r="E269" i="1"/>
  <c r="G269" i="1" s="1"/>
  <c r="F268" i="1"/>
  <c r="E268" i="1"/>
  <c r="G268" i="1" s="1"/>
  <c r="F267" i="1"/>
  <c r="E267" i="1"/>
  <c r="G267" i="1" s="1"/>
  <c r="G266" i="1"/>
  <c r="F266" i="1"/>
  <c r="E266" i="1"/>
  <c r="F265" i="1"/>
  <c r="G265" i="1" s="1"/>
  <c r="E265" i="1"/>
  <c r="F264" i="1"/>
  <c r="G264" i="1" s="1"/>
  <c r="E264" i="1"/>
  <c r="G263" i="1"/>
  <c r="F263" i="1"/>
  <c r="E263" i="1"/>
  <c r="H262" i="1"/>
  <c r="H263" i="1" s="1"/>
  <c r="I263" i="1" s="1"/>
  <c r="G262" i="1"/>
  <c r="F262" i="1"/>
  <c r="E262" i="1"/>
  <c r="G261" i="1"/>
  <c r="F261" i="1"/>
  <c r="E261" i="1"/>
  <c r="G260" i="1"/>
  <c r="F260" i="1"/>
  <c r="E260" i="1"/>
  <c r="G259" i="1"/>
  <c r="F259" i="1"/>
  <c r="E259" i="1"/>
  <c r="G258" i="1"/>
  <c r="F258" i="1"/>
  <c r="E258" i="1"/>
  <c r="G257" i="1"/>
  <c r="F257" i="1"/>
  <c r="E257" i="1"/>
  <c r="F256" i="1"/>
  <c r="G256" i="1" s="1"/>
  <c r="E256" i="1"/>
  <c r="F255" i="1"/>
  <c r="G255" i="1" s="1"/>
  <c r="E255" i="1"/>
  <c r="G254" i="1"/>
  <c r="F254" i="1"/>
  <c r="E254" i="1"/>
  <c r="F253" i="1"/>
  <c r="G253" i="1" s="1"/>
  <c r="E253" i="1"/>
  <c r="F252" i="1"/>
  <c r="G252" i="1" s="1"/>
  <c r="E252" i="1"/>
  <c r="F251" i="1"/>
  <c r="G251" i="1" s="1"/>
  <c r="E251" i="1"/>
  <c r="G250" i="1"/>
  <c r="F250" i="1"/>
  <c r="E250" i="1"/>
  <c r="G249" i="1"/>
  <c r="F249" i="1"/>
  <c r="E249" i="1"/>
  <c r="G248" i="1"/>
  <c r="F248" i="1"/>
  <c r="E248" i="1"/>
  <c r="F247" i="1"/>
  <c r="G247" i="1" s="1"/>
  <c r="E247" i="1"/>
  <c r="F246" i="1"/>
  <c r="E246" i="1"/>
  <c r="G246" i="1" s="1"/>
  <c r="G245" i="1"/>
  <c r="F245" i="1"/>
  <c r="E245" i="1"/>
  <c r="F244" i="1"/>
  <c r="G244" i="1" s="1"/>
  <c r="E244" i="1"/>
  <c r="F243" i="1"/>
  <c r="E243" i="1"/>
  <c r="G243" i="1" s="1"/>
  <c r="F242" i="1"/>
  <c r="E242" i="1"/>
  <c r="G242" i="1" s="1"/>
  <c r="F241" i="1"/>
  <c r="E241" i="1"/>
  <c r="G241" i="1" s="1"/>
  <c r="G240" i="1"/>
  <c r="F240" i="1"/>
  <c r="E240" i="1"/>
  <c r="F239" i="1"/>
  <c r="E239" i="1"/>
  <c r="G239" i="1" s="1"/>
  <c r="F238" i="1"/>
  <c r="E238" i="1"/>
  <c r="G238" i="1" s="1"/>
  <c r="G237" i="1"/>
  <c r="F237" i="1"/>
  <c r="E237" i="1"/>
  <c r="F236" i="1"/>
  <c r="E236" i="1"/>
  <c r="G235" i="1"/>
  <c r="F235" i="1"/>
  <c r="E235" i="1"/>
  <c r="F234" i="1"/>
  <c r="G234" i="1" s="1"/>
  <c r="E234" i="1"/>
  <c r="F233" i="1"/>
  <c r="G233" i="1" s="1"/>
  <c r="E233" i="1"/>
  <c r="F232" i="1"/>
  <c r="E232" i="1"/>
  <c r="F231" i="1"/>
  <c r="E231" i="1"/>
  <c r="G231" i="1" s="1"/>
  <c r="F230" i="1"/>
  <c r="E230" i="1"/>
  <c r="F229" i="1"/>
  <c r="E229" i="1"/>
  <c r="F228" i="1"/>
  <c r="E228" i="1"/>
  <c r="F227" i="1"/>
  <c r="E227" i="1"/>
  <c r="G227" i="1" s="1"/>
  <c r="F226" i="1"/>
  <c r="E226" i="1"/>
  <c r="G226" i="1" s="1"/>
  <c r="F225" i="1"/>
  <c r="E225" i="1"/>
  <c r="G225" i="1" s="1"/>
  <c r="F224" i="1"/>
  <c r="E224" i="1"/>
  <c r="G224" i="1" s="1"/>
  <c r="F223" i="1"/>
  <c r="E223" i="1"/>
  <c r="G223" i="1" s="1"/>
  <c r="F222" i="1"/>
  <c r="E222" i="1"/>
  <c r="F221" i="1"/>
  <c r="E221" i="1"/>
  <c r="G221" i="1" s="1"/>
  <c r="F220" i="1"/>
  <c r="E220" i="1"/>
  <c r="F219" i="1"/>
  <c r="E219" i="1"/>
  <c r="F218" i="1"/>
  <c r="E218" i="1"/>
  <c r="F217" i="1"/>
  <c r="E217" i="1"/>
  <c r="G217" i="1" s="1"/>
  <c r="F216" i="1"/>
  <c r="E216" i="1"/>
  <c r="G216" i="1" s="1"/>
  <c r="F215" i="1"/>
  <c r="E215" i="1"/>
  <c r="G215" i="1" s="1"/>
  <c r="F214" i="1"/>
  <c r="E214" i="1"/>
  <c r="F213" i="1"/>
  <c r="E213" i="1"/>
  <c r="G213" i="1" s="1"/>
  <c r="F212" i="1"/>
  <c r="E212" i="1"/>
  <c r="F211" i="1"/>
  <c r="E211" i="1"/>
  <c r="G211" i="1" s="1"/>
  <c r="F210" i="1"/>
  <c r="E210" i="1"/>
  <c r="G210" i="1" s="1"/>
  <c r="F209" i="1"/>
  <c r="E209" i="1"/>
  <c r="F208" i="1"/>
  <c r="E208" i="1"/>
  <c r="G208" i="1" s="1"/>
  <c r="F207" i="1"/>
  <c r="E207" i="1"/>
  <c r="G207" i="1" s="1"/>
  <c r="F206" i="1"/>
  <c r="E206" i="1"/>
  <c r="F205" i="1"/>
  <c r="E205" i="1"/>
  <c r="G205" i="1" s="1"/>
  <c r="F204" i="1"/>
  <c r="E204" i="1"/>
  <c r="F203" i="1"/>
  <c r="E203" i="1"/>
  <c r="F202" i="1"/>
  <c r="E202" i="1"/>
  <c r="F201" i="1"/>
  <c r="E201" i="1"/>
  <c r="G201" i="1" s="1"/>
  <c r="F200" i="1"/>
  <c r="E200" i="1"/>
  <c r="G200" i="1" s="1"/>
  <c r="F199" i="1"/>
  <c r="E199" i="1"/>
  <c r="G199" i="1" s="1"/>
  <c r="F198" i="1"/>
  <c r="E198" i="1"/>
  <c r="F197" i="1"/>
  <c r="G197" i="1" s="1"/>
  <c r="E197" i="1"/>
  <c r="G196" i="1"/>
  <c r="F196" i="1"/>
  <c r="E196" i="1"/>
  <c r="F195" i="1"/>
  <c r="G195" i="1" s="1"/>
  <c r="E195" i="1"/>
  <c r="G194" i="1"/>
  <c r="F194" i="1"/>
  <c r="E194" i="1"/>
  <c r="F193" i="1"/>
  <c r="G193" i="1" s="1"/>
  <c r="E193" i="1"/>
  <c r="F192" i="1"/>
  <c r="G192" i="1" s="1"/>
  <c r="E192" i="1"/>
  <c r="F191" i="1"/>
  <c r="G191" i="1" s="1"/>
  <c r="E191" i="1"/>
  <c r="G190" i="1"/>
  <c r="F190" i="1"/>
  <c r="E190" i="1"/>
  <c r="G189" i="1"/>
  <c r="F189" i="1"/>
  <c r="E189" i="1"/>
  <c r="F188" i="1"/>
  <c r="G188" i="1" s="1"/>
  <c r="E188" i="1"/>
  <c r="F187" i="1"/>
  <c r="G187" i="1" s="1"/>
  <c r="E187" i="1"/>
  <c r="G186" i="1"/>
  <c r="F186" i="1"/>
  <c r="E186" i="1"/>
  <c r="F185" i="1"/>
  <c r="G185" i="1" s="1"/>
  <c r="E185" i="1"/>
  <c r="F184" i="1"/>
  <c r="G184" i="1" s="1"/>
  <c r="E184" i="1"/>
  <c r="F183" i="1"/>
  <c r="G183" i="1" s="1"/>
  <c r="E183" i="1"/>
  <c r="G182" i="1"/>
  <c r="F182" i="1"/>
  <c r="E182" i="1"/>
  <c r="F181" i="1"/>
  <c r="G181" i="1" s="1"/>
  <c r="E181" i="1"/>
  <c r="G180" i="1"/>
  <c r="F180" i="1"/>
  <c r="E180" i="1"/>
  <c r="F179" i="1"/>
  <c r="G179" i="1" s="1"/>
  <c r="E179" i="1"/>
  <c r="G178" i="1"/>
  <c r="F178" i="1"/>
  <c r="E178" i="1"/>
  <c r="F177" i="1"/>
  <c r="G177" i="1" s="1"/>
  <c r="E177" i="1"/>
  <c r="F176" i="1"/>
  <c r="G176" i="1" s="1"/>
  <c r="E176" i="1"/>
  <c r="F175" i="1"/>
  <c r="G175" i="1" s="1"/>
  <c r="E175" i="1"/>
  <c r="G174" i="1"/>
  <c r="F174" i="1"/>
  <c r="E174" i="1"/>
  <c r="G173" i="1"/>
  <c r="F173" i="1"/>
  <c r="E173" i="1"/>
  <c r="G172" i="1"/>
  <c r="F172" i="1"/>
  <c r="E172" i="1"/>
  <c r="F171" i="1"/>
  <c r="E171" i="1"/>
  <c r="F170" i="1"/>
  <c r="E170" i="1"/>
  <c r="G170" i="1" s="1"/>
  <c r="F169" i="1"/>
  <c r="G169" i="1" s="1"/>
  <c r="E169" i="1"/>
  <c r="F168" i="1"/>
  <c r="E168" i="1"/>
  <c r="G168" i="1" s="1"/>
  <c r="F167" i="1"/>
  <c r="E167" i="1"/>
  <c r="F166" i="1"/>
  <c r="E166" i="1"/>
  <c r="G166" i="1" s="1"/>
  <c r="G165" i="1"/>
  <c r="F165" i="1"/>
  <c r="E165" i="1"/>
  <c r="F164" i="1"/>
  <c r="E164" i="1"/>
  <c r="G164" i="1" s="1"/>
  <c r="F163" i="1"/>
  <c r="E163" i="1"/>
  <c r="G162" i="1"/>
  <c r="F162" i="1"/>
  <c r="E162" i="1"/>
  <c r="F161" i="1"/>
  <c r="G161" i="1" s="1"/>
  <c r="E161" i="1"/>
  <c r="G160" i="1"/>
  <c r="F160" i="1"/>
  <c r="E160" i="1"/>
  <c r="F159" i="1"/>
  <c r="E159" i="1"/>
  <c r="G159" i="1" s="1"/>
  <c r="G158" i="1"/>
  <c r="F158" i="1"/>
  <c r="E158" i="1"/>
  <c r="G157" i="1"/>
  <c r="F157" i="1"/>
  <c r="E157" i="1"/>
  <c r="G156" i="1"/>
  <c r="F156" i="1"/>
  <c r="E156" i="1"/>
  <c r="F155" i="1"/>
  <c r="E155" i="1"/>
  <c r="F154" i="1"/>
  <c r="E154" i="1"/>
  <c r="G154" i="1" s="1"/>
  <c r="G153" i="1"/>
  <c r="F153" i="1"/>
  <c r="E153" i="1"/>
  <c r="F152" i="1"/>
  <c r="E152" i="1"/>
  <c r="F151" i="1"/>
  <c r="E151" i="1"/>
  <c r="G150" i="1"/>
  <c r="F150" i="1"/>
  <c r="E150" i="1"/>
  <c r="F149" i="1"/>
  <c r="G149" i="1" s="1"/>
  <c r="E149" i="1"/>
  <c r="G148" i="1"/>
  <c r="F148" i="1"/>
  <c r="E148" i="1"/>
  <c r="F147" i="1"/>
  <c r="E147" i="1"/>
  <c r="G147" i="1" s="1"/>
  <c r="G146" i="1"/>
  <c r="F146" i="1"/>
  <c r="E146" i="1"/>
  <c r="F145" i="1"/>
  <c r="G145" i="1" s="1"/>
  <c r="E145" i="1"/>
  <c r="F144" i="1"/>
  <c r="G144" i="1" s="1"/>
  <c r="E144" i="1"/>
  <c r="F143" i="1"/>
  <c r="E143" i="1"/>
  <c r="G143" i="1" s="1"/>
  <c r="F142" i="1"/>
  <c r="E142" i="1"/>
  <c r="G142" i="1" s="1"/>
  <c r="G141" i="1"/>
  <c r="F141" i="1"/>
  <c r="E141" i="1"/>
  <c r="F140" i="1"/>
  <c r="G140" i="1" s="1"/>
  <c r="E140" i="1"/>
  <c r="F139" i="1"/>
  <c r="E139" i="1"/>
  <c r="F138" i="1"/>
  <c r="E138" i="1"/>
  <c r="G138" i="1" s="1"/>
  <c r="F137" i="1"/>
  <c r="G137" i="1" s="1"/>
  <c r="E137" i="1"/>
  <c r="F136" i="1"/>
  <c r="E136" i="1"/>
  <c r="G136" i="1" s="1"/>
  <c r="F135" i="1"/>
  <c r="E135" i="1"/>
  <c r="G135" i="1" s="1"/>
  <c r="F134" i="1"/>
  <c r="E134" i="1"/>
  <c r="G134" i="1" s="1"/>
  <c r="G133" i="1"/>
  <c r="F133" i="1"/>
  <c r="E133" i="1"/>
  <c r="F132" i="1"/>
  <c r="E132" i="1"/>
  <c r="G132" i="1" s="1"/>
  <c r="F131" i="1"/>
  <c r="E131" i="1"/>
  <c r="G130" i="1"/>
  <c r="F130" i="1"/>
  <c r="E130" i="1"/>
  <c r="F129" i="1"/>
  <c r="G129" i="1" s="1"/>
  <c r="E129" i="1"/>
  <c r="G128" i="1"/>
  <c r="F128" i="1"/>
  <c r="E128" i="1"/>
  <c r="F127" i="1"/>
  <c r="E127" i="1"/>
  <c r="G127" i="1" s="1"/>
  <c r="G126" i="1"/>
  <c r="F126" i="1"/>
  <c r="E126" i="1"/>
  <c r="F125" i="1"/>
  <c r="G125" i="1" s="1"/>
  <c r="E125" i="1"/>
  <c r="F124" i="1"/>
  <c r="E124" i="1"/>
  <c r="G124" i="1" s="1"/>
  <c r="F123" i="1"/>
  <c r="G123" i="1" s="1"/>
  <c r="E123" i="1"/>
  <c r="F122" i="1"/>
  <c r="E122" i="1"/>
  <c r="G122" i="1" s="1"/>
  <c r="G121" i="1"/>
  <c r="F121" i="1"/>
  <c r="E121" i="1"/>
  <c r="F120" i="1"/>
  <c r="E120" i="1"/>
  <c r="G120" i="1" s="1"/>
  <c r="F119" i="1"/>
  <c r="E119" i="1"/>
  <c r="F118" i="1"/>
  <c r="E118" i="1"/>
  <c r="G118" i="1" s="1"/>
  <c r="F117" i="1"/>
  <c r="G117" i="1" s="1"/>
  <c r="E117" i="1"/>
  <c r="G116" i="1"/>
  <c r="F116" i="1"/>
  <c r="E116" i="1"/>
  <c r="G115" i="1"/>
  <c r="F115" i="1"/>
  <c r="E115" i="1"/>
  <c r="G114" i="1"/>
  <c r="F114" i="1"/>
  <c r="E114" i="1"/>
  <c r="F113" i="1"/>
  <c r="G113" i="1" s="1"/>
  <c r="E113" i="1"/>
  <c r="F112" i="1"/>
  <c r="E112" i="1"/>
  <c r="G112" i="1" s="1"/>
  <c r="F111" i="1"/>
  <c r="E111" i="1"/>
  <c r="F110" i="1"/>
  <c r="E110" i="1"/>
  <c r="G110" i="1" s="1"/>
  <c r="G109" i="1"/>
  <c r="F109" i="1"/>
  <c r="E109" i="1"/>
  <c r="G108" i="1"/>
  <c r="F108" i="1"/>
  <c r="E108" i="1"/>
  <c r="F107" i="1"/>
  <c r="E107" i="1"/>
  <c r="G106" i="1"/>
  <c r="F106" i="1"/>
  <c r="E106" i="1"/>
  <c r="F105" i="1"/>
  <c r="E105" i="1"/>
  <c r="F104" i="1"/>
  <c r="G104" i="1" s="1"/>
  <c r="E104" i="1"/>
  <c r="F103" i="1"/>
  <c r="E103" i="1"/>
  <c r="G103" i="1" s="1"/>
  <c r="F102" i="1"/>
  <c r="E102" i="1"/>
  <c r="G102" i="1" s="1"/>
  <c r="G101" i="1"/>
  <c r="F101" i="1"/>
  <c r="E101" i="1"/>
  <c r="G100" i="1"/>
  <c r="F100" i="1"/>
  <c r="E100" i="1"/>
  <c r="H99" i="1"/>
  <c r="F99" i="1"/>
  <c r="E99" i="1"/>
  <c r="G99" i="1" s="1"/>
  <c r="H98" i="1"/>
  <c r="J98" i="1" s="1"/>
  <c r="F98" i="1"/>
  <c r="E98" i="1"/>
  <c r="G98" i="1" s="1"/>
  <c r="F97" i="1"/>
  <c r="G97" i="1" s="1"/>
  <c r="E97" i="1"/>
  <c r="F96" i="1"/>
  <c r="G96" i="1" s="1"/>
  <c r="E96" i="1"/>
  <c r="F95" i="1"/>
  <c r="E95" i="1"/>
  <c r="G94" i="1"/>
  <c r="F94" i="1"/>
  <c r="E94" i="1"/>
  <c r="F93" i="1"/>
  <c r="G93" i="1" s="1"/>
  <c r="E93" i="1"/>
  <c r="F92" i="1"/>
  <c r="E92" i="1"/>
  <c r="G92" i="1" s="1"/>
  <c r="F91" i="1"/>
  <c r="E91" i="1"/>
  <c r="G91" i="1" s="1"/>
  <c r="G90" i="1"/>
  <c r="F90" i="1"/>
  <c r="E90" i="1"/>
  <c r="G89" i="1"/>
  <c r="F89" i="1"/>
  <c r="E89" i="1"/>
  <c r="F88" i="1"/>
  <c r="E88" i="1"/>
  <c r="G88" i="1" s="1"/>
  <c r="F87" i="1"/>
  <c r="E87" i="1"/>
  <c r="G86" i="1"/>
  <c r="F86" i="1"/>
  <c r="E86" i="1"/>
  <c r="G85" i="1"/>
  <c r="F85" i="1"/>
  <c r="E85" i="1"/>
  <c r="F84" i="1"/>
  <c r="E84" i="1"/>
  <c r="G84" i="1" s="1"/>
  <c r="G83" i="1"/>
  <c r="F83" i="1"/>
  <c r="E83" i="1"/>
  <c r="F82" i="1"/>
  <c r="E82" i="1"/>
  <c r="G82" i="1" s="1"/>
  <c r="G81" i="1"/>
  <c r="F81" i="1"/>
  <c r="E81" i="1"/>
  <c r="G80" i="1"/>
  <c r="F80" i="1"/>
  <c r="E80" i="1"/>
  <c r="G79" i="1"/>
  <c r="F79" i="1"/>
  <c r="E79" i="1"/>
  <c r="F78" i="1"/>
  <c r="E78" i="1"/>
  <c r="G78" i="1" s="1"/>
  <c r="F77" i="1"/>
  <c r="E77" i="1"/>
  <c r="G77" i="1" s="1"/>
  <c r="F76" i="1"/>
  <c r="E76" i="1"/>
  <c r="G76" i="1" s="1"/>
  <c r="F75" i="1"/>
  <c r="E75" i="1"/>
  <c r="G75" i="1" s="1"/>
  <c r="F74" i="1"/>
  <c r="E74" i="1"/>
  <c r="G74" i="1" s="1"/>
  <c r="F73" i="1"/>
  <c r="E73" i="1"/>
  <c r="G73" i="1" s="1"/>
  <c r="G72" i="1"/>
  <c r="F72" i="1"/>
  <c r="E72" i="1"/>
  <c r="F71" i="1"/>
  <c r="E71" i="1"/>
  <c r="G71" i="1" s="1"/>
  <c r="G70" i="1"/>
  <c r="F70" i="1"/>
  <c r="E70" i="1"/>
  <c r="G69" i="1"/>
  <c r="F69" i="1"/>
  <c r="E69" i="1"/>
  <c r="F68" i="1"/>
  <c r="E68" i="1"/>
  <c r="G68" i="1" s="1"/>
  <c r="G67" i="1"/>
  <c r="F67" i="1"/>
  <c r="E67" i="1"/>
  <c r="F66" i="1"/>
  <c r="E66" i="1"/>
  <c r="G66" i="1" s="1"/>
  <c r="G65" i="1"/>
  <c r="F65" i="1"/>
  <c r="E65" i="1"/>
  <c r="F64" i="1"/>
  <c r="G64" i="1" s="1"/>
  <c r="E64" i="1"/>
  <c r="F63" i="1"/>
  <c r="E63" i="1"/>
  <c r="G63" i="1" s="1"/>
  <c r="F62" i="1"/>
  <c r="G62" i="1" s="1"/>
  <c r="E62" i="1"/>
  <c r="F61" i="1"/>
  <c r="E61" i="1"/>
  <c r="G61" i="1" s="1"/>
  <c r="F60" i="1"/>
  <c r="G60" i="1" s="1"/>
  <c r="E60" i="1"/>
  <c r="F59" i="1"/>
  <c r="E59" i="1"/>
  <c r="G59" i="1" s="1"/>
  <c r="F58" i="1"/>
  <c r="E58" i="1"/>
  <c r="F57" i="1"/>
  <c r="E57" i="1"/>
  <c r="G57" i="1" s="1"/>
  <c r="F56" i="1"/>
  <c r="G56" i="1" s="1"/>
  <c r="E56" i="1"/>
  <c r="G55" i="1"/>
  <c r="F55" i="1"/>
  <c r="E55" i="1"/>
  <c r="F54" i="1"/>
  <c r="E54" i="1"/>
  <c r="G53" i="1"/>
  <c r="F53" i="1"/>
  <c r="E53" i="1"/>
  <c r="F52" i="1"/>
  <c r="E52" i="1"/>
  <c r="G51" i="1"/>
  <c r="F51" i="1"/>
  <c r="E51" i="1"/>
  <c r="F50" i="1"/>
  <c r="E50" i="1"/>
  <c r="F49" i="1"/>
  <c r="E49" i="1"/>
  <c r="G49" i="1" s="1"/>
  <c r="G48" i="1"/>
  <c r="F48" i="1"/>
  <c r="E48" i="1"/>
  <c r="F47" i="1"/>
  <c r="G47" i="1" s="1"/>
  <c r="E47" i="1"/>
  <c r="F46" i="1"/>
  <c r="E46" i="1"/>
  <c r="G46" i="1" s="1"/>
  <c r="F45" i="1"/>
  <c r="G45" i="1" s="1"/>
  <c r="E45" i="1"/>
  <c r="F44" i="1"/>
  <c r="E44" i="1"/>
  <c r="G44" i="1" s="1"/>
  <c r="F43" i="1"/>
  <c r="G43" i="1" s="1"/>
  <c r="E43" i="1"/>
  <c r="F42" i="1"/>
  <c r="E42" i="1"/>
  <c r="G42" i="1" s="1"/>
  <c r="G41" i="1"/>
  <c r="F41" i="1"/>
  <c r="E41" i="1"/>
  <c r="F40" i="1"/>
  <c r="G40" i="1" s="1"/>
  <c r="E40" i="1"/>
  <c r="F39" i="1"/>
  <c r="E39" i="1"/>
  <c r="F38" i="1"/>
  <c r="E38" i="1"/>
  <c r="G38" i="1" s="1"/>
  <c r="G37" i="1"/>
  <c r="F37" i="1"/>
  <c r="E37" i="1"/>
  <c r="F36" i="1"/>
  <c r="G36" i="1" s="1"/>
  <c r="E36" i="1"/>
  <c r="F35" i="1"/>
  <c r="E35" i="1"/>
  <c r="G35" i="1" s="1"/>
  <c r="H34" i="1"/>
  <c r="I34" i="1" s="1"/>
  <c r="F34" i="1"/>
  <c r="E34" i="1"/>
  <c r="G34" i="1" s="1"/>
  <c r="G33" i="1"/>
  <c r="F33" i="1"/>
  <c r="E33" i="1"/>
  <c r="F32" i="1"/>
  <c r="G32" i="1" s="1"/>
  <c r="E32" i="1"/>
  <c r="F31" i="1"/>
  <c r="E31" i="1"/>
  <c r="F30" i="1"/>
  <c r="E30" i="1"/>
  <c r="G30" i="1" s="1"/>
  <c r="G29" i="1"/>
  <c r="F29" i="1"/>
  <c r="E29" i="1"/>
  <c r="F28" i="1"/>
  <c r="G28" i="1" s="1"/>
  <c r="E28" i="1"/>
  <c r="F27" i="1"/>
  <c r="E27" i="1"/>
  <c r="G27" i="1" s="1"/>
  <c r="F26" i="1"/>
  <c r="E26" i="1"/>
  <c r="G26" i="1" s="1"/>
  <c r="G25" i="1"/>
  <c r="F25" i="1"/>
  <c r="E25" i="1"/>
  <c r="F24" i="1"/>
  <c r="G24" i="1" s="1"/>
  <c r="E24" i="1"/>
  <c r="F23" i="1"/>
  <c r="E23" i="1"/>
  <c r="F22" i="1"/>
  <c r="E22" i="1"/>
  <c r="G22" i="1" s="1"/>
  <c r="G21" i="1"/>
  <c r="F21" i="1"/>
  <c r="E21" i="1"/>
  <c r="F20" i="1"/>
  <c r="G20" i="1" s="1"/>
  <c r="E20" i="1"/>
  <c r="F19" i="1"/>
  <c r="E19" i="1"/>
  <c r="G19" i="1" s="1"/>
  <c r="F18" i="1"/>
  <c r="E18" i="1"/>
  <c r="G18" i="1" s="1"/>
  <c r="G17" i="1"/>
  <c r="F17" i="1"/>
  <c r="E17" i="1"/>
  <c r="F16" i="1"/>
  <c r="G16" i="1" s="1"/>
  <c r="E16" i="1"/>
  <c r="F15" i="1"/>
  <c r="E15" i="1"/>
  <c r="F14" i="1"/>
  <c r="E14" i="1"/>
  <c r="G14" i="1" s="1"/>
  <c r="G13" i="1"/>
  <c r="F13" i="1"/>
  <c r="E13" i="1"/>
  <c r="F12" i="1"/>
  <c r="G12" i="1" s="1"/>
  <c r="E12" i="1"/>
  <c r="F11" i="1"/>
  <c r="E11" i="1"/>
  <c r="G11" i="1" s="1"/>
  <c r="F10" i="1"/>
  <c r="E10" i="1"/>
  <c r="G10" i="1" s="1"/>
  <c r="G9" i="1"/>
  <c r="F9" i="1"/>
  <c r="E9" i="1"/>
  <c r="F8" i="1"/>
  <c r="G8" i="1" s="1"/>
  <c r="E8" i="1"/>
  <c r="F7" i="1"/>
  <c r="G7" i="1" s="1"/>
  <c r="E7" i="1"/>
  <c r="F6" i="1"/>
  <c r="G6" i="1" s="1"/>
  <c r="E6" i="1"/>
  <c r="F5" i="1"/>
  <c r="G5" i="1" s="1"/>
  <c r="E5" i="1"/>
  <c r="F4" i="1"/>
  <c r="G4" i="1" s="1"/>
  <c r="E4" i="1"/>
  <c r="H3" i="1"/>
  <c r="I3" i="1" s="1"/>
  <c r="F3" i="1"/>
  <c r="G3" i="1" s="1"/>
  <c r="E3" i="1"/>
  <c r="K2" i="1"/>
  <c r="H2" i="1"/>
  <c r="I2" i="1" s="1"/>
  <c r="F2" i="1"/>
  <c r="G2" i="1" s="1"/>
  <c r="E2" i="1"/>
  <c r="K98" i="1" l="1"/>
  <c r="I98" i="1"/>
  <c r="I262" i="1"/>
  <c r="J262" i="1"/>
  <c r="K262" i="1"/>
  <c r="H4" i="1"/>
  <c r="G15" i="1"/>
  <c r="G31" i="1"/>
  <c r="J34" i="1"/>
  <c r="H35" i="1"/>
  <c r="K34" i="1"/>
  <c r="G167" i="1"/>
  <c r="G220" i="1"/>
  <c r="K99" i="1"/>
  <c r="H100" i="1"/>
  <c r="I99" i="1"/>
  <c r="J3" i="1"/>
  <c r="K3" i="1"/>
  <c r="J99" i="1"/>
  <c r="J2" i="1"/>
  <c r="G23" i="1"/>
  <c r="G39" i="1"/>
  <c r="G50" i="1"/>
  <c r="G52" i="1"/>
  <c r="G54" i="1"/>
  <c r="G58" i="1"/>
  <c r="G152" i="1"/>
  <c r="G209" i="1"/>
  <c r="G219" i="1"/>
  <c r="G95" i="1"/>
  <c r="G105" i="1"/>
  <c r="G111" i="1"/>
  <c r="G131" i="1"/>
  <c r="G151" i="1"/>
  <c r="H264" i="1"/>
  <c r="K263" i="1"/>
  <c r="J263" i="1"/>
  <c r="G87" i="1"/>
  <c r="G107" i="1"/>
  <c r="G163" i="1"/>
  <c r="G119" i="1"/>
  <c r="G139" i="1"/>
  <c r="G171" i="1"/>
  <c r="G204" i="1"/>
  <c r="G229" i="1"/>
  <c r="G155" i="1"/>
  <c r="G203" i="1"/>
  <c r="G218" i="1"/>
  <c r="G228" i="1"/>
  <c r="G232" i="1"/>
  <c r="G277" i="1"/>
  <c r="G288" i="1"/>
  <c r="G202" i="1"/>
  <c r="G212" i="1"/>
  <c r="G236" i="1"/>
  <c r="G198" i="1"/>
  <c r="G206" i="1"/>
  <c r="G214" i="1"/>
  <c r="G222" i="1"/>
  <c r="G230" i="1"/>
  <c r="G293" i="1"/>
  <c r="G324" i="1"/>
  <c r="G340" i="1"/>
  <c r="G304" i="1"/>
  <c r="G348" i="1"/>
  <c r="G276" i="1"/>
  <c r="G320" i="1"/>
  <c r="G332" i="1"/>
  <c r="I4" i="1" l="1"/>
  <c r="H5" i="1"/>
  <c r="K4" i="1"/>
  <c r="J4" i="1"/>
  <c r="J35" i="1"/>
  <c r="H36" i="1"/>
  <c r="I35" i="1"/>
  <c r="K35" i="1"/>
  <c r="H265" i="1"/>
  <c r="I264" i="1"/>
  <c r="K264" i="1"/>
  <c r="J264" i="1"/>
  <c r="J100" i="1"/>
  <c r="K100" i="1"/>
  <c r="I100" i="1"/>
  <c r="H101" i="1"/>
  <c r="I5" i="1" l="1"/>
  <c r="H6" i="1"/>
  <c r="J5" i="1"/>
  <c r="K5" i="1"/>
  <c r="I101" i="1"/>
  <c r="H102" i="1"/>
  <c r="K101" i="1"/>
  <c r="J101" i="1"/>
  <c r="K265" i="1"/>
  <c r="H266" i="1"/>
  <c r="J265" i="1"/>
  <c r="I265" i="1"/>
  <c r="J36" i="1"/>
  <c r="I36" i="1"/>
  <c r="K36" i="1"/>
  <c r="H37" i="1"/>
  <c r="H103" i="1" l="1"/>
  <c r="J37" i="1"/>
  <c r="K37" i="1"/>
  <c r="I37" i="1"/>
  <c r="H38" i="1"/>
  <c r="H267" i="1"/>
  <c r="H7" i="1"/>
  <c r="H8" i="1" l="1"/>
  <c r="H268" i="1"/>
  <c r="H39" i="1"/>
  <c r="H104" i="1"/>
  <c r="H269" i="1" l="1"/>
  <c r="H9" i="1"/>
  <c r="H105" i="1"/>
  <c r="H40" i="1"/>
  <c r="H106" i="1" l="1"/>
  <c r="H10" i="1"/>
  <c r="H41" i="1"/>
  <c r="H270" i="1"/>
  <c r="H42" i="1" l="1"/>
  <c r="H107" i="1"/>
  <c r="H271" i="1"/>
  <c r="H11" i="1"/>
  <c r="H108" i="1" l="1"/>
  <c r="H43" i="1"/>
  <c r="H272" i="1"/>
  <c r="H12" i="1"/>
  <c r="H13" i="1" l="1"/>
  <c r="H109" i="1"/>
  <c r="H273" i="1"/>
  <c r="H44" i="1"/>
  <c r="H45" i="1" l="1"/>
  <c r="H14" i="1"/>
  <c r="H274" i="1"/>
  <c r="H110" i="1"/>
  <c r="H111" i="1" l="1"/>
  <c r="H275" i="1"/>
  <c r="H15" i="1"/>
  <c r="H46" i="1"/>
  <c r="H276" i="1" l="1"/>
  <c r="H16" i="1"/>
  <c r="H112" i="1"/>
  <c r="H47" i="1"/>
  <c r="H48" i="1" l="1"/>
  <c r="H277" i="1"/>
  <c r="H113" i="1"/>
  <c r="H17" i="1"/>
  <c r="H278" i="1" l="1"/>
  <c r="H49" i="1"/>
  <c r="H18" i="1"/>
  <c r="H114" i="1"/>
  <c r="H115" i="1" l="1"/>
  <c r="H50" i="1"/>
  <c r="H19" i="1"/>
  <c r="H279" i="1"/>
  <c r="H51" i="1" l="1"/>
  <c r="H116" i="1"/>
  <c r="H20" i="1"/>
  <c r="H280" i="1"/>
  <c r="H281" i="1" l="1"/>
  <c r="H21" i="1"/>
  <c r="H117" i="1"/>
  <c r="H52" i="1"/>
  <c r="H118" i="1" l="1"/>
  <c r="H53" i="1"/>
  <c r="H22" i="1"/>
  <c r="H282" i="1"/>
  <c r="H23" i="1" l="1"/>
  <c r="H283" i="1"/>
  <c r="H54" i="1"/>
  <c r="H119" i="1"/>
  <c r="H55" i="1" l="1"/>
  <c r="H284" i="1"/>
  <c r="H24" i="1"/>
  <c r="H120" i="1"/>
  <c r="H56" i="1" l="1"/>
  <c r="H25" i="1"/>
  <c r="H285" i="1"/>
  <c r="H121" i="1"/>
  <c r="H57" i="1" l="1"/>
  <c r="H26" i="1"/>
  <c r="H122" i="1"/>
  <c r="H286" i="1"/>
  <c r="H123" i="1" l="1"/>
  <c r="H27" i="1"/>
  <c r="H287" i="1"/>
  <c r="H58" i="1"/>
  <c r="H288" i="1" l="1"/>
  <c r="H28" i="1"/>
  <c r="H59" i="1"/>
  <c r="H124" i="1"/>
  <c r="H125" i="1" l="1"/>
  <c r="H289" i="1"/>
  <c r="H60" i="1"/>
  <c r="H29" i="1"/>
  <c r="H61" i="1" l="1"/>
  <c r="H30" i="1"/>
  <c r="H126" i="1"/>
  <c r="H290" i="1"/>
  <c r="H62" i="1" l="1"/>
  <c r="H127" i="1"/>
  <c r="H291" i="1"/>
  <c r="J30" i="1"/>
  <c r="K30" i="1"/>
  <c r="H31" i="1"/>
  <c r="I30" i="1"/>
  <c r="J26" i="1"/>
  <c r="I18" i="1"/>
  <c r="K26" i="1"/>
  <c r="I26" i="1"/>
  <c r="J14" i="1"/>
  <c r="K14" i="1"/>
  <c r="K22" i="1"/>
  <c r="J18" i="1"/>
  <c r="K18" i="1"/>
  <c r="J22" i="1"/>
  <c r="I14" i="1"/>
  <c r="I22" i="1"/>
  <c r="H292" i="1" l="1"/>
  <c r="J31" i="1"/>
  <c r="H32" i="1"/>
  <c r="K31" i="1"/>
  <c r="I31" i="1"/>
  <c r="J27" i="1"/>
  <c r="K19" i="1"/>
  <c r="J15" i="1"/>
  <c r="K27" i="1"/>
  <c r="K23" i="1"/>
  <c r="K15" i="1"/>
  <c r="I27" i="1"/>
  <c r="J23" i="1"/>
  <c r="J19" i="1"/>
  <c r="I19" i="1"/>
  <c r="I15" i="1"/>
  <c r="I23" i="1"/>
  <c r="H128" i="1"/>
  <c r="H63" i="1"/>
  <c r="H64" i="1" l="1"/>
  <c r="H293" i="1"/>
  <c r="J32" i="1"/>
  <c r="I32" i="1"/>
  <c r="H33" i="1"/>
  <c r="K32" i="1"/>
  <c r="J28" i="1"/>
  <c r="I28" i="1"/>
  <c r="I24" i="1"/>
  <c r="K24" i="1"/>
  <c r="K28" i="1"/>
  <c r="K20" i="1"/>
  <c r="I20" i="1"/>
  <c r="J20" i="1"/>
  <c r="J24" i="1"/>
  <c r="I16" i="1"/>
  <c r="K16" i="1"/>
  <c r="J16" i="1"/>
  <c r="H129" i="1"/>
  <c r="H65" i="1" l="1"/>
  <c r="J33" i="1"/>
  <c r="K33" i="1"/>
  <c r="I33" i="1"/>
  <c r="J29" i="1"/>
  <c r="I17" i="1"/>
  <c r="I21" i="1"/>
  <c r="K29" i="1"/>
  <c r="I25" i="1"/>
  <c r="K21" i="1"/>
  <c r="K17" i="1"/>
  <c r="K25" i="1"/>
  <c r="J21" i="1"/>
  <c r="I29" i="1"/>
  <c r="J17" i="1"/>
  <c r="J25" i="1"/>
  <c r="H294" i="1"/>
  <c r="H130" i="1"/>
  <c r="H66" i="1" l="1"/>
  <c r="H131" i="1"/>
  <c r="H295" i="1"/>
  <c r="H296" i="1" l="1"/>
  <c r="H132" i="1"/>
  <c r="H67" i="1"/>
  <c r="H297" i="1" l="1"/>
  <c r="H68" i="1"/>
  <c r="H133" i="1"/>
  <c r="H69" i="1" l="1"/>
  <c r="H134" i="1"/>
  <c r="H298" i="1"/>
  <c r="H70" i="1" l="1"/>
  <c r="H135" i="1"/>
  <c r="H299" i="1"/>
  <c r="H136" i="1" l="1"/>
  <c r="H71" i="1"/>
  <c r="H300" i="1"/>
  <c r="H72" i="1" l="1"/>
  <c r="H301" i="1"/>
  <c r="H137" i="1"/>
  <c r="H138" i="1" l="1"/>
  <c r="H73" i="1"/>
  <c r="H302" i="1"/>
  <c r="H139" i="1" l="1"/>
  <c r="H303" i="1"/>
  <c r="H74" i="1"/>
  <c r="H304" i="1" l="1"/>
  <c r="H75" i="1"/>
  <c r="H140" i="1"/>
  <c r="H305" i="1" l="1"/>
  <c r="H141" i="1"/>
  <c r="H76" i="1"/>
  <c r="H142" i="1" l="1"/>
  <c r="H77" i="1"/>
  <c r="H306" i="1"/>
  <c r="H307" i="1" l="1"/>
  <c r="H78" i="1"/>
  <c r="H143" i="1"/>
  <c r="H144" i="1" l="1"/>
  <c r="H79" i="1"/>
  <c r="H308" i="1"/>
  <c r="H80" i="1" l="1"/>
  <c r="H309" i="1"/>
  <c r="H145" i="1"/>
  <c r="H81" i="1" l="1"/>
  <c r="H146" i="1"/>
  <c r="H310" i="1"/>
  <c r="H147" i="1" l="1"/>
  <c r="H311" i="1"/>
  <c r="H82" i="1"/>
  <c r="H148" i="1" l="1"/>
  <c r="H83" i="1"/>
  <c r="H312" i="1"/>
  <c r="H313" i="1" l="1"/>
  <c r="H84" i="1"/>
  <c r="H149" i="1"/>
  <c r="H85" i="1" l="1"/>
  <c r="H150" i="1"/>
  <c r="H314" i="1"/>
  <c r="H151" i="1" l="1"/>
  <c r="H315" i="1"/>
  <c r="H86" i="1"/>
  <c r="H152" i="1" l="1"/>
  <c r="H316" i="1"/>
  <c r="H87" i="1"/>
  <c r="H88" i="1" l="1"/>
  <c r="H317" i="1"/>
  <c r="H153" i="1"/>
  <c r="H318" i="1" l="1"/>
  <c r="H154" i="1"/>
  <c r="H89" i="1"/>
  <c r="H90" i="1" l="1"/>
  <c r="H319" i="1"/>
  <c r="H155" i="1"/>
  <c r="H156" i="1" l="1"/>
  <c r="H320" i="1"/>
  <c r="H91" i="1"/>
  <c r="H92" i="1" l="1"/>
  <c r="H321" i="1"/>
  <c r="H157" i="1"/>
  <c r="H158" i="1" l="1"/>
  <c r="H93" i="1"/>
  <c r="H322" i="1"/>
  <c r="H94" i="1" l="1"/>
  <c r="H159" i="1"/>
  <c r="H323" i="1"/>
  <c r="J94" i="1" l="1"/>
  <c r="H95" i="1"/>
  <c r="K94" i="1"/>
  <c r="I94" i="1"/>
  <c r="J90" i="1"/>
  <c r="I86" i="1"/>
  <c r="K90" i="1"/>
  <c r="K78" i="1"/>
  <c r="I90" i="1"/>
  <c r="J82" i="1"/>
  <c r="K82" i="1"/>
  <c r="I82" i="1"/>
  <c r="K86" i="1"/>
  <c r="J86" i="1"/>
  <c r="J78" i="1"/>
  <c r="I78" i="1"/>
  <c r="H324" i="1"/>
  <c r="H160" i="1"/>
  <c r="H96" i="1" l="1"/>
  <c r="K95" i="1"/>
  <c r="J95" i="1"/>
  <c r="I95" i="1"/>
  <c r="K91" i="1"/>
  <c r="J79" i="1"/>
  <c r="I79" i="1"/>
  <c r="K87" i="1"/>
  <c r="J83" i="1"/>
  <c r="I83" i="1"/>
  <c r="J91" i="1"/>
  <c r="K83" i="1"/>
  <c r="J87" i="1"/>
  <c r="I91" i="1"/>
  <c r="K79" i="1"/>
  <c r="I87" i="1"/>
  <c r="H325" i="1"/>
  <c r="H161" i="1"/>
  <c r="H326" i="1" l="1"/>
  <c r="H162" i="1"/>
  <c r="K96" i="1"/>
  <c r="I96" i="1"/>
  <c r="H97" i="1"/>
  <c r="J96" i="1"/>
  <c r="J92" i="1"/>
  <c r="K92" i="1"/>
  <c r="K88" i="1"/>
  <c r="I80" i="1"/>
  <c r="I92" i="1"/>
  <c r="K84" i="1"/>
  <c r="K80" i="1"/>
  <c r="J80" i="1"/>
  <c r="J88" i="1"/>
  <c r="I88" i="1"/>
  <c r="I84" i="1"/>
  <c r="J84" i="1"/>
  <c r="H327" i="1" l="1"/>
  <c r="I97" i="1"/>
  <c r="K97" i="1"/>
  <c r="J97" i="1"/>
  <c r="I93" i="1"/>
  <c r="K89" i="1"/>
  <c r="I81" i="1"/>
  <c r="K85" i="1"/>
  <c r="J93" i="1"/>
  <c r="J89" i="1"/>
  <c r="K81" i="1"/>
  <c r="K93" i="1"/>
  <c r="I89" i="1"/>
  <c r="J85" i="1"/>
  <c r="I85" i="1"/>
  <c r="J81" i="1"/>
  <c r="H163" i="1"/>
  <c r="H328" i="1" l="1"/>
  <c r="H164" i="1"/>
  <c r="H329" i="1" l="1"/>
  <c r="H165" i="1"/>
  <c r="H166" i="1" l="1"/>
  <c r="H330" i="1"/>
  <c r="H331" i="1" l="1"/>
  <c r="H167" i="1"/>
  <c r="H168" i="1" l="1"/>
  <c r="H332" i="1"/>
  <c r="H333" i="1" l="1"/>
  <c r="H169" i="1"/>
  <c r="H170" i="1" l="1"/>
  <c r="H334" i="1"/>
  <c r="H335" i="1" l="1"/>
  <c r="H171" i="1"/>
  <c r="H336" i="1" l="1"/>
  <c r="H172" i="1"/>
  <c r="H337" i="1" l="1"/>
  <c r="H173" i="1"/>
  <c r="H174" i="1" l="1"/>
  <c r="H338" i="1"/>
  <c r="H339" i="1" l="1"/>
  <c r="H175" i="1"/>
  <c r="H340" i="1" l="1"/>
  <c r="H176" i="1"/>
  <c r="H341" i="1" l="1"/>
  <c r="H177" i="1"/>
  <c r="H342" i="1" l="1"/>
  <c r="H178" i="1"/>
  <c r="H179" i="1" l="1"/>
  <c r="H343" i="1"/>
  <c r="H344" i="1" l="1"/>
  <c r="H180" i="1"/>
  <c r="H345" i="1" l="1"/>
  <c r="H181" i="1"/>
  <c r="H182" i="1" l="1"/>
  <c r="H346" i="1"/>
  <c r="H183" i="1" l="1"/>
  <c r="I346" i="1"/>
  <c r="H347" i="1"/>
  <c r="J346" i="1"/>
  <c r="K346" i="1"/>
  <c r="K342" i="1"/>
  <c r="I334" i="1"/>
  <c r="K338" i="1"/>
  <c r="I342" i="1"/>
  <c r="J338" i="1"/>
  <c r="J330" i="1"/>
  <c r="J342" i="1"/>
  <c r="K330" i="1"/>
  <c r="I338" i="1"/>
  <c r="K334" i="1"/>
  <c r="I330" i="1"/>
  <c r="J334" i="1"/>
  <c r="H184" i="1" l="1"/>
  <c r="J347" i="1"/>
  <c r="I347" i="1"/>
  <c r="H348" i="1"/>
  <c r="K347" i="1"/>
  <c r="K343" i="1"/>
  <c r="J343" i="1"/>
  <c r="J331" i="1"/>
  <c r="I331" i="1"/>
  <c r="J335" i="1"/>
  <c r="K331" i="1"/>
  <c r="I343" i="1"/>
  <c r="J339" i="1"/>
  <c r="K339" i="1"/>
  <c r="I335" i="1"/>
  <c r="I339" i="1"/>
  <c r="K335" i="1"/>
  <c r="H349" i="1" l="1"/>
  <c r="K348" i="1"/>
  <c r="J348" i="1"/>
  <c r="I348" i="1"/>
  <c r="J332" i="1"/>
  <c r="K344" i="1"/>
  <c r="I340" i="1"/>
  <c r="I336" i="1"/>
  <c r="J336" i="1"/>
  <c r="I332" i="1"/>
  <c r="J340" i="1"/>
  <c r="J344" i="1"/>
  <c r="I344" i="1"/>
  <c r="K340" i="1"/>
  <c r="K332" i="1"/>
  <c r="K336" i="1"/>
  <c r="H185" i="1"/>
  <c r="H186" i="1" l="1"/>
  <c r="K349" i="1"/>
  <c r="J349" i="1"/>
  <c r="I349" i="1"/>
  <c r="L268" i="1"/>
  <c r="L8" i="1"/>
  <c r="L336" i="1"/>
  <c r="L55" i="1"/>
  <c r="L71" i="1"/>
  <c r="L43" i="1"/>
  <c r="L83" i="1"/>
  <c r="L280" i="1"/>
  <c r="L63" i="1"/>
  <c r="L16" i="1"/>
  <c r="L312" i="1"/>
  <c r="L264" i="1"/>
  <c r="L284" i="1"/>
  <c r="L328" i="1"/>
  <c r="L300" i="1"/>
  <c r="L316" i="1"/>
  <c r="L4" i="1"/>
  <c r="L47" i="1"/>
  <c r="L292" i="1"/>
  <c r="L20" i="1"/>
  <c r="L24" i="1"/>
  <c r="L36" i="1"/>
  <c r="L44" i="1"/>
  <c r="L265" i="1"/>
  <c r="L309" i="1"/>
  <c r="L285" i="1"/>
  <c r="L273" i="1"/>
  <c r="L333" i="1"/>
  <c r="L56" i="1"/>
  <c r="L29" i="1"/>
  <c r="L96" i="1"/>
  <c r="L349" i="1"/>
  <c r="L88" i="1"/>
  <c r="L321" i="1"/>
  <c r="L301" i="1"/>
  <c r="L305" i="1"/>
  <c r="L92" i="1"/>
  <c r="L68" i="1"/>
  <c r="L313" i="1"/>
  <c r="L289" i="1"/>
  <c r="L281" i="1"/>
  <c r="L325" i="1"/>
  <c r="L48" i="1"/>
  <c r="L80" i="1"/>
  <c r="L21" i="1"/>
  <c r="L345" i="1"/>
  <c r="L76" i="1"/>
  <c r="L60" i="1"/>
  <c r="L5" i="1"/>
  <c r="L329" i="1"/>
  <c r="L341" i="1"/>
  <c r="L72" i="1"/>
  <c r="L64" i="1"/>
  <c r="L297" i="1"/>
  <c r="L317" i="1"/>
  <c r="L337" i="1"/>
  <c r="L40" i="1"/>
  <c r="L13" i="1"/>
  <c r="L269" i="1"/>
  <c r="L306" i="1"/>
  <c r="L326" i="1"/>
  <c r="L346" i="1"/>
  <c r="L61" i="1"/>
  <c r="L97" i="1"/>
  <c r="L322" i="1"/>
  <c r="L2" i="1"/>
  <c r="L286" i="1"/>
  <c r="L69" i="1"/>
  <c r="L314" i="1"/>
  <c r="L330" i="1"/>
  <c r="L294" i="1"/>
  <c r="L266" i="1"/>
  <c r="L282" i="1"/>
  <c r="L298" i="1"/>
  <c r="L262" i="1"/>
  <c r="L22" i="1"/>
  <c r="L10" i="1"/>
  <c r="L49" i="1"/>
  <c r="L310" i="1"/>
  <c r="L338" i="1"/>
  <c r="L18" i="1"/>
  <c r="L77" i="1"/>
  <c r="L85" i="1"/>
  <c r="L278" i="1"/>
  <c r="L57" i="1"/>
  <c r="L73" i="1"/>
  <c r="L53" i="1"/>
  <c r="L37" i="1"/>
  <c r="L302" i="1"/>
  <c r="L65" i="1"/>
  <c r="L81" i="1"/>
  <c r="L26" i="1"/>
  <c r="L93" i="1"/>
  <c r="L342" i="1"/>
  <c r="L334" i="1"/>
  <c r="L30" i="1"/>
  <c r="L6" i="1"/>
  <c r="L89" i="1"/>
  <c r="L45" i="1"/>
  <c r="L270" i="1"/>
  <c r="L14" i="1"/>
  <c r="L274" i="1"/>
  <c r="L290" i="1"/>
  <c r="L318" i="1"/>
  <c r="L343" i="1"/>
  <c r="L307" i="1"/>
  <c r="L19" i="1"/>
  <c r="L23" i="1"/>
  <c r="L46" i="1"/>
  <c r="L94" i="1"/>
  <c r="L339" i="1"/>
  <c r="L15" i="1"/>
  <c r="L31" i="1"/>
  <c r="L54" i="1"/>
  <c r="L279" i="1"/>
  <c r="L271" i="1"/>
  <c r="L315" i="1"/>
  <c r="L291" i="1"/>
  <c r="L327" i="1"/>
  <c r="L34" i="1"/>
  <c r="L58" i="1"/>
  <c r="L27" i="1"/>
  <c r="L7" i="1"/>
  <c r="L74" i="1"/>
  <c r="L11" i="1"/>
  <c r="L275" i="1"/>
  <c r="L267" i="1"/>
  <c r="L62" i="1"/>
  <c r="L303" i="1"/>
  <c r="L70" i="1"/>
  <c r="L283" i="1"/>
  <c r="L299" i="1"/>
  <c r="L323" i="1"/>
  <c r="L42" i="1"/>
  <c r="L90" i="1"/>
  <c r="L347" i="1"/>
  <c r="L335" i="1"/>
  <c r="L78" i="1"/>
  <c r="L66" i="1"/>
  <c r="L263" i="1"/>
  <c r="L3" i="1"/>
  <c r="L86" i="1"/>
  <c r="L50" i="1"/>
  <c r="L295" i="1"/>
  <c r="L319" i="1"/>
  <c r="L311" i="1"/>
  <c r="L82" i="1"/>
  <c r="L287" i="1"/>
  <c r="L331" i="1"/>
  <c r="L38" i="1"/>
  <c r="L95" i="1"/>
  <c r="L308" i="1"/>
  <c r="L304" i="1"/>
  <c r="L35" i="1"/>
  <c r="L272" i="1"/>
  <c r="L320" i="1"/>
  <c r="L28" i="1"/>
  <c r="L87" i="1"/>
  <c r="L332" i="1"/>
  <c r="L324" i="1"/>
  <c r="L91" i="1"/>
  <c r="L39" i="1"/>
  <c r="L79" i="1"/>
  <c r="L75" i="1"/>
  <c r="L348" i="1"/>
  <c r="L12" i="1"/>
  <c r="L59" i="1"/>
  <c r="L340" i="1"/>
  <c r="L288" i="1"/>
  <c r="L32" i="1"/>
  <c r="L51" i="1"/>
  <c r="L296" i="1"/>
  <c r="L344" i="1"/>
  <c r="L276" i="1"/>
  <c r="L277" i="1"/>
  <c r="L293" i="1"/>
  <c r="L52" i="1"/>
  <c r="L67" i="1"/>
  <c r="L84" i="1"/>
  <c r="L25" i="1"/>
  <c r="L9" i="1"/>
  <c r="L33" i="1"/>
  <c r="L17" i="1"/>
  <c r="K6" i="1"/>
  <c r="I266" i="1"/>
  <c r="J266" i="1"/>
  <c r="L41" i="1"/>
  <c r="K266" i="1"/>
  <c r="J6" i="1"/>
  <c r="I6" i="1"/>
  <c r="I38" i="1"/>
  <c r="J267" i="1"/>
  <c r="I7" i="1"/>
  <c r="K267" i="1"/>
  <c r="J7" i="1"/>
  <c r="J38" i="1"/>
  <c r="K7" i="1"/>
  <c r="K38" i="1"/>
  <c r="I267" i="1"/>
  <c r="K39" i="1"/>
  <c r="K8" i="1"/>
  <c r="J268" i="1"/>
  <c r="I268" i="1"/>
  <c r="I39" i="1"/>
  <c r="J8" i="1"/>
  <c r="I8" i="1"/>
  <c r="J39" i="1"/>
  <c r="K268" i="1"/>
  <c r="J40" i="1"/>
  <c r="I9" i="1"/>
  <c r="I269" i="1"/>
  <c r="K9" i="1"/>
  <c r="I40" i="1"/>
  <c r="J269" i="1"/>
  <c r="K40" i="1"/>
  <c r="J9" i="1"/>
  <c r="K269" i="1"/>
  <c r="I10" i="1"/>
  <c r="J270" i="1"/>
  <c r="K270" i="1"/>
  <c r="I270" i="1"/>
  <c r="J10" i="1"/>
  <c r="J41" i="1"/>
  <c r="K10" i="1"/>
  <c r="K41" i="1"/>
  <c r="I41" i="1"/>
  <c r="J271" i="1"/>
  <c r="J42" i="1"/>
  <c r="J11" i="1"/>
  <c r="K42" i="1"/>
  <c r="I271" i="1"/>
  <c r="K271" i="1"/>
  <c r="I11" i="1"/>
  <c r="K11" i="1"/>
  <c r="I42" i="1"/>
  <c r="I272" i="1"/>
  <c r="I12" i="1"/>
  <c r="I43" i="1"/>
  <c r="J43" i="1"/>
  <c r="J272" i="1"/>
  <c r="K43" i="1"/>
  <c r="K12" i="1"/>
  <c r="K272" i="1"/>
  <c r="J12" i="1"/>
  <c r="I273" i="1"/>
  <c r="J44" i="1"/>
  <c r="K273" i="1"/>
  <c r="I13" i="1"/>
  <c r="I44" i="1"/>
  <c r="K44" i="1"/>
  <c r="K13" i="1"/>
  <c r="J13" i="1"/>
  <c r="J273" i="1"/>
  <c r="K274" i="1"/>
  <c r="J45" i="1"/>
  <c r="J274" i="1"/>
  <c r="I274" i="1"/>
  <c r="K45" i="1"/>
  <c r="I45" i="1"/>
  <c r="J46" i="1"/>
  <c r="K275" i="1"/>
  <c r="J275" i="1"/>
  <c r="K46" i="1"/>
  <c r="I46" i="1"/>
  <c r="I275" i="1"/>
  <c r="I47" i="1"/>
  <c r="J47" i="1"/>
  <c r="K276" i="1"/>
  <c r="J276" i="1"/>
  <c r="I276" i="1"/>
  <c r="K47" i="1"/>
  <c r="I277" i="1"/>
  <c r="I48" i="1"/>
  <c r="K48" i="1"/>
  <c r="J277" i="1"/>
  <c r="J48" i="1"/>
  <c r="K277" i="1"/>
  <c r="J278" i="1"/>
  <c r="J49" i="1"/>
  <c r="I278" i="1"/>
  <c r="K278" i="1"/>
  <c r="K49" i="1"/>
  <c r="I49" i="1"/>
  <c r="I50" i="1"/>
  <c r="K50" i="1"/>
  <c r="J50" i="1"/>
  <c r="J279" i="1"/>
  <c r="K279" i="1"/>
  <c r="I279" i="1"/>
  <c r="K51" i="1"/>
  <c r="K280" i="1"/>
  <c r="I280" i="1"/>
  <c r="J51" i="1"/>
  <c r="J280" i="1"/>
  <c r="I51" i="1"/>
  <c r="K52" i="1"/>
  <c r="K281" i="1"/>
  <c r="I281" i="1"/>
  <c r="J281" i="1"/>
  <c r="J52" i="1"/>
  <c r="I52" i="1"/>
  <c r="K282" i="1"/>
  <c r="J282" i="1"/>
  <c r="I282" i="1"/>
  <c r="K53" i="1"/>
  <c r="J53" i="1"/>
  <c r="I53" i="1"/>
  <c r="I283" i="1"/>
  <c r="I54" i="1"/>
  <c r="K283" i="1"/>
  <c r="J54" i="1"/>
  <c r="J283" i="1"/>
  <c r="K54" i="1"/>
  <c r="I284" i="1"/>
  <c r="J284" i="1"/>
  <c r="K284" i="1"/>
  <c r="J55" i="1"/>
  <c r="K55" i="1"/>
  <c r="I55" i="1"/>
  <c r="I285" i="1"/>
  <c r="K285" i="1"/>
  <c r="I56" i="1"/>
  <c r="J56" i="1"/>
  <c r="K56" i="1"/>
  <c r="J285" i="1"/>
  <c r="I57" i="1"/>
  <c r="J286" i="1"/>
  <c r="I286" i="1"/>
  <c r="K286" i="1"/>
  <c r="K57" i="1"/>
  <c r="J57" i="1"/>
  <c r="J58" i="1"/>
  <c r="J287" i="1"/>
  <c r="K287" i="1"/>
  <c r="I287" i="1"/>
  <c r="I58" i="1"/>
  <c r="K58" i="1"/>
  <c r="I59" i="1"/>
  <c r="K59" i="1"/>
  <c r="I288" i="1"/>
  <c r="J288" i="1"/>
  <c r="K288" i="1"/>
  <c r="J59" i="1"/>
  <c r="J60" i="1"/>
  <c r="K289" i="1"/>
  <c r="K60" i="1"/>
  <c r="J289" i="1"/>
  <c r="I289" i="1"/>
  <c r="I60" i="1"/>
  <c r="J290" i="1"/>
  <c r="I61" i="1"/>
  <c r="K61" i="1"/>
  <c r="J61" i="1"/>
  <c r="K290" i="1"/>
  <c r="I290" i="1"/>
  <c r="K62" i="1"/>
  <c r="K291" i="1"/>
  <c r="I62" i="1"/>
  <c r="J62" i="1"/>
  <c r="I291" i="1"/>
  <c r="J291" i="1"/>
  <c r="K292" i="1"/>
  <c r="J63" i="1"/>
  <c r="K63" i="1"/>
  <c r="I63" i="1"/>
  <c r="J292" i="1"/>
  <c r="I292" i="1"/>
  <c r="J64" i="1"/>
  <c r="K293" i="1"/>
  <c r="I293" i="1"/>
  <c r="I64" i="1"/>
  <c r="K64" i="1"/>
  <c r="J293" i="1"/>
  <c r="J65" i="1"/>
  <c r="I294" i="1"/>
  <c r="I65" i="1"/>
  <c r="K294" i="1"/>
  <c r="K65" i="1"/>
  <c r="J294" i="1"/>
  <c r="I66" i="1"/>
  <c r="I295" i="1"/>
  <c r="K295" i="1"/>
  <c r="K66" i="1"/>
  <c r="J66" i="1"/>
  <c r="J295" i="1"/>
  <c r="I67" i="1"/>
  <c r="J67" i="1"/>
  <c r="I296" i="1"/>
  <c r="K67" i="1"/>
  <c r="J296" i="1"/>
  <c r="K296" i="1"/>
  <c r="I68" i="1"/>
  <c r="K297" i="1"/>
  <c r="J68" i="1"/>
  <c r="J297" i="1"/>
  <c r="K68" i="1"/>
  <c r="I297" i="1"/>
  <c r="I69" i="1"/>
  <c r="J69" i="1"/>
  <c r="K69" i="1"/>
  <c r="I298" i="1"/>
  <c r="K298" i="1"/>
  <c r="J298" i="1"/>
  <c r="I299" i="1"/>
  <c r="I70" i="1"/>
  <c r="K299" i="1"/>
  <c r="K70" i="1"/>
  <c r="J70" i="1"/>
  <c r="J299" i="1"/>
  <c r="I300" i="1"/>
  <c r="K300" i="1"/>
  <c r="J71" i="1"/>
  <c r="K71" i="1"/>
  <c r="J300" i="1"/>
  <c r="I71" i="1"/>
  <c r="K72" i="1"/>
  <c r="J301" i="1"/>
  <c r="J72" i="1"/>
  <c r="K301" i="1"/>
  <c r="I301" i="1"/>
  <c r="I72" i="1"/>
  <c r="J73" i="1"/>
  <c r="I73" i="1"/>
  <c r="K73" i="1"/>
  <c r="I302" i="1"/>
  <c r="J302" i="1"/>
  <c r="K302" i="1"/>
  <c r="K303" i="1"/>
  <c r="I74" i="1"/>
  <c r="J74" i="1"/>
  <c r="I303" i="1"/>
  <c r="K74" i="1"/>
  <c r="J303" i="1"/>
  <c r="J304" i="1"/>
  <c r="J75" i="1"/>
  <c r="K304" i="1"/>
  <c r="K75" i="1"/>
  <c r="I304" i="1"/>
  <c r="I75" i="1"/>
  <c r="I76" i="1"/>
  <c r="I305" i="1"/>
  <c r="J305" i="1"/>
  <c r="K305" i="1"/>
  <c r="J76" i="1"/>
  <c r="K76" i="1"/>
  <c r="K306" i="1"/>
  <c r="J77" i="1"/>
  <c r="I77" i="1"/>
  <c r="J306" i="1"/>
  <c r="K77" i="1"/>
  <c r="I306" i="1"/>
  <c r="K307" i="1"/>
  <c r="J307" i="1"/>
  <c r="I307" i="1"/>
  <c r="I308" i="1"/>
  <c r="J308" i="1"/>
  <c r="K308" i="1"/>
  <c r="K309" i="1"/>
  <c r="I309" i="1"/>
  <c r="J309" i="1"/>
  <c r="I310" i="1"/>
  <c r="J310" i="1"/>
  <c r="K310" i="1"/>
  <c r="I311" i="1"/>
  <c r="K311" i="1"/>
  <c r="J311" i="1"/>
  <c r="J312" i="1"/>
  <c r="I312" i="1"/>
  <c r="K312" i="1"/>
  <c r="I313" i="1"/>
  <c r="J313" i="1"/>
  <c r="K313" i="1"/>
  <c r="I314" i="1"/>
  <c r="J314" i="1"/>
  <c r="K314" i="1"/>
  <c r="J315" i="1"/>
  <c r="I315" i="1"/>
  <c r="K315" i="1"/>
  <c r="J316" i="1"/>
  <c r="K316" i="1"/>
  <c r="I316" i="1"/>
  <c r="K317" i="1"/>
  <c r="I317" i="1"/>
  <c r="J317" i="1"/>
  <c r="K318" i="1"/>
  <c r="J318" i="1"/>
  <c r="I318" i="1"/>
  <c r="K319" i="1"/>
  <c r="J319" i="1"/>
  <c r="I319" i="1"/>
  <c r="K320" i="1"/>
  <c r="I320" i="1"/>
  <c r="J320" i="1"/>
  <c r="K321" i="1"/>
  <c r="I321" i="1"/>
  <c r="J321" i="1"/>
  <c r="I322" i="1"/>
  <c r="K322" i="1"/>
  <c r="J322" i="1"/>
  <c r="I323" i="1"/>
  <c r="K323" i="1"/>
  <c r="J323" i="1"/>
  <c r="K324" i="1"/>
  <c r="I324" i="1"/>
  <c r="J324" i="1"/>
  <c r="K325" i="1"/>
  <c r="I325" i="1"/>
  <c r="J325" i="1"/>
  <c r="J326" i="1"/>
  <c r="I326" i="1"/>
  <c r="K326" i="1"/>
  <c r="K327" i="1"/>
  <c r="I327" i="1"/>
  <c r="J327" i="1"/>
  <c r="K328" i="1"/>
  <c r="J328" i="1"/>
  <c r="I328" i="1"/>
  <c r="J329" i="1"/>
  <c r="I341" i="1"/>
  <c r="J345" i="1"/>
  <c r="I333" i="1"/>
  <c r="K345" i="1"/>
  <c r="K341" i="1"/>
  <c r="I345" i="1"/>
  <c r="I329" i="1"/>
  <c r="I337" i="1"/>
  <c r="J341" i="1"/>
  <c r="J337" i="1"/>
  <c r="K337" i="1"/>
  <c r="J333" i="1"/>
  <c r="K333" i="1"/>
  <c r="K329" i="1"/>
  <c r="H187" i="1" l="1"/>
  <c r="H188" i="1" l="1"/>
  <c r="H189" i="1" l="1"/>
  <c r="H190" i="1" l="1"/>
  <c r="H191" i="1" l="1"/>
  <c r="H192" i="1" l="1"/>
  <c r="H193" i="1" l="1"/>
  <c r="H194" i="1" l="1"/>
  <c r="H195" i="1" l="1"/>
  <c r="H196" i="1" l="1"/>
  <c r="H197" i="1" l="1"/>
  <c r="H198" i="1" l="1"/>
  <c r="H199" i="1" l="1"/>
  <c r="H200" i="1" l="1"/>
  <c r="H201" i="1" l="1"/>
  <c r="H202" i="1" l="1"/>
  <c r="H203" i="1" l="1"/>
  <c r="H204" i="1" l="1"/>
  <c r="H205" i="1" l="1"/>
  <c r="H206" i="1" l="1"/>
  <c r="H207" i="1" l="1"/>
  <c r="H208" i="1" l="1"/>
  <c r="H209" i="1" l="1"/>
  <c r="H210" i="1" l="1"/>
  <c r="H211" i="1" l="1"/>
  <c r="H212" i="1" l="1"/>
  <c r="H213" i="1" l="1"/>
  <c r="H214" i="1" l="1"/>
  <c r="H215" i="1" l="1"/>
  <c r="H216" i="1" l="1"/>
  <c r="H217" i="1" l="1"/>
  <c r="H218" i="1" l="1"/>
  <c r="H219" i="1" l="1"/>
  <c r="H220" i="1" l="1"/>
  <c r="H221" i="1" l="1"/>
  <c r="H222" i="1" l="1"/>
  <c r="H223" i="1" l="1"/>
  <c r="H224" i="1" l="1"/>
  <c r="H225" i="1" l="1"/>
  <c r="H226" i="1" l="1"/>
  <c r="H227" i="1" l="1"/>
  <c r="H228" i="1" l="1"/>
  <c r="H229" i="1" l="1"/>
  <c r="H230" i="1" l="1"/>
  <c r="H231" i="1" l="1"/>
  <c r="H232" i="1" l="1"/>
  <c r="H233" i="1" l="1"/>
  <c r="H234" i="1" l="1"/>
  <c r="H235" i="1" l="1"/>
  <c r="H236" i="1" l="1"/>
  <c r="H237" i="1" l="1"/>
  <c r="H238" i="1" l="1"/>
  <c r="H239" i="1" l="1"/>
  <c r="H240" i="1" l="1"/>
  <c r="H241" i="1" l="1"/>
  <c r="H242" i="1" l="1"/>
  <c r="H243" i="1" l="1"/>
  <c r="H244" i="1" l="1"/>
  <c r="H245" i="1" l="1"/>
  <c r="H246" i="1" l="1"/>
  <c r="H247" i="1" l="1"/>
  <c r="H248" i="1" l="1"/>
  <c r="H249" i="1" l="1"/>
  <c r="H250" i="1" l="1"/>
  <c r="H251" i="1" l="1"/>
  <c r="H252" i="1" l="1"/>
  <c r="H253" i="1" l="1"/>
  <c r="H254" i="1" l="1"/>
  <c r="H255" i="1" l="1"/>
  <c r="H256" i="1" l="1"/>
  <c r="H257" i="1" l="1"/>
  <c r="H258" i="1" l="1"/>
  <c r="H259" i="1" l="1"/>
  <c r="K258" i="1"/>
  <c r="I258" i="1"/>
  <c r="J258" i="1"/>
  <c r="K254" i="1"/>
  <c r="I250" i="1"/>
  <c r="J254" i="1"/>
  <c r="I254" i="1"/>
  <c r="J246" i="1"/>
  <c r="K242" i="1"/>
  <c r="K250" i="1"/>
  <c r="J242" i="1"/>
  <c r="J250" i="1"/>
  <c r="K246" i="1"/>
  <c r="I246" i="1"/>
  <c r="I242" i="1"/>
  <c r="H260" i="1" l="1"/>
  <c r="J259" i="1"/>
  <c r="I259" i="1"/>
  <c r="K259" i="1"/>
  <c r="J243" i="1"/>
  <c r="J255" i="1"/>
  <c r="J247" i="1"/>
  <c r="K247" i="1"/>
  <c r="I251" i="1"/>
  <c r="K243" i="1"/>
  <c r="K255" i="1"/>
  <c r="I255" i="1"/>
  <c r="J251" i="1"/>
  <c r="K251" i="1"/>
  <c r="I247" i="1"/>
  <c r="I243" i="1"/>
  <c r="H261" i="1" l="1"/>
  <c r="I260" i="1"/>
  <c r="K260" i="1"/>
  <c r="J260" i="1"/>
  <c r="K244" i="1"/>
  <c r="I256" i="1"/>
  <c r="J244" i="1"/>
  <c r="K256" i="1"/>
  <c r="I252" i="1"/>
  <c r="I248" i="1"/>
  <c r="K248" i="1"/>
  <c r="J256" i="1"/>
  <c r="J252" i="1"/>
  <c r="I244" i="1"/>
  <c r="K252" i="1"/>
  <c r="J248" i="1"/>
  <c r="I261" i="1" l="1"/>
  <c r="K261" i="1"/>
  <c r="J261" i="1"/>
  <c r="J168" i="1"/>
  <c r="I168" i="1"/>
  <c r="K168" i="1"/>
  <c r="J169" i="1"/>
  <c r="K169" i="1"/>
  <c r="I169" i="1"/>
  <c r="J170" i="1"/>
  <c r="I170" i="1"/>
  <c r="K170" i="1"/>
  <c r="K171" i="1"/>
  <c r="J171" i="1"/>
  <c r="I171" i="1"/>
  <c r="I172" i="1"/>
  <c r="K172" i="1"/>
  <c r="J172" i="1"/>
  <c r="K173" i="1"/>
  <c r="I173" i="1"/>
  <c r="J173" i="1"/>
  <c r="J174" i="1"/>
  <c r="I174" i="1"/>
  <c r="K174" i="1"/>
  <c r="K175" i="1"/>
  <c r="I175" i="1"/>
  <c r="J175" i="1"/>
  <c r="K176" i="1"/>
  <c r="J176" i="1"/>
  <c r="I176" i="1"/>
  <c r="I177" i="1"/>
  <c r="K177" i="1"/>
  <c r="J177" i="1"/>
  <c r="J178" i="1"/>
  <c r="I178" i="1"/>
  <c r="K178" i="1"/>
  <c r="K179" i="1"/>
  <c r="J179" i="1"/>
  <c r="I179" i="1"/>
  <c r="I180" i="1"/>
  <c r="J180" i="1"/>
  <c r="K180" i="1"/>
  <c r="J181" i="1"/>
  <c r="K181" i="1"/>
  <c r="I181" i="1"/>
  <c r="K182" i="1"/>
  <c r="J182" i="1"/>
  <c r="I182" i="1"/>
  <c r="L183" i="1"/>
  <c r="J167" i="1"/>
  <c r="L131" i="1"/>
  <c r="L139" i="1"/>
  <c r="J103" i="1"/>
  <c r="J131" i="1"/>
  <c r="J155" i="1"/>
  <c r="I103" i="1"/>
  <c r="J151" i="1"/>
  <c r="L167" i="1"/>
  <c r="L143" i="1"/>
  <c r="L239" i="1"/>
  <c r="L235" i="1"/>
  <c r="K155" i="1"/>
  <c r="L123" i="1"/>
  <c r="I143" i="1"/>
  <c r="L191" i="1"/>
  <c r="L211" i="1"/>
  <c r="K127" i="1"/>
  <c r="L207" i="1"/>
  <c r="I123" i="1"/>
  <c r="I159" i="1"/>
  <c r="I115" i="1"/>
  <c r="I139" i="1"/>
  <c r="J119" i="1"/>
  <c r="I151" i="1"/>
  <c r="J163" i="1"/>
  <c r="L111" i="1"/>
  <c r="J139" i="1"/>
  <c r="I155" i="1"/>
  <c r="K131" i="1"/>
  <c r="L199" i="1"/>
  <c r="J135" i="1"/>
  <c r="K119" i="1"/>
  <c r="L179" i="1"/>
  <c r="K163" i="1"/>
  <c r="L231" i="1"/>
  <c r="L99" i="1"/>
  <c r="J111" i="1"/>
  <c r="K135" i="1"/>
  <c r="I111" i="1"/>
  <c r="I183" i="1"/>
  <c r="L115" i="1"/>
  <c r="I167" i="1"/>
  <c r="L171" i="1"/>
  <c r="L223" i="1"/>
  <c r="L155" i="1"/>
  <c r="L195" i="1"/>
  <c r="L119" i="1"/>
  <c r="L251" i="1"/>
  <c r="K143" i="1"/>
  <c r="K139" i="1"/>
  <c r="L243" i="1"/>
  <c r="L127" i="1"/>
  <c r="L255" i="1"/>
  <c r="L203" i="1"/>
  <c r="K115" i="1"/>
  <c r="J115" i="1"/>
  <c r="J143" i="1"/>
  <c r="J127" i="1"/>
  <c r="K147" i="1"/>
  <c r="K107" i="1"/>
  <c r="K183" i="1"/>
  <c r="J123" i="1"/>
  <c r="K111" i="1"/>
  <c r="L215" i="1"/>
  <c r="L247" i="1"/>
  <c r="J159" i="1"/>
  <c r="L107" i="1"/>
  <c r="I119" i="1"/>
  <c r="L175" i="1"/>
  <c r="J147" i="1"/>
  <c r="L103" i="1"/>
  <c r="L159" i="1"/>
  <c r="J107" i="1"/>
  <c r="J183" i="1"/>
  <c r="I107" i="1"/>
  <c r="L259" i="1"/>
  <c r="L151" i="1"/>
  <c r="I163" i="1"/>
  <c r="K103" i="1"/>
  <c r="L187" i="1"/>
  <c r="L227" i="1"/>
  <c r="L163" i="1"/>
  <c r="I135" i="1"/>
  <c r="K151" i="1"/>
  <c r="L147" i="1"/>
  <c r="L219" i="1"/>
  <c r="I147" i="1"/>
  <c r="L135" i="1"/>
  <c r="K159" i="1"/>
  <c r="I131" i="1"/>
  <c r="K123" i="1"/>
  <c r="I127" i="1"/>
  <c r="K167" i="1"/>
  <c r="L244" i="1"/>
  <c r="J144" i="1"/>
  <c r="I132" i="1"/>
  <c r="L124" i="1"/>
  <c r="J112" i="1"/>
  <c r="K156" i="1"/>
  <c r="L140" i="1"/>
  <c r="L160" i="1"/>
  <c r="L252" i="1"/>
  <c r="L188" i="1"/>
  <c r="L120" i="1"/>
  <c r="L220" i="1"/>
  <c r="K184" i="1"/>
  <c r="J116" i="1"/>
  <c r="L240" i="1"/>
  <c r="I136" i="1"/>
  <c r="J120" i="1"/>
  <c r="J124" i="1"/>
  <c r="K152" i="1"/>
  <c r="L228" i="1"/>
  <c r="L116" i="1"/>
  <c r="L204" i="1"/>
  <c r="L196" i="1"/>
  <c r="I148" i="1"/>
  <c r="L100" i="1"/>
  <c r="L256" i="1"/>
  <c r="L232" i="1"/>
  <c r="L236" i="1"/>
  <c r="I140" i="1"/>
  <c r="I104" i="1"/>
  <c r="L128" i="1"/>
  <c r="J136" i="1"/>
  <c r="J164" i="1"/>
  <c r="L224" i="1"/>
  <c r="K136" i="1"/>
  <c r="K132" i="1"/>
  <c r="J184" i="1"/>
  <c r="J140" i="1"/>
  <c r="I184" i="1"/>
  <c r="I108" i="1"/>
  <c r="L108" i="1"/>
  <c r="K140" i="1"/>
  <c r="I112" i="1"/>
  <c r="J104" i="1"/>
  <c r="I144" i="1"/>
  <c r="J132" i="1"/>
  <c r="K104" i="1"/>
  <c r="K164" i="1"/>
  <c r="L200" i="1"/>
  <c r="L148" i="1"/>
  <c r="K116" i="1"/>
  <c r="L104" i="1"/>
  <c r="L216" i="1"/>
  <c r="J152" i="1"/>
  <c r="I164" i="1"/>
  <c r="I152" i="1"/>
  <c r="L184" i="1"/>
  <c r="L192" i="1"/>
  <c r="L248" i="1"/>
  <c r="L168" i="1"/>
  <c r="L172" i="1"/>
  <c r="I116" i="1"/>
  <c r="K144" i="1"/>
  <c r="L164" i="1"/>
  <c r="L112" i="1"/>
  <c r="K124" i="1"/>
  <c r="K128" i="1"/>
  <c r="L156" i="1"/>
  <c r="I160" i="1"/>
  <c r="I156" i="1"/>
  <c r="L136" i="1"/>
  <c r="J148" i="1"/>
  <c r="L152" i="1"/>
  <c r="K108" i="1"/>
  <c r="L260" i="1"/>
  <c r="L208" i="1"/>
  <c r="L132" i="1"/>
  <c r="J160" i="1"/>
  <c r="I128" i="1"/>
  <c r="L144" i="1"/>
  <c r="L212" i="1"/>
  <c r="K148" i="1"/>
  <c r="I124" i="1"/>
  <c r="L176" i="1"/>
  <c r="K160" i="1"/>
  <c r="I120" i="1"/>
  <c r="K120" i="1"/>
  <c r="L180" i="1"/>
  <c r="J108" i="1"/>
  <c r="J156" i="1"/>
  <c r="J128" i="1"/>
  <c r="K112" i="1"/>
  <c r="I117" i="1"/>
  <c r="L197" i="1"/>
  <c r="K185" i="1"/>
  <c r="K161" i="1"/>
  <c r="K113" i="1"/>
  <c r="L257" i="1"/>
  <c r="J121" i="1"/>
  <c r="L137" i="1"/>
  <c r="K141" i="1"/>
  <c r="J161" i="1"/>
  <c r="L261" i="1"/>
  <c r="L245" i="1"/>
  <c r="L109" i="1"/>
  <c r="L237" i="1"/>
  <c r="L217" i="1"/>
  <c r="I153" i="1"/>
  <c r="J185" i="1"/>
  <c r="I137" i="1"/>
  <c r="L113" i="1"/>
  <c r="J125" i="1"/>
  <c r="L225" i="1"/>
  <c r="L169" i="1"/>
  <c r="J129" i="1"/>
  <c r="L125" i="1"/>
  <c r="K149" i="1"/>
  <c r="L165" i="1"/>
  <c r="J137" i="1"/>
  <c r="I109" i="1"/>
  <c r="L193" i="1"/>
  <c r="L145" i="1"/>
  <c r="K157" i="1"/>
  <c r="L209" i="1"/>
  <c r="L241" i="1"/>
  <c r="L141" i="1"/>
  <c r="I157" i="1"/>
  <c r="J109" i="1"/>
  <c r="L253" i="1"/>
  <c r="L201" i="1"/>
  <c r="L229" i="1"/>
  <c r="J141" i="1"/>
  <c r="I121" i="1"/>
  <c r="L129" i="1"/>
  <c r="L173" i="1"/>
  <c r="K153" i="1"/>
  <c r="I141" i="1"/>
  <c r="J165" i="1"/>
  <c r="I149" i="1"/>
  <c r="K165" i="1"/>
  <c r="L121" i="1"/>
  <c r="L177" i="1"/>
  <c r="I185" i="1"/>
  <c r="L161" i="1"/>
  <c r="L189" i="1"/>
  <c r="K137" i="1"/>
  <c r="L205" i="1"/>
  <c r="I129" i="1"/>
  <c r="K129" i="1"/>
  <c r="K121" i="1"/>
  <c r="L157" i="1"/>
  <c r="K145" i="1"/>
  <c r="L185" i="1"/>
  <c r="L117" i="1"/>
  <c r="I113" i="1"/>
  <c r="J105" i="1"/>
  <c r="L133" i="1"/>
  <c r="I165" i="1"/>
  <c r="J117" i="1"/>
  <c r="J153" i="1"/>
  <c r="J145" i="1"/>
  <c r="K125" i="1"/>
  <c r="K117" i="1"/>
  <c r="I105" i="1"/>
  <c r="K109" i="1"/>
  <c r="L101" i="1"/>
  <c r="L153" i="1"/>
  <c r="L213" i="1"/>
  <c r="L221" i="1"/>
  <c r="L181" i="1"/>
  <c r="I161" i="1"/>
  <c r="J113" i="1"/>
  <c r="L233" i="1"/>
  <c r="J149" i="1"/>
  <c r="L249" i="1"/>
  <c r="I133" i="1"/>
  <c r="J133" i="1"/>
  <c r="I125" i="1"/>
  <c r="K133" i="1"/>
  <c r="L105" i="1"/>
  <c r="J157" i="1"/>
  <c r="I145" i="1"/>
  <c r="K105" i="1"/>
  <c r="L149" i="1"/>
  <c r="L250" i="1"/>
  <c r="J106" i="1"/>
  <c r="J102" i="1"/>
  <c r="I122" i="1"/>
  <c r="K142" i="1"/>
  <c r="I118" i="1"/>
  <c r="L242" i="1"/>
  <c r="L186" i="1"/>
  <c r="L138" i="1"/>
  <c r="I166" i="1"/>
  <c r="I126" i="1"/>
  <c r="K150" i="1"/>
  <c r="K106" i="1"/>
  <c r="K110" i="1"/>
  <c r="I158" i="1"/>
  <c r="L174" i="1"/>
  <c r="L258" i="1"/>
  <c r="K122" i="1"/>
  <c r="L230" i="1"/>
  <c r="L198" i="1"/>
  <c r="L166" i="1"/>
  <c r="L194" i="1"/>
  <c r="L182" i="1"/>
  <c r="I154" i="1"/>
  <c r="K154" i="1"/>
  <c r="L150" i="1"/>
  <c r="L158" i="1"/>
  <c r="J126" i="1"/>
  <c r="L214" i="1"/>
  <c r="L162" i="1"/>
  <c r="L118" i="1"/>
  <c r="K134" i="1"/>
  <c r="K114" i="1"/>
  <c r="K118" i="1"/>
  <c r="J158" i="1"/>
  <c r="K130" i="1"/>
  <c r="J122" i="1"/>
  <c r="L254" i="1"/>
  <c r="J130" i="1"/>
  <c r="J154" i="1"/>
  <c r="L206" i="1"/>
  <c r="J146" i="1"/>
  <c r="I106" i="1"/>
  <c r="I138" i="1"/>
  <c r="I150" i="1"/>
  <c r="L146" i="1"/>
  <c r="L170" i="1"/>
  <c r="L142" i="1"/>
  <c r="L134" i="1"/>
  <c r="L106" i="1"/>
  <c r="K166" i="1"/>
  <c r="K146" i="1"/>
  <c r="L218" i="1"/>
  <c r="K158" i="1"/>
  <c r="I146" i="1"/>
  <c r="K186" i="1"/>
  <c r="L178" i="1"/>
  <c r="L154" i="1"/>
  <c r="L246" i="1"/>
  <c r="J186" i="1"/>
  <c r="I186" i="1"/>
  <c r="I130" i="1"/>
  <c r="L238" i="1"/>
  <c r="L234" i="1"/>
  <c r="K102" i="1"/>
  <c r="J162" i="1"/>
  <c r="J118" i="1"/>
  <c r="L114" i="1"/>
  <c r="L102" i="1"/>
  <c r="L126" i="1"/>
  <c r="I162" i="1"/>
  <c r="J142" i="1"/>
  <c r="I134" i="1"/>
  <c r="L222" i="1"/>
  <c r="L98" i="1"/>
  <c r="L130" i="1"/>
  <c r="K126" i="1"/>
  <c r="L210" i="1"/>
  <c r="K138" i="1"/>
  <c r="K162" i="1"/>
  <c r="J134" i="1"/>
  <c r="L110" i="1"/>
  <c r="I114" i="1"/>
  <c r="J166" i="1"/>
  <c r="L190" i="1"/>
  <c r="I110" i="1"/>
  <c r="J150" i="1"/>
  <c r="L226" i="1"/>
  <c r="L122" i="1"/>
  <c r="I142" i="1"/>
  <c r="J114" i="1"/>
  <c r="L202" i="1"/>
  <c r="J110" i="1"/>
  <c r="J138" i="1"/>
  <c r="I102" i="1"/>
  <c r="I187" i="1"/>
  <c r="K187" i="1"/>
  <c r="J187" i="1"/>
  <c r="K188" i="1"/>
  <c r="I188" i="1"/>
  <c r="J188" i="1"/>
  <c r="J189" i="1"/>
  <c r="K189" i="1"/>
  <c r="I189" i="1"/>
  <c r="J190" i="1"/>
  <c r="K190" i="1"/>
  <c r="I190" i="1"/>
  <c r="J191" i="1"/>
  <c r="I191" i="1"/>
  <c r="K191" i="1"/>
  <c r="K192" i="1"/>
  <c r="I192" i="1"/>
  <c r="J192" i="1"/>
  <c r="I193" i="1"/>
  <c r="K193" i="1"/>
  <c r="J193" i="1"/>
  <c r="K194" i="1"/>
  <c r="I194" i="1"/>
  <c r="J194" i="1"/>
  <c r="K195" i="1"/>
  <c r="I195" i="1"/>
  <c r="J195" i="1"/>
  <c r="I196" i="1"/>
  <c r="J196" i="1"/>
  <c r="K196" i="1"/>
  <c r="J197" i="1"/>
  <c r="I197" i="1"/>
  <c r="K197" i="1"/>
  <c r="I198" i="1"/>
  <c r="K198" i="1"/>
  <c r="J198" i="1"/>
  <c r="I199" i="1"/>
  <c r="K199" i="1"/>
  <c r="J199" i="1"/>
  <c r="K200" i="1"/>
  <c r="I200" i="1"/>
  <c r="J200" i="1"/>
  <c r="I201" i="1"/>
  <c r="J201" i="1"/>
  <c r="K201" i="1"/>
  <c r="K202" i="1"/>
  <c r="I202" i="1"/>
  <c r="J202" i="1"/>
  <c r="K203" i="1"/>
  <c r="J203" i="1"/>
  <c r="I203" i="1"/>
  <c r="I204" i="1"/>
  <c r="J204" i="1"/>
  <c r="K204" i="1"/>
  <c r="J205" i="1"/>
  <c r="I205" i="1"/>
  <c r="K205" i="1"/>
  <c r="J206" i="1"/>
  <c r="K206" i="1"/>
  <c r="I206" i="1"/>
  <c r="K207" i="1"/>
  <c r="J207" i="1"/>
  <c r="I207" i="1"/>
  <c r="K208" i="1"/>
  <c r="I208" i="1"/>
  <c r="J208" i="1"/>
  <c r="J209" i="1"/>
  <c r="I209" i="1"/>
  <c r="K209" i="1"/>
  <c r="I210" i="1"/>
  <c r="J210" i="1"/>
  <c r="K210" i="1"/>
  <c r="K211" i="1"/>
  <c r="J211" i="1"/>
  <c r="I211" i="1"/>
  <c r="J212" i="1"/>
  <c r="K212" i="1"/>
  <c r="I212" i="1"/>
  <c r="I213" i="1"/>
  <c r="J213" i="1"/>
  <c r="K213" i="1"/>
  <c r="K214" i="1"/>
  <c r="J214" i="1"/>
  <c r="I214" i="1"/>
  <c r="I215" i="1"/>
  <c r="J215" i="1"/>
  <c r="K215" i="1"/>
  <c r="J216" i="1"/>
  <c r="I216" i="1"/>
  <c r="K216" i="1"/>
  <c r="I217" i="1"/>
  <c r="K217" i="1"/>
  <c r="J217" i="1"/>
  <c r="I218" i="1"/>
  <c r="J218" i="1"/>
  <c r="K218" i="1"/>
  <c r="J219" i="1"/>
  <c r="K219" i="1"/>
  <c r="I219" i="1"/>
  <c r="J220" i="1"/>
  <c r="I220" i="1"/>
  <c r="K220" i="1"/>
  <c r="K221" i="1"/>
  <c r="I221" i="1"/>
  <c r="J221" i="1"/>
  <c r="K222" i="1"/>
  <c r="I222" i="1"/>
  <c r="J222" i="1"/>
  <c r="K223" i="1"/>
  <c r="I223" i="1"/>
  <c r="J223" i="1"/>
  <c r="K224" i="1"/>
  <c r="I224" i="1"/>
  <c r="J224" i="1"/>
  <c r="I225" i="1"/>
  <c r="J225" i="1"/>
  <c r="K225" i="1"/>
  <c r="J226" i="1"/>
  <c r="K226" i="1"/>
  <c r="I226" i="1"/>
  <c r="J227" i="1"/>
  <c r="K227" i="1"/>
  <c r="I227" i="1"/>
  <c r="I228" i="1"/>
  <c r="J228" i="1"/>
  <c r="K228" i="1"/>
  <c r="I229" i="1"/>
  <c r="J229" i="1"/>
  <c r="K229" i="1"/>
  <c r="J230" i="1"/>
  <c r="K230" i="1"/>
  <c r="I230" i="1"/>
  <c r="I231" i="1"/>
  <c r="J231" i="1"/>
  <c r="K231" i="1"/>
  <c r="K232" i="1"/>
  <c r="J232" i="1"/>
  <c r="I232" i="1"/>
  <c r="J233" i="1"/>
  <c r="K233" i="1"/>
  <c r="I233" i="1"/>
  <c r="I234" i="1"/>
  <c r="K234" i="1"/>
  <c r="J234" i="1"/>
  <c r="K235" i="1"/>
  <c r="I235" i="1"/>
  <c r="J235" i="1"/>
  <c r="J236" i="1"/>
  <c r="K236" i="1"/>
  <c r="I236" i="1"/>
  <c r="J237" i="1"/>
  <c r="K237" i="1"/>
  <c r="I237" i="1"/>
  <c r="K238" i="1"/>
  <c r="J238" i="1"/>
  <c r="I238" i="1"/>
  <c r="J239" i="1"/>
  <c r="K239" i="1"/>
  <c r="I239" i="1"/>
  <c r="J240" i="1"/>
  <c r="K240" i="1"/>
  <c r="I240" i="1"/>
  <c r="J249" i="1"/>
  <c r="I257" i="1"/>
  <c r="I245" i="1"/>
  <c r="J257" i="1"/>
  <c r="K245" i="1"/>
  <c r="I241" i="1"/>
  <c r="J245" i="1"/>
  <c r="J241" i="1"/>
  <c r="K241" i="1"/>
  <c r="K257" i="1"/>
  <c r="K249" i="1"/>
  <c r="K253" i="1"/>
  <c r="I249" i="1"/>
  <c r="J253" i="1"/>
  <c r="I253" i="1"/>
</calcChain>
</file>

<file path=xl/sharedStrings.xml><?xml version="1.0" encoding="utf-8"?>
<sst xmlns="http://schemas.openxmlformats.org/spreadsheetml/2006/main" count="1129" uniqueCount="242">
  <si>
    <t>dataset</t>
  </si>
  <si>
    <t>timestamp</t>
  </si>
  <si>
    <t>container</t>
  </si>
  <si>
    <t>net_io</t>
  </si>
  <si>
    <t>net_rx_mib</t>
  </si>
  <si>
    <t>net_tx_mib</t>
  </si>
  <si>
    <t>net_total_mib</t>
  </si>
  <si>
    <t>elapsed_s</t>
  </si>
  <si>
    <t>net_rx_mib_delta</t>
  </si>
  <si>
    <t>net_tx_mib_delta</t>
  </si>
  <si>
    <t>net_total_mib_delta</t>
  </si>
  <si>
    <t>net_total_mib_job</t>
  </si>
  <si>
    <t>Email-EuAll</t>
  </si>
  <si>
    <t>namenode</t>
  </si>
  <si>
    <t>12.1MB / 3.63GB</t>
  </si>
  <si>
    <t>datanode</t>
  </si>
  <si>
    <t>3.83GB / 3.85GB</t>
  </si>
  <si>
    <t>resourcemanager</t>
  </si>
  <si>
    <t>1.31MB / 641kB</t>
  </si>
  <si>
    <t>nodemanager</t>
  </si>
  <si>
    <t>3.84GB / 211MB</t>
  </si>
  <si>
    <t>3.84GB / 3.85GB</t>
  </si>
  <si>
    <t>1.32MB / 651kB</t>
  </si>
  <si>
    <t>1.33MB / 660kB</t>
  </si>
  <si>
    <t>3.84GB / 3.86GB</t>
  </si>
  <si>
    <t>1.34MB / 662kB</t>
  </si>
  <si>
    <t>3.85GB / 211MB</t>
  </si>
  <si>
    <t>12.2MB / 3.63GB</t>
  </si>
  <si>
    <t>1.35MB / 668kB</t>
  </si>
  <si>
    <t>3.85GB / 212MB</t>
  </si>
  <si>
    <t>1.36MB / 681kB</t>
  </si>
  <si>
    <t>1.37MB / 687kB</t>
  </si>
  <si>
    <t>1.37MB / 689kB</t>
  </si>
  <si>
    <t>3.85GB / 213MB</t>
  </si>
  <si>
    <t>cit-Patents</t>
  </si>
  <si>
    <t>12.8MB / 3.91GB</t>
  </si>
  <si>
    <t>4.12GB / 3.86GB</t>
  </si>
  <si>
    <t>1.38MB / 693kB</t>
  </si>
  <si>
    <t>1.39MB / 703kB</t>
  </si>
  <si>
    <t>1.4MB / 713kB</t>
  </si>
  <si>
    <t>4.12GB / 3.93GB</t>
  </si>
  <si>
    <t>1.41MB / 715kB</t>
  </si>
  <si>
    <t>3.92GB / 213MB</t>
  </si>
  <si>
    <t>4.12GB / 3.98GB</t>
  </si>
  <si>
    <t>1.41MB / 717kB</t>
  </si>
  <si>
    <t>3.97GB / 214MB</t>
  </si>
  <si>
    <t>4.12GB / 4.01GB</t>
  </si>
  <si>
    <t>1.42MB / 718kB</t>
  </si>
  <si>
    <t>4GB / 214MB</t>
  </si>
  <si>
    <t>1.43MB / 721kB</t>
  </si>
  <si>
    <t>4.12GB / 4.07GB</t>
  </si>
  <si>
    <t>1.43MB / 723kB</t>
  </si>
  <si>
    <t>4.06GB / 214MB</t>
  </si>
  <si>
    <t>12.9MB / 3.91GB</t>
  </si>
  <si>
    <t>4.12GB / 4.12GB</t>
  </si>
  <si>
    <t>1.44MB / 724kB</t>
  </si>
  <si>
    <t>4.12GB / 214MB</t>
  </si>
  <si>
    <t>4.12GB / 4.15GB</t>
  </si>
  <si>
    <t>1.45MB / 726kB</t>
  </si>
  <si>
    <t>4.14GB / 214MB</t>
  </si>
  <si>
    <t>4.14GB / 4.15GB</t>
  </si>
  <si>
    <t>1.46MB / 729kB</t>
  </si>
  <si>
    <t>4.14GB / 221MB</t>
  </si>
  <si>
    <t>4.16GB / 4.15GB</t>
  </si>
  <si>
    <t>1.46MB / 731kB</t>
  </si>
  <si>
    <t>4.14GB / 248MB</t>
  </si>
  <si>
    <t>1.47MB / 747kB</t>
  </si>
  <si>
    <t>1.48MB / 753kB</t>
  </si>
  <si>
    <t>13MB / 3.91GB</t>
  </si>
  <si>
    <t>4.16GB / 4.18GB</t>
  </si>
  <si>
    <t>1.49MB / 755kB</t>
  </si>
  <si>
    <t>4.17GB / 248MB</t>
  </si>
  <si>
    <t>1.5MB / 757kB</t>
  </si>
  <si>
    <t>soc-LiveJournal1</t>
  </si>
  <si>
    <t>22.5MB / 5.01GB</t>
  </si>
  <si>
    <t>5.25GB / 4.19GB</t>
  </si>
  <si>
    <t>1.51MB / 762kB</t>
  </si>
  <si>
    <t>22.6MB / 5.01GB</t>
  </si>
  <si>
    <t>1.52MB / 773kB</t>
  </si>
  <si>
    <t>5.26GB / 4.19GB</t>
  </si>
  <si>
    <t>1.53MB / 782kB</t>
  </si>
  <si>
    <t>4.17GB / 249MB</t>
  </si>
  <si>
    <t>5.26GB / 4.25GB</t>
  </si>
  <si>
    <t>1.53MB / 784kB</t>
  </si>
  <si>
    <t>4.23GB / 249MB</t>
  </si>
  <si>
    <t>5.26GB / 4.3GB</t>
  </si>
  <si>
    <t>1.54MB / 786kB</t>
  </si>
  <si>
    <t>4.29GB / 249MB</t>
  </si>
  <si>
    <t>5.26GB / 4.33GB</t>
  </si>
  <si>
    <t>1.55MB / 787kB</t>
  </si>
  <si>
    <t>4.31GB / 249MB</t>
  </si>
  <si>
    <t>5.26GB / 4.36GB</t>
  </si>
  <si>
    <t>1.56MB / 790kB</t>
  </si>
  <si>
    <t>4.34GB / 249MB</t>
  </si>
  <si>
    <t>5.26GB / 4.42GB</t>
  </si>
  <si>
    <t>1.56MB / 792kB</t>
  </si>
  <si>
    <t>4.4GB / 250MB</t>
  </si>
  <si>
    <t>5.26GB / 4.47GB</t>
  </si>
  <si>
    <t>1.57MB / 793kB</t>
  </si>
  <si>
    <t>4.45GB / 250MB</t>
  </si>
  <si>
    <t>1.57MB / 795kB</t>
  </si>
  <si>
    <t>5.26GB / 4.49GB</t>
  </si>
  <si>
    <t>1.58MB / 798kB</t>
  </si>
  <si>
    <t>4.49GB / 250MB</t>
  </si>
  <si>
    <t>5.26GB / 4.58GB</t>
  </si>
  <si>
    <t>1.59MB / 800kB</t>
  </si>
  <si>
    <t>4.54GB / 250MB</t>
  </si>
  <si>
    <t>22.7MB / 5.01GB</t>
  </si>
  <si>
    <t>5.26GB / 4.61GB</t>
  </si>
  <si>
    <t>1.6MB / 801kB</t>
  </si>
  <si>
    <t>4.59GB / 250MB</t>
  </si>
  <si>
    <t>1.6MB / 804kB</t>
  </si>
  <si>
    <t>5.26GB / 4.66GB</t>
  </si>
  <si>
    <t>1.61MB / 806kB</t>
  </si>
  <si>
    <t>4.64GB / 250MB</t>
  </si>
  <si>
    <t>5.26GB / 4.71GB</t>
  </si>
  <si>
    <t>1.61MB / 807kB</t>
  </si>
  <si>
    <t>4.69GB / 250MB</t>
  </si>
  <si>
    <t>5.26GB / 4.74GB</t>
  </si>
  <si>
    <t>1.62MB / 809kB</t>
  </si>
  <si>
    <t>4.72GB / 251MB</t>
  </si>
  <si>
    <t>1.63MB / 811kB</t>
  </si>
  <si>
    <t>5.26GB / 4.8GB</t>
  </si>
  <si>
    <t>1.64MB / 814kB</t>
  </si>
  <si>
    <t>4.78GB / 251MB</t>
  </si>
  <si>
    <t>5.26GB / 4.85GB</t>
  </si>
  <si>
    <t>1.64MB / 816kB</t>
  </si>
  <si>
    <t>4.83GB / 251MB</t>
  </si>
  <si>
    <t>5.26GB / 4.88GB</t>
  </si>
  <si>
    <t>1.65MB / 817kB</t>
  </si>
  <si>
    <t>4.86GB / 251MB</t>
  </si>
  <si>
    <t>1.66MB / 820kB</t>
  </si>
  <si>
    <t>5.26GB / 4.95GB</t>
  </si>
  <si>
    <t>1.66MB / 822kB</t>
  </si>
  <si>
    <t>4.92GB / 251MB</t>
  </si>
  <si>
    <t>5.26GB / 5.02GB</t>
  </si>
  <si>
    <t>1.67MB / 824kB</t>
  </si>
  <si>
    <t>4.99GB / 252MB</t>
  </si>
  <si>
    <t>22.8MB / 5.01GB</t>
  </si>
  <si>
    <t>1.68MB / 827kB</t>
  </si>
  <si>
    <t>5GB / 252MB</t>
  </si>
  <si>
    <t>5.26GB / 5.08GB</t>
  </si>
  <si>
    <t>1.68MB / 828kB</t>
  </si>
  <si>
    <t>5.06GB / 252MB</t>
  </si>
  <si>
    <t>5.26GB / 5.13GB</t>
  </si>
  <si>
    <t>1.69MB / 830kB</t>
  </si>
  <si>
    <t>5.11GB / 252MB</t>
  </si>
  <si>
    <t>5.26GB / 5.15GB</t>
  </si>
  <si>
    <t>1.7MB / 832kB</t>
  </si>
  <si>
    <t>5.14GB / 253MB</t>
  </si>
  <si>
    <t>1.71MB / 835kB</t>
  </si>
  <si>
    <t>5.26GB / 5.22GB</t>
  </si>
  <si>
    <t>1.71MB / 836kB</t>
  </si>
  <si>
    <t>5.2GB / 253MB</t>
  </si>
  <si>
    <t>5.26GB / 5.28GB</t>
  </si>
  <si>
    <t>1.72MB / 839kB</t>
  </si>
  <si>
    <t>5.26GB / 253MB</t>
  </si>
  <si>
    <t>5.26GB / 5.29GB</t>
  </si>
  <si>
    <t>1.73MB / 840kB</t>
  </si>
  <si>
    <t>5.27GB / 253MB</t>
  </si>
  <si>
    <t>1.73MB / 843kB</t>
  </si>
  <si>
    <t>5.27GB / 255MB</t>
  </si>
  <si>
    <t>5.27GB / 5.29GB</t>
  </si>
  <si>
    <t>1.74MB / 845kB</t>
  </si>
  <si>
    <t>5.27GB / 266MB</t>
  </si>
  <si>
    <t>5.29GB / 5.29GB</t>
  </si>
  <si>
    <t>1.75MB / 847kB</t>
  </si>
  <si>
    <t>5.27GB / 286MB</t>
  </si>
  <si>
    <t>5.3GB / 5.29GB</t>
  </si>
  <si>
    <t>1.75MB / 849kB</t>
  </si>
  <si>
    <t>5.27GB / 297MB</t>
  </si>
  <si>
    <t>22.9MB / 5.01GB</t>
  </si>
  <si>
    <t>5.31GB / 5.29GB</t>
  </si>
  <si>
    <t>1.76MB / 854kB</t>
  </si>
  <si>
    <t>5.27GB / 300MB</t>
  </si>
  <si>
    <t>1.77MB / 868kB</t>
  </si>
  <si>
    <t>5.31GB / 5.3GB</t>
  </si>
  <si>
    <t>1.78MB / 872kB</t>
  </si>
  <si>
    <t>5.31GB / 5.34GB</t>
  </si>
  <si>
    <t>1.79MB / 874kB</t>
  </si>
  <si>
    <t>5.32GB / 300MB</t>
  </si>
  <si>
    <t>1.8MB / 877kB</t>
  </si>
  <si>
    <t>soc-pokec-relationships</t>
  </si>
  <si>
    <t>23.7MB / 5.44GB</t>
  </si>
  <si>
    <t>5.73GB / 5.34GB</t>
  </si>
  <si>
    <t>1.81MB / 881kB</t>
  </si>
  <si>
    <t>5.32GB / 301MB</t>
  </si>
  <si>
    <t>1.82MB / 893kB</t>
  </si>
  <si>
    <t>5.74GB / 5.34GB</t>
  </si>
  <si>
    <t>1.82MB / 900kB</t>
  </si>
  <si>
    <t>5.74GB / 5.39GB</t>
  </si>
  <si>
    <t>1.83MB / 902kB</t>
  </si>
  <si>
    <t>5.37GB / 301MB</t>
  </si>
  <si>
    <t>23.8MB / 5.44GB</t>
  </si>
  <si>
    <t>5.74GB / 5.43GB</t>
  </si>
  <si>
    <t>1.84MB / 904kB</t>
  </si>
  <si>
    <t>5.41GB / 301MB</t>
  </si>
  <si>
    <t>5.74GB / 5.48GB</t>
  </si>
  <si>
    <t>1.84MB / 906kB</t>
  </si>
  <si>
    <t>5.46GB / 302MB</t>
  </si>
  <si>
    <t>1.85MB / 909kB</t>
  </si>
  <si>
    <t>5.74GB / 5.53GB</t>
  </si>
  <si>
    <t>1.86MB / 910kB</t>
  </si>
  <si>
    <t>5.51GB / 302MB</t>
  </si>
  <si>
    <t>5.74GB / 5.57GB</t>
  </si>
  <si>
    <t>1.87MB / 912kB</t>
  </si>
  <si>
    <t>5.56GB / 302MB</t>
  </si>
  <si>
    <t>5.74GB / 5.61GB</t>
  </si>
  <si>
    <t>1.87MB / 914kB</t>
  </si>
  <si>
    <t>5.59GB / 303MB</t>
  </si>
  <si>
    <t>1.88MB / 917kB</t>
  </si>
  <si>
    <t>5.74GB / 5.67GB</t>
  </si>
  <si>
    <t>1.89MB / 918kB</t>
  </si>
  <si>
    <t>5.65GB / 303MB</t>
  </si>
  <si>
    <t>5.74GB / 5.72GB</t>
  </si>
  <si>
    <t>1.89MB / 921kB</t>
  </si>
  <si>
    <t>5.7GB / 303MB</t>
  </si>
  <si>
    <t>5.74GB / 5.75GB</t>
  </si>
  <si>
    <t>1.9MB / 923kB</t>
  </si>
  <si>
    <t>5.73GB / 303MB</t>
  </si>
  <si>
    <t>1.91MB / 925kB</t>
  </si>
  <si>
    <t>5.74GB / 5.77GB</t>
  </si>
  <si>
    <t>1.92MB / 927kB</t>
  </si>
  <si>
    <t>5.75GB / 303MB</t>
  </si>
  <si>
    <t>23.9MB / 5.44GB</t>
  </si>
  <si>
    <t>5.75GB / 5.77GB</t>
  </si>
  <si>
    <t>1.92MB / 929kB</t>
  </si>
  <si>
    <t>5.75GB / 312MB</t>
  </si>
  <si>
    <t>1.93MB / 931kB</t>
  </si>
  <si>
    <t>5.75GB / 319MB</t>
  </si>
  <si>
    <t>1.94MB / 948kB</t>
  </si>
  <si>
    <t>1.95MB / 954kB</t>
  </si>
  <si>
    <t>5.75GB / 5.79GB</t>
  </si>
  <si>
    <t>1.96MB / 956kB</t>
  </si>
  <si>
    <t>5.77GB / 319MB</t>
  </si>
  <si>
    <t>24MB / 5.44GB</t>
  </si>
  <si>
    <t>1.96MB / 959kB</t>
  </si>
  <si>
    <t>Row Labels</t>
  </si>
  <si>
    <t>Grand Total</t>
  </si>
  <si>
    <t>Sum of net_total_mib_delta</t>
  </si>
  <si>
    <t>Column Labels</t>
  </si>
  <si>
    <t>Sum of net_total_mib_job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</si>
</sst>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2"/>
      <color theme="1"/>
      <name val="Calibri"/>
      <family val="2"/>
      <scheme val="minor"/>
    </font>
    <font>
      <sz val="12"/>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2" fontId="0" fillId="0" borderId="0" xfId="0" applyNumberFormat="1"/>
    <xf numFmtId="1" fontId="0" fillId="0" borderId="0" xfId="0" applyNumberFormat="1"/>
    <xf numFmtId="0" fontId="0" fillId="0" borderId="0" xfId="0" pivotButton="1"/>
    <xf numFmtId="1"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[hadoop.xlsx]Sheet1!PivotTable9</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Sheet1!$B$3:$B$4</c:f>
              <c:strCache>
                <c:ptCount val="1"/>
                <c:pt idx="0">
                  <c:v>datanode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Sheet1!$A$5:$A$21</c:f>
              <c:strCache>
                <c:ptCount val="16"/>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strCache>
            </c:strRef>
          </c:cat>
          <c:val>
            <c:numRef>
              <c:f>Sheet1!$B$5:$B$21</c:f>
              <c:numCache>
                <c:formatCode>0.00</c:formatCode>
                <c:ptCount val="16"/>
                <c:pt idx="0">
                  <c:v>0</c:v>
                </c:pt>
                <c:pt idx="1">
                  <c:v>0</c:v>
                </c:pt>
                <c:pt idx="2">
                  <c:v>0</c:v>
                </c:pt>
                <c:pt idx="3">
                  <c:v>66.7572021484375</c:v>
                </c:pt>
                <c:pt idx="4">
                  <c:v>47.6837158203125</c:v>
                </c:pt>
                <c:pt idx="5">
                  <c:v>28.6102294921875</c:v>
                </c:pt>
                <c:pt idx="6">
                  <c:v>0</c:v>
                </c:pt>
                <c:pt idx="7">
                  <c:v>57.220458984375</c:v>
                </c:pt>
                <c:pt idx="8">
                  <c:v>47.6837158203125</c:v>
                </c:pt>
                <c:pt idx="9">
                  <c:v>28.6102294921875</c:v>
                </c:pt>
                <c:pt idx="10">
                  <c:v>19.073486328125</c:v>
                </c:pt>
                <c:pt idx="11">
                  <c:v>19.073486328125</c:v>
                </c:pt>
                <c:pt idx="12">
                  <c:v>0</c:v>
                </c:pt>
                <c:pt idx="13">
                  <c:v>0</c:v>
                </c:pt>
                <c:pt idx="14">
                  <c:v>28.6102294921875</c:v>
                </c:pt>
                <c:pt idx="15">
                  <c:v>0</c:v>
                </c:pt>
              </c:numCache>
            </c:numRef>
          </c:val>
          <c:smooth val="0"/>
          <c:extLst>
            <c:ext xmlns:c16="http://schemas.microsoft.com/office/drawing/2014/chart" uri="{C3380CC4-5D6E-409C-BE32-E72D297353CC}">
              <c16:uniqueId val="{00000000-1E9C-374C-A1AF-676BF3C6F50A}"/>
            </c:ext>
          </c:extLst>
        </c:ser>
        <c:ser>
          <c:idx val="1"/>
          <c:order val="1"/>
          <c:tx>
            <c:strRef>
              <c:f>Sheet1!$C$3:$C$4</c:f>
              <c:strCache>
                <c:ptCount val="1"/>
                <c:pt idx="0">
                  <c:v>namenode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Sheet1!$A$5:$A$21</c:f>
              <c:strCache>
                <c:ptCount val="16"/>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strCache>
            </c:strRef>
          </c:cat>
          <c:val>
            <c:numRef>
              <c:f>Sheet1!$C$5:$C$21</c:f>
              <c:numCache>
                <c:formatCode>0.00</c:formatCode>
                <c:ptCount val="16"/>
                <c:pt idx="0">
                  <c:v>0</c:v>
                </c:pt>
                <c:pt idx="1">
                  <c:v>0</c:v>
                </c:pt>
                <c:pt idx="2">
                  <c:v>0</c:v>
                </c:pt>
                <c:pt idx="3">
                  <c:v>0</c:v>
                </c:pt>
                <c:pt idx="4">
                  <c:v>0</c:v>
                </c:pt>
                <c:pt idx="5">
                  <c:v>0</c:v>
                </c:pt>
                <c:pt idx="6">
                  <c:v>0</c:v>
                </c:pt>
                <c:pt idx="7">
                  <c:v>0</c:v>
                </c:pt>
                <c:pt idx="8">
                  <c:v>9.5367431640625E-2</c:v>
                </c:pt>
                <c:pt idx="9">
                  <c:v>0</c:v>
                </c:pt>
                <c:pt idx="10">
                  <c:v>0</c:v>
                </c:pt>
                <c:pt idx="11">
                  <c:v>0</c:v>
                </c:pt>
                <c:pt idx="12">
                  <c:v>0</c:v>
                </c:pt>
                <c:pt idx="13">
                  <c:v>0</c:v>
                </c:pt>
                <c:pt idx="14">
                  <c:v>9.5367431640625E-2</c:v>
                </c:pt>
                <c:pt idx="15">
                  <c:v>0</c:v>
                </c:pt>
              </c:numCache>
            </c:numRef>
          </c:val>
          <c:smooth val="0"/>
          <c:extLst>
            <c:ext xmlns:c16="http://schemas.microsoft.com/office/drawing/2014/chart" uri="{C3380CC4-5D6E-409C-BE32-E72D297353CC}">
              <c16:uniqueId val="{00000001-1E9C-374C-A1AF-676BF3C6F50A}"/>
            </c:ext>
          </c:extLst>
        </c:ser>
        <c:ser>
          <c:idx val="2"/>
          <c:order val="2"/>
          <c:tx>
            <c:strRef>
              <c:f>Sheet1!$D$3:$D$4</c:f>
              <c:strCache>
                <c:ptCount val="1"/>
                <c:pt idx="0">
                  <c:v>nodemanager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Sheet1!$A$5:$A$21</c:f>
              <c:strCache>
                <c:ptCount val="16"/>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strCache>
            </c:strRef>
          </c:cat>
          <c:val>
            <c:numRef>
              <c:f>Sheet1!$D$5:$D$21</c:f>
              <c:numCache>
                <c:formatCode>0.00</c:formatCode>
                <c:ptCount val="16"/>
                <c:pt idx="0">
                  <c:v>0</c:v>
                </c:pt>
                <c:pt idx="1">
                  <c:v>0</c:v>
                </c:pt>
                <c:pt idx="2">
                  <c:v>0</c:v>
                </c:pt>
                <c:pt idx="3">
                  <c:v>66.7572021484375</c:v>
                </c:pt>
                <c:pt idx="4">
                  <c:v>48.63739013671875</c:v>
                </c:pt>
                <c:pt idx="5">
                  <c:v>28.6102294921875</c:v>
                </c:pt>
                <c:pt idx="6">
                  <c:v>0</c:v>
                </c:pt>
                <c:pt idx="7">
                  <c:v>57.220458984374545</c:v>
                </c:pt>
                <c:pt idx="8">
                  <c:v>57.220458984375455</c:v>
                </c:pt>
                <c:pt idx="9">
                  <c:v>19.073486328125</c:v>
                </c:pt>
                <c:pt idx="10">
                  <c:v>6.67572021484375</c:v>
                </c:pt>
                <c:pt idx="11">
                  <c:v>25.74920654296875</c:v>
                </c:pt>
                <c:pt idx="12">
                  <c:v>0</c:v>
                </c:pt>
                <c:pt idx="13">
                  <c:v>0</c:v>
                </c:pt>
                <c:pt idx="14">
                  <c:v>28.6102294921875</c:v>
                </c:pt>
                <c:pt idx="15">
                  <c:v>0</c:v>
                </c:pt>
              </c:numCache>
            </c:numRef>
          </c:val>
          <c:smooth val="0"/>
          <c:extLst>
            <c:ext xmlns:c16="http://schemas.microsoft.com/office/drawing/2014/chart" uri="{C3380CC4-5D6E-409C-BE32-E72D297353CC}">
              <c16:uniqueId val="{00000002-1E9C-374C-A1AF-676BF3C6F50A}"/>
            </c:ext>
          </c:extLst>
        </c:ser>
        <c:ser>
          <c:idx val="3"/>
          <c:order val="3"/>
          <c:tx>
            <c:strRef>
              <c:f>Sheet1!$E$3:$E$4</c:f>
              <c:strCache>
                <c:ptCount val="1"/>
                <c:pt idx="0">
                  <c:v>resourcemanager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Sheet1!$A$5:$A$21</c:f>
              <c:strCache>
                <c:ptCount val="16"/>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strCache>
            </c:strRef>
          </c:cat>
          <c:val>
            <c:numRef>
              <c:f>Sheet1!$E$5:$E$21</c:f>
              <c:numCache>
                <c:formatCode>0.00</c:formatCode>
                <c:ptCount val="16"/>
                <c:pt idx="0">
                  <c:v>0</c:v>
                </c:pt>
                <c:pt idx="1">
                  <c:v>1.9073486328125E-2</c:v>
                </c:pt>
                <c:pt idx="2">
                  <c:v>1.9073486328125E-2</c:v>
                </c:pt>
                <c:pt idx="3">
                  <c:v>1.1444091796875E-2</c:v>
                </c:pt>
                <c:pt idx="4">
                  <c:v>1.9073486328125E-3</c:v>
                </c:pt>
                <c:pt idx="5">
                  <c:v>1.049041748046875E-2</c:v>
                </c:pt>
                <c:pt idx="6">
                  <c:v>1.239776611328125E-2</c:v>
                </c:pt>
                <c:pt idx="7">
                  <c:v>1.9073486328125E-3</c:v>
                </c:pt>
                <c:pt idx="8">
                  <c:v>1.049041748046875E-2</c:v>
                </c:pt>
                <c:pt idx="9">
                  <c:v>1.1444091796875E-2</c:v>
                </c:pt>
                <c:pt idx="10">
                  <c:v>1.239776611328125E-2</c:v>
                </c:pt>
                <c:pt idx="11">
                  <c:v>1.9073486328125E-3</c:v>
                </c:pt>
                <c:pt idx="12">
                  <c:v>2.47955322265625E-2</c:v>
                </c:pt>
                <c:pt idx="13">
                  <c:v>1.52587890625E-2</c:v>
                </c:pt>
                <c:pt idx="14">
                  <c:v>1.1444091796875E-2</c:v>
                </c:pt>
                <c:pt idx="15">
                  <c:v>1.1444091796875E-2</c:v>
                </c:pt>
              </c:numCache>
            </c:numRef>
          </c:val>
          <c:smooth val="0"/>
          <c:extLst>
            <c:ext xmlns:c16="http://schemas.microsoft.com/office/drawing/2014/chart" uri="{C3380CC4-5D6E-409C-BE32-E72D297353CC}">
              <c16:uniqueId val="{00000003-1E9C-374C-A1AF-676BF3C6F50A}"/>
            </c:ext>
          </c:extLst>
        </c:ser>
        <c:dLbls>
          <c:showLegendKey val="0"/>
          <c:showVal val="0"/>
          <c:showCatName val="0"/>
          <c:showSerName val="0"/>
          <c:showPercent val="0"/>
          <c:showBubbleSize val="0"/>
        </c:dLbls>
        <c:marker val="1"/>
        <c:smooth val="0"/>
        <c:axId val="2021636095"/>
        <c:axId val="2031896319"/>
      </c:lineChart>
      <c:catAx>
        <c:axId val="202163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896319"/>
        <c:crosses val="autoZero"/>
        <c:auto val="1"/>
        <c:lblAlgn val="ctr"/>
        <c:lblOffset val="100"/>
        <c:noMultiLvlLbl val="0"/>
      </c:catAx>
      <c:valAx>
        <c:axId val="20318963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636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[hadoop.xlsx]Sheet1 (2)!PivotTable9</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 (2)'!$B$3:$B$4</c:f>
              <c:strCache>
                <c:ptCount val="1"/>
                <c:pt idx="0">
                  <c:v>datanode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 (2)'!$A$5:$A$13</c:f>
              <c:strCache>
                <c:ptCount val="8"/>
                <c:pt idx="0">
                  <c:v>0</c:v>
                </c:pt>
                <c:pt idx="1">
                  <c:v>5</c:v>
                </c:pt>
                <c:pt idx="2">
                  <c:v>10</c:v>
                </c:pt>
                <c:pt idx="3">
                  <c:v>15</c:v>
                </c:pt>
                <c:pt idx="4">
                  <c:v>20</c:v>
                </c:pt>
                <c:pt idx="5">
                  <c:v>25</c:v>
                </c:pt>
                <c:pt idx="6">
                  <c:v>30</c:v>
                </c:pt>
                <c:pt idx="7">
                  <c:v>35</c:v>
                </c:pt>
              </c:strCache>
            </c:strRef>
          </c:cat>
          <c:val>
            <c:numRef>
              <c:f>'Sheet1 (2)'!$B$5:$B$13</c:f>
              <c:numCache>
                <c:formatCode>0.00</c:formatCode>
                <c:ptCount val="8"/>
                <c:pt idx="0">
                  <c:v>0</c:v>
                </c:pt>
                <c:pt idx="1">
                  <c:v>9.5367431640625</c:v>
                </c:pt>
                <c:pt idx="2">
                  <c:v>0</c:v>
                </c:pt>
                <c:pt idx="3">
                  <c:v>9.5367431640625</c:v>
                </c:pt>
                <c:pt idx="4">
                  <c:v>0</c:v>
                </c:pt>
                <c:pt idx="5">
                  <c:v>0</c:v>
                </c:pt>
                <c:pt idx="6">
                  <c:v>0</c:v>
                </c:pt>
                <c:pt idx="7">
                  <c:v>0</c:v>
                </c:pt>
              </c:numCache>
            </c:numRef>
          </c:val>
          <c:smooth val="0"/>
          <c:extLst>
            <c:ext xmlns:c16="http://schemas.microsoft.com/office/drawing/2014/chart" uri="{C3380CC4-5D6E-409C-BE32-E72D297353CC}">
              <c16:uniqueId val="{00000004-36D3-A444-B3BF-EC2353DB862F}"/>
            </c:ext>
          </c:extLst>
        </c:ser>
        <c:ser>
          <c:idx val="1"/>
          <c:order val="1"/>
          <c:tx>
            <c:strRef>
              <c:f>'Sheet1 (2)'!$C$3:$C$4</c:f>
              <c:strCache>
                <c:ptCount val="1"/>
                <c:pt idx="0">
                  <c:v>namenode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 (2)'!$A$5:$A$13</c:f>
              <c:strCache>
                <c:ptCount val="8"/>
                <c:pt idx="0">
                  <c:v>0</c:v>
                </c:pt>
                <c:pt idx="1">
                  <c:v>5</c:v>
                </c:pt>
                <c:pt idx="2">
                  <c:v>10</c:v>
                </c:pt>
                <c:pt idx="3">
                  <c:v>15</c:v>
                </c:pt>
                <c:pt idx="4">
                  <c:v>20</c:v>
                </c:pt>
                <c:pt idx="5">
                  <c:v>25</c:v>
                </c:pt>
                <c:pt idx="6">
                  <c:v>30</c:v>
                </c:pt>
                <c:pt idx="7">
                  <c:v>35</c:v>
                </c:pt>
              </c:strCache>
            </c:strRef>
          </c:cat>
          <c:val>
            <c:numRef>
              <c:f>'Sheet1 (2)'!$C$5:$C$13</c:f>
              <c:numCache>
                <c:formatCode>0.00</c:formatCode>
                <c:ptCount val="8"/>
                <c:pt idx="0">
                  <c:v>0</c:v>
                </c:pt>
                <c:pt idx="1">
                  <c:v>0</c:v>
                </c:pt>
                <c:pt idx="2">
                  <c:v>0</c:v>
                </c:pt>
                <c:pt idx="3">
                  <c:v>0</c:v>
                </c:pt>
                <c:pt idx="4">
                  <c:v>9.5367431640625E-2</c:v>
                </c:pt>
                <c:pt idx="5">
                  <c:v>0</c:v>
                </c:pt>
                <c:pt idx="6">
                  <c:v>0</c:v>
                </c:pt>
                <c:pt idx="7">
                  <c:v>0</c:v>
                </c:pt>
              </c:numCache>
            </c:numRef>
          </c:val>
          <c:smooth val="0"/>
          <c:extLst>
            <c:ext xmlns:c16="http://schemas.microsoft.com/office/drawing/2014/chart" uri="{C3380CC4-5D6E-409C-BE32-E72D297353CC}">
              <c16:uniqueId val="{00000005-36D3-A444-B3BF-EC2353DB862F}"/>
            </c:ext>
          </c:extLst>
        </c:ser>
        <c:ser>
          <c:idx val="2"/>
          <c:order val="2"/>
          <c:tx>
            <c:strRef>
              <c:f>'Sheet1 (2)'!$D$3:$D$4</c:f>
              <c:strCache>
                <c:ptCount val="1"/>
                <c:pt idx="0">
                  <c:v>nodemanager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'Sheet1 (2)'!$A$5:$A$13</c:f>
              <c:strCache>
                <c:ptCount val="8"/>
                <c:pt idx="0">
                  <c:v>0</c:v>
                </c:pt>
                <c:pt idx="1">
                  <c:v>5</c:v>
                </c:pt>
                <c:pt idx="2">
                  <c:v>10</c:v>
                </c:pt>
                <c:pt idx="3">
                  <c:v>15</c:v>
                </c:pt>
                <c:pt idx="4">
                  <c:v>20</c:v>
                </c:pt>
                <c:pt idx="5">
                  <c:v>25</c:v>
                </c:pt>
                <c:pt idx="6">
                  <c:v>30</c:v>
                </c:pt>
                <c:pt idx="7">
                  <c:v>35</c:v>
                </c:pt>
              </c:strCache>
            </c:strRef>
          </c:cat>
          <c:val>
            <c:numRef>
              <c:f>'Sheet1 (2)'!$D$5:$D$13</c:f>
              <c:numCache>
                <c:formatCode>0.00</c:formatCode>
                <c:ptCount val="8"/>
                <c:pt idx="0">
                  <c:v>0</c:v>
                </c:pt>
                <c:pt idx="1">
                  <c:v>0</c:v>
                </c:pt>
                <c:pt idx="2">
                  <c:v>0</c:v>
                </c:pt>
                <c:pt idx="3">
                  <c:v>9.5367431640625</c:v>
                </c:pt>
                <c:pt idx="4">
                  <c:v>0.95367431640625</c:v>
                </c:pt>
                <c:pt idx="5">
                  <c:v>0</c:v>
                </c:pt>
                <c:pt idx="6">
                  <c:v>0</c:v>
                </c:pt>
                <c:pt idx="7">
                  <c:v>0.95367431640625</c:v>
                </c:pt>
              </c:numCache>
            </c:numRef>
          </c:val>
          <c:smooth val="0"/>
          <c:extLst>
            <c:ext xmlns:c16="http://schemas.microsoft.com/office/drawing/2014/chart" uri="{C3380CC4-5D6E-409C-BE32-E72D297353CC}">
              <c16:uniqueId val="{00000006-36D3-A444-B3BF-EC2353DB862F}"/>
            </c:ext>
          </c:extLst>
        </c:ser>
        <c:ser>
          <c:idx val="3"/>
          <c:order val="3"/>
          <c:tx>
            <c:strRef>
              <c:f>'Sheet1 (2)'!$E$3:$E$4</c:f>
              <c:strCache>
                <c:ptCount val="1"/>
                <c:pt idx="0">
                  <c:v>resourcemanager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'Sheet1 (2)'!$A$5:$A$13</c:f>
              <c:strCache>
                <c:ptCount val="8"/>
                <c:pt idx="0">
                  <c:v>0</c:v>
                </c:pt>
                <c:pt idx="1">
                  <c:v>5</c:v>
                </c:pt>
                <c:pt idx="2">
                  <c:v>10</c:v>
                </c:pt>
                <c:pt idx="3">
                  <c:v>15</c:v>
                </c:pt>
                <c:pt idx="4">
                  <c:v>20</c:v>
                </c:pt>
                <c:pt idx="5">
                  <c:v>25</c:v>
                </c:pt>
                <c:pt idx="6">
                  <c:v>30</c:v>
                </c:pt>
                <c:pt idx="7">
                  <c:v>35</c:v>
                </c:pt>
              </c:strCache>
            </c:strRef>
          </c:cat>
          <c:val>
            <c:numRef>
              <c:f>'Sheet1 (2)'!$E$5:$E$13</c:f>
              <c:numCache>
                <c:formatCode>0.00</c:formatCode>
                <c:ptCount val="8"/>
                <c:pt idx="0">
                  <c:v>0</c:v>
                </c:pt>
                <c:pt idx="1">
                  <c:v>1.9073486328125E-2</c:v>
                </c:pt>
                <c:pt idx="2">
                  <c:v>1.811981201171875E-2</c:v>
                </c:pt>
                <c:pt idx="3">
                  <c:v>1.1444091796875E-2</c:v>
                </c:pt>
                <c:pt idx="4">
                  <c:v>1.52587890625E-2</c:v>
                </c:pt>
                <c:pt idx="5">
                  <c:v>2.193450927734375E-2</c:v>
                </c:pt>
                <c:pt idx="6">
                  <c:v>1.52587890625E-2</c:v>
                </c:pt>
                <c:pt idx="7">
                  <c:v>1.9073486328125E-3</c:v>
                </c:pt>
              </c:numCache>
            </c:numRef>
          </c:val>
          <c:smooth val="0"/>
          <c:extLst>
            <c:ext xmlns:c16="http://schemas.microsoft.com/office/drawing/2014/chart" uri="{C3380CC4-5D6E-409C-BE32-E72D297353CC}">
              <c16:uniqueId val="{00000007-36D3-A444-B3BF-EC2353DB862F}"/>
            </c:ext>
          </c:extLst>
        </c:ser>
        <c:dLbls>
          <c:showLegendKey val="0"/>
          <c:showVal val="0"/>
          <c:showCatName val="0"/>
          <c:showSerName val="0"/>
          <c:showPercent val="0"/>
          <c:showBubbleSize val="0"/>
        </c:dLbls>
        <c:marker val="1"/>
        <c:smooth val="0"/>
        <c:axId val="2021636095"/>
        <c:axId val="2031896319"/>
      </c:lineChart>
      <c:catAx>
        <c:axId val="202163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896319"/>
        <c:crosses val="autoZero"/>
        <c:auto val="1"/>
        <c:lblAlgn val="ctr"/>
        <c:lblOffset val="100"/>
        <c:noMultiLvlLbl val="0"/>
      </c:catAx>
      <c:valAx>
        <c:axId val="20318963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636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[hadoop.xlsx]Sheet1 (3)!PivotTable9</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 (3)'!$B$3:$B$4</c:f>
              <c:strCache>
                <c:ptCount val="1"/>
                <c:pt idx="0">
                  <c:v>datanode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 (3)'!$A$5:$A$21</c:f>
              <c:strCache>
                <c:ptCount val="16"/>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strCache>
            </c:strRef>
          </c:cat>
          <c:val>
            <c:numRef>
              <c:f>'Sheet1 (3)'!$B$5:$B$21</c:f>
              <c:numCache>
                <c:formatCode>0.00</c:formatCode>
                <c:ptCount val="16"/>
                <c:pt idx="0">
                  <c:v>0</c:v>
                </c:pt>
                <c:pt idx="1">
                  <c:v>0</c:v>
                </c:pt>
                <c:pt idx="2">
                  <c:v>0</c:v>
                </c:pt>
                <c:pt idx="3">
                  <c:v>66.7572021484375</c:v>
                </c:pt>
                <c:pt idx="4">
                  <c:v>47.6837158203125</c:v>
                </c:pt>
                <c:pt idx="5">
                  <c:v>28.6102294921875</c:v>
                </c:pt>
                <c:pt idx="6">
                  <c:v>0</c:v>
                </c:pt>
                <c:pt idx="7">
                  <c:v>57.220458984375</c:v>
                </c:pt>
                <c:pt idx="8">
                  <c:v>47.6837158203125</c:v>
                </c:pt>
                <c:pt idx="9">
                  <c:v>28.6102294921875</c:v>
                </c:pt>
                <c:pt idx="10">
                  <c:v>19.073486328125</c:v>
                </c:pt>
                <c:pt idx="11">
                  <c:v>19.073486328125</c:v>
                </c:pt>
                <c:pt idx="12">
                  <c:v>0</c:v>
                </c:pt>
                <c:pt idx="13">
                  <c:v>0</c:v>
                </c:pt>
                <c:pt idx="14">
                  <c:v>28.6102294921875</c:v>
                </c:pt>
                <c:pt idx="15">
                  <c:v>0</c:v>
                </c:pt>
              </c:numCache>
            </c:numRef>
          </c:val>
          <c:smooth val="0"/>
          <c:extLst>
            <c:ext xmlns:c16="http://schemas.microsoft.com/office/drawing/2014/chart" uri="{C3380CC4-5D6E-409C-BE32-E72D297353CC}">
              <c16:uniqueId val="{00000004-4AAD-2046-A5FC-A1D529959BF9}"/>
            </c:ext>
          </c:extLst>
        </c:ser>
        <c:ser>
          <c:idx val="1"/>
          <c:order val="1"/>
          <c:tx>
            <c:strRef>
              <c:f>'Sheet1 (3)'!$C$3:$C$4</c:f>
              <c:strCache>
                <c:ptCount val="1"/>
                <c:pt idx="0">
                  <c:v>namenode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 (3)'!$A$5:$A$21</c:f>
              <c:strCache>
                <c:ptCount val="16"/>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strCache>
            </c:strRef>
          </c:cat>
          <c:val>
            <c:numRef>
              <c:f>'Sheet1 (3)'!$C$5:$C$21</c:f>
              <c:numCache>
                <c:formatCode>0.00</c:formatCode>
                <c:ptCount val="16"/>
                <c:pt idx="0">
                  <c:v>0</c:v>
                </c:pt>
                <c:pt idx="1">
                  <c:v>0</c:v>
                </c:pt>
                <c:pt idx="2">
                  <c:v>0</c:v>
                </c:pt>
                <c:pt idx="3">
                  <c:v>0</c:v>
                </c:pt>
                <c:pt idx="4">
                  <c:v>0</c:v>
                </c:pt>
                <c:pt idx="5">
                  <c:v>0</c:v>
                </c:pt>
                <c:pt idx="6">
                  <c:v>0</c:v>
                </c:pt>
                <c:pt idx="7">
                  <c:v>0</c:v>
                </c:pt>
                <c:pt idx="8">
                  <c:v>9.5367431640625E-2</c:v>
                </c:pt>
                <c:pt idx="9">
                  <c:v>0</c:v>
                </c:pt>
                <c:pt idx="10">
                  <c:v>0</c:v>
                </c:pt>
                <c:pt idx="11">
                  <c:v>0</c:v>
                </c:pt>
                <c:pt idx="12">
                  <c:v>0</c:v>
                </c:pt>
                <c:pt idx="13">
                  <c:v>0</c:v>
                </c:pt>
                <c:pt idx="14">
                  <c:v>9.5367431640625E-2</c:v>
                </c:pt>
                <c:pt idx="15">
                  <c:v>0</c:v>
                </c:pt>
              </c:numCache>
            </c:numRef>
          </c:val>
          <c:smooth val="0"/>
          <c:extLst>
            <c:ext xmlns:c16="http://schemas.microsoft.com/office/drawing/2014/chart" uri="{C3380CC4-5D6E-409C-BE32-E72D297353CC}">
              <c16:uniqueId val="{00000005-4AAD-2046-A5FC-A1D529959BF9}"/>
            </c:ext>
          </c:extLst>
        </c:ser>
        <c:ser>
          <c:idx val="2"/>
          <c:order val="2"/>
          <c:tx>
            <c:strRef>
              <c:f>'Sheet1 (3)'!$D$3:$D$4</c:f>
              <c:strCache>
                <c:ptCount val="1"/>
                <c:pt idx="0">
                  <c:v>nodemanager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'Sheet1 (3)'!$A$5:$A$21</c:f>
              <c:strCache>
                <c:ptCount val="16"/>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strCache>
            </c:strRef>
          </c:cat>
          <c:val>
            <c:numRef>
              <c:f>'Sheet1 (3)'!$D$5:$D$21</c:f>
              <c:numCache>
                <c:formatCode>0.00</c:formatCode>
                <c:ptCount val="16"/>
                <c:pt idx="0">
                  <c:v>0</c:v>
                </c:pt>
                <c:pt idx="1">
                  <c:v>0</c:v>
                </c:pt>
                <c:pt idx="2">
                  <c:v>0</c:v>
                </c:pt>
                <c:pt idx="3">
                  <c:v>66.7572021484375</c:v>
                </c:pt>
                <c:pt idx="4">
                  <c:v>48.63739013671875</c:v>
                </c:pt>
                <c:pt idx="5">
                  <c:v>28.6102294921875</c:v>
                </c:pt>
                <c:pt idx="6">
                  <c:v>0</c:v>
                </c:pt>
                <c:pt idx="7">
                  <c:v>57.220458984374545</c:v>
                </c:pt>
                <c:pt idx="8">
                  <c:v>57.220458984375455</c:v>
                </c:pt>
                <c:pt idx="9">
                  <c:v>19.073486328125</c:v>
                </c:pt>
                <c:pt idx="10">
                  <c:v>6.67572021484375</c:v>
                </c:pt>
                <c:pt idx="11">
                  <c:v>25.74920654296875</c:v>
                </c:pt>
                <c:pt idx="12">
                  <c:v>0</c:v>
                </c:pt>
                <c:pt idx="13">
                  <c:v>0</c:v>
                </c:pt>
                <c:pt idx="14">
                  <c:v>28.6102294921875</c:v>
                </c:pt>
                <c:pt idx="15">
                  <c:v>0</c:v>
                </c:pt>
              </c:numCache>
            </c:numRef>
          </c:val>
          <c:smooth val="0"/>
          <c:extLst>
            <c:ext xmlns:c16="http://schemas.microsoft.com/office/drawing/2014/chart" uri="{C3380CC4-5D6E-409C-BE32-E72D297353CC}">
              <c16:uniqueId val="{00000006-4AAD-2046-A5FC-A1D529959BF9}"/>
            </c:ext>
          </c:extLst>
        </c:ser>
        <c:ser>
          <c:idx val="3"/>
          <c:order val="3"/>
          <c:tx>
            <c:strRef>
              <c:f>'Sheet1 (3)'!$E$3:$E$4</c:f>
              <c:strCache>
                <c:ptCount val="1"/>
                <c:pt idx="0">
                  <c:v>resourcemanager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'Sheet1 (3)'!$A$5:$A$21</c:f>
              <c:strCache>
                <c:ptCount val="16"/>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strCache>
            </c:strRef>
          </c:cat>
          <c:val>
            <c:numRef>
              <c:f>'Sheet1 (3)'!$E$5:$E$21</c:f>
              <c:numCache>
                <c:formatCode>0.00</c:formatCode>
                <c:ptCount val="16"/>
                <c:pt idx="0">
                  <c:v>0</c:v>
                </c:pt>
                <c:pt idx="1">
                  <c:v>1.9073486328125E-2</c:v>
                </c:pt>
                <c:pt idx="2">
                  <c:v>1.9073486328125E-2</c:v>
                </c:pt>
                <c:pt idx="3">
                  <c:v>1.1444091796875E-2</c:v>
                </c:pt>
                <c:pt idx="4">
                  <c:v>1.9073486328125E-3</c:v>
                </c:pt>
                <c:pt idx="5">
                  <c:v>1.049041748046875E-2</c:v>
                </c:pt>
                <c:pt idx="6">
                  <c:v>1.239776611328125E-2</c:v>
                </c:pt>
                <c:pt idx="7">
                  <c:v>1.9073486328125E-3</c:v>
                </c:pt>
                <c:pt idx="8">
                  <c:v>1.049041748046875E-2</c:v>
                </c:pt>
                <c:pt idx="9">
                  <c:v>1.1444091796875E-2</c:v>
                </c:pt>
                <c:pt idx="10">
                  <c:v>1.239776611328125E-2</c:v>
                </c:pt>
                <c:pt idx="11">
                  <c:v>1.9073486328125E-3</c:v>
                </c:pt>
                <c:pt idx="12">
                  <c:v>2.47955322265625E-2</c:v>
                </c:pt>
                <c:pt idx="13">
                  <c:v>1.52587890625E-2</c:v>
                </c:pt>
                <c:pt idx="14">
                  <c:v>1.1444091796875E-2</c:v>
                </c:pt>
                <c:pt idx="15">
                  <c:v>1.1444091796875E-2</c:v>
                </c:pt>
              </c:numCache>
            </c:numRef>
          </c:val>
          <c:smooth val="0"/>
          <c:extLst>
            <c:ext xmlns:c16="http://schemas.microsoft.com/office/drawing/2014/chart" uri="{C3380CC4-5D6E-409C-BE32-E72D297353CC}">
              <c16:uniqueId val="{00000007-4AAD-2046-A5FC-A1D529959BF9}"/>
            </c:ext>
          </c:extLst>
        </c:ser>
        <c:dLbls>
          <c:showLegendKey val="0"/>
          <c:showVal val="0"/>
          <c:showCatName val="0"/>
          <c:showSerName val="0"/>
          <c:showPercent val="0"/>
          <c:showBubbleSize val="0"/>
        </c:dLbls>
        <c:marker val="1"/>
        <c:smooth val="0"/>
        <c:axId val="2021636095"/>
        <c:axId val="2031896319"/>
      </c:lineChart>
      <c:catAx>
        <c:axId val="202163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896319"/>
        <c:crosses val="autoZero"/>
        <c:auto val="1"/>
        <c:lblAlgn val="ctr"/>
        <c:lblOffset val="100"/>
        <c:noMultiLvlLbl val="0"/>
      </c:catAx>
      <c:valAx>
        <c:axId val="20318963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636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[hadoop.xlsx]Sheet1 (4)!PivotTable9</c:name>
    <c:fmtId val="6"/>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 (4)'!$B$3:$B$4</c:f>
              <c:strCache>
                <c:ptCount val="1"/>
                <c:pt idx="0">
                  <c:v>datanode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 (4)'!$A$5:$A$27</c:f>
              <c:strCache>
                <c:ptCount val="22"/>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strCache>
            </c:strRef>
          </c:cat>
          <c:val>
            <c:numRef>
              <c:f>'Sheet1 (4)'!$B$5:$B$27</c:f>
              <c:numCache>
                <c:formatCode>0.00</c:formatCode>
                <c:ptCount val="22"/>
                <c:pt idx="0">
                  <c:v>0</c:v>
                </c:pt>
                <c:pt idx="1">
                  <c:v>0</c:v>
                </c:pt>
                <c:pt idx="2">
                  <c:v>9.5367431640625</c:v>
                </c:pt>
                <c:pt idx="3">
                  <c:v>47.6837158203125</c:v>
                </c:pt>
                <c:pt idx="4">
                  <c:v>38.14697265625</c:v>
                </c:pt>
                <c:pt idx="5">
                  <c:v>47.6837158203125</c:v>
                </c:pt>
                <c:pt idx="6">
                  <c:v>0</c:v>
                </c:pt>
                <c:pt idx="7">
                  <c:v>47.6837158203125</c:v>
                </c:pt>
                <c:pt idx="8">
                  <c:v>38.14697265625</c:v>
                </c:pt>
                <c:pt idx="9">
                  <c:v>38.14697265625</c:v>
                </c:pt>
                <c:pt idx="10">
                  <c:v>0</c:v>
                </c:pt>
                <c:pt idx="11">
                  <c:v>57.220458984375</c:v>
                </c:pt>
                <c:pt idx="12">
                  <c:v>47.6837158203125</c:v>
                </c:pt>
                <c:pt idx="13">
                  <c:v>28.6102294921875</c:v>
                </c:pt>
                <c:pt idx="14">
                  <c:v>0</c:v>
                </c:pt>
                <c:pt idx="15">
                  <c:v>19.073486328125</c:v>
                </c:pt>
                <c:pt idx="16">
                  <c:v>9.5367431640625</c:v>
                </c:pt>
                <c:pt idx="17">
                  <c:v>0</c:v>
                </c:pt>
                <c:pt idx="18">
                  <c:v>0</c:v>
                </c:pt>
                <c:pt idx="19">
                  <c:v>0</c:v>
                </c:pt>
                <c:pt idx="20">
                  <c:v>19.073486328125</c:v>
                </c:pt>
                <c:pt idx="21">
                  <c:v>0</c:v>
                </c:pt>
              </c:numCache>
            </c:numRef>
          </c:val>
          <c:smooth val="0"/>
          <c:extLst>
            <c:ext xmlns:c16="http://schemas.microsoft.com/office/drawing/2014/chart" uri="{C3380CC4-5D6E-409C-BE32-E72D297353CC}">
              <c16:uniqueId val="{00000004-FD91-C54E-B822-D07EFB8BDC6B}"/>
            </c:ext>
          </c:extLst>
        </c:ser>
        <c:ser>
          <c:idx val="1"/>
          <c:order val="1"/>
          <c:tx>
            <c:strRef>
              <c:f>'Sheet1 (4)'!$C$3:$C$4</c:f>
              <c:strCache>
                <c:ptCount val="1"/>
                <c:pt idx="0">
                  <c:v>namenode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 (4)'!$A$5:$A$27</c:f>
              <c:strCache>
                <c:ptCount val="22"/>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strCache>
            </c:strRef>
          </c:cat>
          <c:val>
            <c:numRef>
              <c:f>'Sheet1 (4)'!$C$5:$C$27</c:f>
              <c:numCache>
                <c:formatCode>0.00</c:formatCode>
                <c:ptCount val="22"/>
                <c:pt idx="0">
                  <c:v>0</c:v>
                </c:pt>
                <c:pt idx="1">
                  <c:v>0</c:v>
                </c:pt>
                <c:pt idx="2">
                  <c:v>0</c:v>
                </c:pt>
                <c:pt idx="3">
                  <c:v>0</c:v>
                </c:pt>
                <c:pt idx="4">
                  <c:v>9.5367431640625E-2</c:v>
                </c:pt>
                <c:pt idx="5">
                  <c:v>0</c:v>
                </c:pt>
                <c:pt idx="6">
                  <c:v>0</c:v>
                </c:pt>
                <c:pt idx="7">
                  <c:v>0</c:v>
                </c:pt>
                <c:pt idx="8">
                  <c:v>0</c:v>
                </c:pt>
                <c:pt idx="9">
                  <c:v>0</c:v>
                </c:pt>
                <c:pt idx="10">
                  <c:v>0</c:v>
                </c:pt>
                <c:pt idx="11">
                  <c:v>0</c:v>
                </c:pt>
                <c:pt idx="12">
                  <c:v>0</c:v>
                </c:pt>
                <c:pt idx="13">
                  <c:v>0</c:v>
                </c:pt>
                <c:pt idx="14">
                  <c:v>0</c:v>
                </c:pt>
                <c:pt idx="15">
                  <c:v>0</c:v>
                </c:pt>
                <c:pt idx="16">
                  <c:v>9.5367431640625E-2</c:v>
                </c:pt>
                <c:pt idx="17">
                  <c:v>0</c:v>
                </c:pt>
                <c:pt idx="18">
                  <c:v>0</c:v>
                </c:pt>
                <c:pt idx="19">
                  <c:v>0</c:v>
                </c:pt>
                <c:pt idx="20">
                  <c:v>0</c:v>
                </c:pt>
                <c:pt idx="21">
                  <c:v>9.5367431640625E-2</c:v>
                </c:pt>
              </c:numCache>
            </c:numRef>
          </c:val>
          <c:smooth val="0"/>
          <c:extLst>
            <c:ext xmlns:c16="http://schemas.microsoft.com/office/drawing/2014/chart" uri="{C3380CC4-5D6E-409C-BE32-E72D297353CC}">
              <c16:uniqueId val="{00000005-FD91-C54E-B822-D07EFB8BDC6B}"/>
            </c:ext>
          </c:extLst>
        </c:ser>
        <c:ser>
          <c:idx val="2"/>
          <c:order val="2"/>
          <c:tx>
            <c:strRef>
              <c:f>'Sheet1 (4)'!$D$3:$D$4</c:f>
              <c:strCache>
                <c:ptCount val="1"/>
                <c:pt idx="0">
                  <c:v>nodemanager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'Sheet1 (4)'!$A$5:$A$27</c:f>
              <c:strCache>
                <c:ptCount val="22"/>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strCache>
            </c:strRef>
          </c:cat>
          <c:val>
            <c:numRef>
              <c:f>'Sheet1 (4)'!$D$5:$D$27</c:f>
              <c:numCache>
                <c:formatCode>0.00</c:formatCode>
                <c:ptCount val="22"/>
                <c:pt idx="0">
                  <c:v>0</c:v>
                </c:pt>
                <c:pt idx="1">
                  <c:v>0</c:v>
                </c:pt>
                <c:pt idx="2">
                  <c:v>0</c:v>
                </c:pt>
                <c:pt idx="3">
                  <c:v>47.6837158203125</c:v>
                </c:pt>
                <c:pt idx="4">
                  <c:v>38.14697265625</c:v>
                </c:pt>
                <c:pt idx="5">
                  <c:v>48.63739013671875</c:v>
                </c:pt>
                <c:pt idx="6">
                  <c:v>0</c:v>
                </c:pt>
                <c:pt idx="7">
                  <c:v>47.6837158203125</c:v>
                </c:pt>
                <c:pt idx="8">
                  <c:v>47.6837158203125</c:v>
                </c:pt>
                <c:pt idx="9">
                  <c:v>29.56390380859375</c:v>
                </c:pt>
                <c:pt idx="10">
                  <c:v>0</c:v>
                </c:pt>
                <c:pt idx="11">
                  <c:v>57.220458984375</c:v>
                </c:pt>
                <c:pt idx="12">
                  <c:v>47.6837158203125</c:v>
                </c:pt>
                <c:pt idx="13">
                  <c:v>28.6102294921875</c:v>
                </c:pt>
                <c:pt idx="14">
                  <c:v>0</c:v>
                </c:pt>
                <c:pt idx="15">
                  <c:v>19.073486328125</c:v>
                </c:pt>
                <c:pt idx="16">
                  <c:v>8.58306884765625</c:v>
                </c:pt>
                <c:pt idx="17">
                  <c:v>6.67572021484375</c:v>
                </c:pt>
                <c:pt idx="18">
                  <c:v>0</c:v>
                </c:pt>
                <c:pt idx="19">
                  <c:v>0</c:v>
                </c:pt>
                <c:pt idx="20">
                  <c:v>19.073486328125</c:v>
                </c:pt>
                <c:pt idx="21">
                  <c:v>0</c:v>
                </c:pt>
              </c:numCache>
            </c:numRef>
          </c:val>
          <c:smooth val="0"/>
          <c:extLst>
            <c:ext xmlns:c16="http://schemas.microsoft.com/office/drawing/2014/chart" uri="{C3380CC4-5D6E-409C-BE32-E72D297353CC}">
              <c16:uniqueId val="{00000006-FD91-C54E-B822-D07EFB8BDC6B}"/>
            </c:ext>
          </c:extLst>
        </c:ser>
        <c:ser>
          <c:idx val="3"/>
          <c:order val="3"/>
          <c:tx>
            <c:strRef>
              <c:f>'Sheet1 (4)'!$E$3:$E$4</c:f>
              <c:strCache>
                <c:ptCount val="1"/>
                <c:pt idx="0">
                  <c:v>resourcemanager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'Sheet1 (4)'!$A$5:$A$27</c:f>
              <c:strCache>
                <c:ptCount val="22"/>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strCache>
            </c:strRef>
          </c:cat>
          <c:val>
            <c:numRef>
              <c:f>'Sheet1 (4)'!$E$5:$E$27</c:f>
              <c:numCache>
                <c:formatCode>0.00</c:formatCode>
                <c:ptCount val="22"/>
                <c:pt idx="0">
                  <c:v>0</c:v>
                </c:pt>
                <c:pt idx="1">
                  <c:v>2.09808349609375E-2</c:v>
                </c:pt>
                <c:pt idx="2">
                  <c:v>6.67572021484375E-3</c:v>
                </c:pt>
                <c:pt idx="3">
                  <c:v>1.1444091796875E-2</c:v>
                </c:pt>
                <c:pt idx="4">
                  <c:v>1.1444091796875E-2</c:v>
                </c:pt>
                <c:pt idx="5">
                  <c:v>1.9073486328125E-3</c:v>
                </c:pt>
                <c:pt idx="6">
                  <c:v>1.239776611328125E-2</c:v>
                </c:pt>
                <c:pt idx="7">
                  <c:v>1.049041748046875E-2</c:v>
                </c:pt>
                <c:pt idx="8">
                  <c:v>1.1444091796875E-2</c:v>
                </c:pt>
                <c:pt idx="9">
                  <c:v>1.9073486328125E-3</c:v>
                </c:pt>
                <c:pt idx="10">
                  <c:v>1.239776611328125E-2</c:v>
                </c:pt>
                <c:pt idx="11">
                  <c:v>1.049041748046875E-2</c:v>
                </c:pt>
                <c:pt idx="12">
                  <c:v>2.86102294921875E-3</c:v>
                </c:pt>
                <c:pt idx="13">
                  <c:v>1.1444091796875E-2</c:v>
                </c:pt>
                <c:pt idx="14">
                  <c:v>1.1444091796875E-2</c:v>
                </c:pt>
                <c:pt idx="15">
                  <c:v>1.1444091796875E-2</c:v>
                </c:pt>
                <c:pt idx="16">
                  <c:v>1.9073486328125E-3</c:v>
                </c:pt>
                <c:pt idx="17">
                  <c:v>1.1444091796875E-2</c:v>
                </c:pt>
                <c:pt idx="18">
                  <c:v>2.574920654296875E-2</c:v>
                </c:pt>
                <c:pt idx="19">
                  <c:v>1.52587890625E-2</c:v>
                </c:pt>
                <c:pt idx="20">
                  <c:v>1.1444091796875E-2</c:v>
                </c:pt>
                <c:pt idx="21">
                  <c:v>2.86102294921875E-3</c:v>
                </c:pt>
              </c:numCache>
            </c:numRef>
          </c:val>
          <c:smooth val="0"/>
          <c:extLst>
            <c:ext xmlns:c16="http://schemas.microsoft.com/office/drawing/2014/chart" uri="{C3380CC4-5D6E-409C-BE32-E72D297353CC}">
              <c16:uniqueId val="{00000007-FD91-C54E-B822-D07EFB8BDC6B}"/>
            </c:ext>
          </c:extLst>
        </c:ser>
        <c:dLbls>
          <c:showLegendKey val="0"/>
          <c:showVal val="0"/>
          <c:showCatName val="0"/>
          <c:showSerName val="0"/>
          <c:showPercent val="0"/>
          <c:showBubbleSize val="0"/>
        </c:dLbls>
        <c:marker val="1"/>
        <c:smooth val="0"/>
        <c:axId val="2021636095"/>
        <c:axId val="2031896319"/>
      </c:lineChart>
      <c:catAx>
        <c:axId val="202163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896319"/>
        <c:crosses val="autoZero"/>
        <c:auto val="1"/>
        <c:lblAlgn val="ctr"/>
        <c:lblOffset val="100"/>
        <c:noMultiLvlLbl val="0"/>
      </c:catAx>
      <c:valAx>
        <c:axId val="20318963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636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[hadoop.xlsx]Sheet1 (5)!PivotTable9</c:name>
    <c:fmtId val="8"/>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 (5)'!$B$3:$B$4</c:f>
              <c:strCache>
                <c:ptCount val="1"/>
                <c:pt idx="0">
                  <c:v>datanode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 (5)'!$A$5:$A$46</c:f>
              <c:strCache>
                <c:ptCount val="41"/>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c:v>
                </c:pt>
                <c:pt idx="32">
                  <c:v>160</c:v>
                </c:pt>
                <c:pt idx="33">
                  <c:v>165</c:v>
                </c:pt>
                <c:pt idx="34">
                  <c:v>170</c:v>
                </c:pt>
                <c:pt idx="35">
                  <c:v>175</c:v>
                </c:pt>
                <c:pt idx="36">
                  <c:v>180</c:v>
                </c:pt>
                <c:pt idx="37">
                  <c:v>185</c:v>
                </c:pt>
                <c:pt idx="38">
                  <c:v>190</c:v>
                </c:pt>
                <c:pt idx="39">
                  <c:v>195</c:v>
                </c:pt>
                <c:pt idx="40">
                  <c:v>200</c:v>
                </c:pt>
              </c:strCache>
            </c:strRef>
          </c:cat>
          <c:val>
            <c:numRef>
              <c:f>'Sheet1 (5)'!$B$5:$B$46</c:f>
              <c:numCache>
                <c:formatCode>0.00</c:formatCode>
                <c:ptCount val="41"/>
                <c:pt idx="0">
                  <c:v>0</c:v>
                </c:pt>
                <c:pt idx="1">
                  <c:v>0</c:v>
                </c:pt>
                <c:pt idx="2">
                  <c:v>9.5367431640625</c:v>
                </c:pt>
                <c:pt idx="3">
                  <c:v>57.220458984375</c:v>
                </c:pt>
                <c:pt idx="4">
                  <c:v>47.6837158203125</c:v>
                </c:pt>
                <c:pt idx="5">
                  <c:v>28.6102294921875</c:v>
                </c:pt>
                <c:pt idx="6">
                  <c:v>28.6102294921875</c:v>
                </c:pt>
                <c:pt idx="7">
                  <c:v>57.220458984375</c:v>
                </c:pt>
                <c:pt idx="8">
                  <c:v>47.6837158203125</c:v>
                </c:pt>
                <c:pt idx="9">
                  <c:v>0</c:v>
                </c:pt>
                <c:pt idx="10">
                  <c:v>19.073486328125</c:v>
                </c:pt>
                <c:pt idx="11">
                  <c:v>85.8306884765625</c:v>
                </c:pt>
                <c:pt idx="12">
                  <c:v>28.6102294921875</c:v>
                </c:pt>
                <c:pt idx="13">
                  <c:v>0</c:v>
                </c:pt>
                <c:pt idx="14">
                  <c:v>47.6837158203125</c:v>
                </c:pt>
                <c:pt idx="15">
                  <c:v>47.6837158203125</c:v>
                </c:pt>
                <c:pt idx="16">
                  <c:v>28.6102294921875</c:v>
                </c:pt>
                <c:pt idx="17">
                  <c:v>0</c:v>
                </c:pt>
                <c:pt idx="18">
                  <c:v>57.220458984375</c:v>
                </c:pt>
                <c:pt idx="19">
                  <c:v>47.6837158203125</c:v>
                </c:pt>
                <c:pt idx="20">
                  <c:v>28.6102294921875</c:v>
                </c:pt>
                <c:pt idx="21">
                  <c:v>0</c:v>
                </c:pt>
                <c:pt idx="22">
                  <c:v>66.7572021484375</c:v>
                </c:pt>
                <c:pt idx="23">
                  <c:v>66.7572021484375</c:v>
                </c:pt>
                <c:pt idx="24">
                  <c:v>0</c:v>
                </c:pt>
                <c:pt idx="25">
                  <c:v>57.220458984375</c:v>
                </c:pt>
                <c:pt idx="26">
                  <c:v>47.6837158203125</c:v>
                </c:pt>
                <c:pt idx="27">
                  <c:v>19.073486328125</c:v>
                </c:pt>
                <c:pt idx="28">
                  <c:v>0</c:v>
                </c:pt>
                <c:pt idx="29">
                  <c:v>66.7572021484375</c:v>
                </c:pt>
                <c:pt idx="30">
                  <c:v>57.220458984375</c:v>
                </c:pt>
                <c:pt idx="31">
                  <c:v>9.5367431640625</c:v>
                </c:pt>
                <c:pt idx="32">
                  <c:v>0</c:v>
                </c:pt>
                <c:pt idx="33">
                  <c:v>9.5367431640625</c:v>
                </c:pt>
                <c:pt idx="34">
                  <c:v>19.073486328125</c:v>
                </c:pt>
                <c:pt idx="35">
                  <c:v>9.5367431640625</c:v>
                </c:pt>
                <c:pt idx="36">
                  <c:v>9.5367431640625</c:v>
                </c:pt>
                <c:pt idx="37">
                  <c:v>0</c:v>
                </c:pt>
                <c:pt idx="38">
                  <c:v>9.5367431640625</c:v>
                </c:pt>
                <c:pt idx="39">
                  <c:v>38.14697265625</c:v>
                </c:pt>
                <c:pt idx="40">
                  <c:v>0</c:v>
                </c:pt>
              </c:numCache>
            </c:numRef>
          </c:val>
          <c:smooth val="0"/>
          <c:extLst>
            <c:ext xmlns:c16="http://schemas.microsoft.com/office/drawing/2014/chart" uri="{C3380CC4-5D6E-409C-BE32-E72D297353CC}">
              <c16:uniqueId val="{00000004-3702-CE49-B855-FACAF4D40657}"/>
            </c:ext>
          </c:extLst>
        </c:ser>
        <c:ser>
          <c:idx val="1"/>
          <c:order val="1"/>
          <c:tx>
            <c:strRef>
              <c:f>'Sheet1 (5)'!$C$3:$C$4</c:f>
              <c:strCache>
                <c:ptCount val="1"/>
                <c:pt idx="0">
                  <c:v>namenode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 (5)'!$A$5:$A$46</c:f>
              <c:strCache>
                <c:ptCount val="41"/>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c:v>
                </c:pt>
                <c:pt idx="32">
                  <c:v>160</c:v>
                </c:pt>
                <c:pt idx="33">
                  <c:v>165</c:v>
                </c:pt>
                <c:pt idx="34">
                  <c:v>170</c:v>
                </c:pt>
                <c:pt idx="35">
                  <c:v>175</c:v>
                </c:pt>
                <c:pt idx="36">
                  <c:v>180</c:v>
                </c:pt>
                <c:pt idx="37">
                  <c:v>185</c:v>
                </c:pt>
                <c:pt idx="38">
                  <c:v>190</c:v>
                </c:pt>
                <c:pt idx="39">
                  <c:v>195</c:v>
                </c:pt>
                <c:pt idx="40">
                  <c:v>200</c:v>
                </c:pt>
              </c:strCache>
            </c:strRef>
          </c:cat>
          <c:val>
            <c:numRef>
              <c:f>'Sheet1 (5)'!$C$5:$C$46</c:f>
              <c:numCache>
                <c:formatCode>0.00</c:formatCode>
                <c:ptCount val="41"/>
                <c:pt idx="0">
                  <c:v>0</c:v>
                </c:pt>
                <c:pt idx="1">
                  <c:v>9.5367431640625E-2</c:v>
                </c:pt>
                <c:pt idx="2">
                  <c:v>0</c:v>
                </c:pt>
                <c:pt idx="3">
                  <c:v>0</c:v>
                </c:pt>
                <c:pt idx="4">
                  <c:v>0</c:v>
                </c:pt>
                <c:pt idx="5">
                  <c:v>0</c:v>
                </c:pt>
                <c:pt idx="6">
                  <c:v>0</c:v>
                </c:pt>
                <c:pt idx="7">
                  <c:v>0</c:v>
                </c:pt>
                <c:pt idx="8">
                  <c:v>0</c:v>
                </c:pt>
                <c:pt idx="9">
                  <c:v>0</c:v>
                </c:pt>
                <c:pt idx="10">
                  <c:v>0</c:v>
                </c:pt>
                <c:pt idx="11">
                  <c:v>0</c:v>
                </c:pt>
                <c:pt idx="12">
                  <c:v>9.5367431640625E-2</c:v>
                </c:pt>
                <c:pt idx="13">
                  <c:v>0</c:v>
                </c:pt>
                <c:pt idx="14">
                  <c:v>0</c:v>
                </c:pt>
                <c:pt idx="15">
                  <c:v>0</c:v>
                </c:pt>
                <c:pt idx="16">
                  <c:v>0</c:v>
                </c:pt>
                <c:pt idx="17">
                  <c:v>0</c:v>
                </c:pt>
                <c:pt idx="18">
                  <c:v>0</c:v>
                </c:pt>
                <c:pt idx="19">
                  <c:v>0</c:v>
                </c:pt>
                <c:pt idx="20">
                  <c:v>0</c:v>
                </c:pt>
                <c:pt idx="21">
                  <c:v>0</c:v>
                </c:pt>
                <c:pt idx="22">
                  <c:v>0</c:v>
                </c:pt>
                <c:pt idx="23">
                  <c:v>0</c:v>
                </c:pt>
                <c:pt idx="24">
                  <c:v>9.5367431640625E-2</c:v>
                </c:pt>
                <c:pt idx="25">
                  <c:v>0</c:v>
                </c:pt>
                <c:pt idx="26">
                  <c:v>0</c:v>
                </c:pt>
                <c:pt idx="27">
                  <c:v>0</c:v>
                </c:pt>
                <c:pt idx="28">
                  <c:v>0</c:v>
                </c:pt>
                <c:pt idx="29">
                  <c:v>0</c:v>
                </c:pt>
                <c:pt idx="30">
                  <c:v>0</c:v>
                </c:pt>
                <c:pt idx="31">
                  <c:v>0</c:v>
                </c:pt>
                <c:pt idx="32">
                  <c:v>0</c:v>
                </c:pt>
                <c:pt idx="33">
                  <c:v>0</c:v>
                </c:pt>
                <c:pt idx="34">
                  <c:v>0</c:v>
                </c:pt>
                <c:pt idx="35">
                  <c:v>0</c:v>
                </c:pt>
                <c:pt idx="36">
                  <c:v>9.5367431640625E-2</c:v>
                </c:pt>
                <c:pt idx="37">
                  <c:v>0</c:v>
                </c:pt>
                <c:pt idx="38">
                  <c:v>0</c:v>
                </c:pt>
                <c:pt idx="39">
                  <c:v>0</c:v>
                </c:pt>
                <c:pt idx="40">
                  <c:v>0</c:v>
                </c:pt>
              </c:numCache>
            </c:numRef>
          </c:val>
          <c:smooth val="0"/>
          <c:extLst>
            <c:ext xmlns:c16="http://schemas.microsoft.com/office/drawing/2014/chart" uri="{C3380CC4-5D6E-409C-BE32-E72D297353CC}">
              <c16:uniqueId val="{00000005-3702-CE49-B855-FACAF4D40657}"/>
            </c:ext>
          </c:extLst>
        </c:ser>
        <c:ser>
          <c:idx val="2"/>
          <c:order val="2"/>
          <c:tx>
            <c:strRef>
              <c:f>'Sheet1 (5)'!$D$3:$D$4</c:f>
              <c:strCache>
                <c:ptCount val="1"/>
                <c:pt idx="0">
                  <c:v>nodemanager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'Sheet1 (5)'!$A$5:$A$46</c:f>
              <c:strCache>
                <c:ptCount val="41"/>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c:v>
                </c:pt>
                <c:pt idx="32">
                  <c:v>160</c:v>
                </c:pt>
                <c:pt idx="33">
                  <c:v>165</c:v>
                </c:pt>
                <c:pt idx="34">
                  <c:v>170</c:v>
                </c:pt>
                <c:pt idx="35">
                  <c:v>175</c:v>
                </c:pt>
                <c:pt idx="36">
                  <c:v>180</c:v>
                </c:pt>
                <c:pt idx="37">
                  <c:v>185</c:v>
                </c:pt>
                <c:pt idx="38">
                  <c:v>190</c:v>
                </c:pt>
                <c:pt idx="39">
                  <c:v>195</c:v>
                </c:pt>
                <c:pt idx="40">
                  <c:v>200</c:v>
                </c:pt>
              </c:strCache>
            </c:strRef>
          </c:cat>
          <c:val>
            <c:numRef>
              <c:f>'Sheet1 (5)'!$D$5:$D$46</c:f>
              <c:numCache>
                <c:formatCode>0.00</c:formatCode>
                <c:ptCount val="41"/>
                <c:pt idx="0">
                  <c:v>0</c:v>
                </c:pt>
                <c:pt idx="1">
                  <c:v>0</c:v>
                </c:pt>
                <c:pt idx="2">
                  <c:v>0.95367431640625</c:v>
                </c:pt>
                <c:pt idx="3">
                  <c:v>57.220458984375</c:v>
                </c:pt>
                <c:pt idx="4">
                  <c:v>57.220458984375</c:v>
                </c:pt>
                <c:pt idx="5">
                  <c:v>19.073486328125</c:v>
                </c:pt>
                <c:pt idx="6">
                  <c:v>28.6102294921875</c:v>
                </c:pt>
                <c:pt idx="7">
                  <c:v>58.17413330078125</c:v>
                </c:pt>
                <c:pt idx="8">
                  <c:v>47.6837158203125</c:v>
                </c:pt>
                <c:pt idx="9">
                  <c:v>0</c:v>
                </c:pt>
                <c:pt idx="10">
                  <c:v>38.14697265625</c:v>
                </c:pt>
                <c:pt idx="11">
                  <c:v>47.6837158203125</c:v>
                </c:pt>
                <c:pt idx="12">
                  <c:v>47.6837158203125</c:v>
                </c:pt>
                <c:pt idx="13">
                  <c:v>0</c:v>
                </c:pt>
                <c:pt idx="14">
                  <c:v>47.6837158203125</c:v>
                </c:pt>
                <c:pt idx="15">
                  <c:v>47.6837158203125</c:v>
                </c:pt>
                <c:pt idx="16">
                  <c:v>29.56390380859375</c:v>
                </c:pt>
                <c:pt idx="17">
                  <c:v>0</c:v>
                </c:pt>
                <c:pt idx="18">
                  <c:v>57.220458984375</c:v>
                </c:pt>
                <c:pt idx="19">
                  <c:v>47.6837158203125</c:v>
                </c:pt>
                <c:pt idx="20">
                  <c:v>28.6102294921875</c:v>
                </c:pt>
                <c:pt idx="21">
                  <c:v>0</c:v>
                </c:pt>
                <c:pt idx="22">
                  <c:v>57.220458984375</c:v>
                </c:pt>
                <c:pt idx="23">
                  <c:v>67.71087646484375</c:v>
                </c:pt>
                <c:pt idx="24">
                  <c:v>9.5367431640625</c:v>
                </c:pt>
                <c:pt idx="25">
                  <c:v>57.220458984375</c:v>
                </c:pt>
                <c:pt idx="26">
                  <c:v>47.6837158203125</c:v>
                </c:pt>
                <c:pt idx="27">
                  <c:v>29.56390380859375</c:v>
                </c:pt>
                <c:pt idx="28">
                  <c:v>0</c:v>
                </c:pt>
                <c:pt idx="29">
                  <c:v>57.220458984375</c:v>
                </c:pt>
                <c:pt idx="30">
                  <c:v>57.220458984375</c:v>
                </c:pt>
                <c:pt idx="31">
                  <c:v>9.5367431640625</c:v>
                </c:pt>
                <c:pt idx="32">
                  <c:v>1.9073486328125</c:v>
                </c:pt>
                <c:pt idx="33">
                  <c:v>10.49041748046875</c:v>
                </c:pt>
                <c:pt idx="34">
                  <c:v>19.073486328125</c:v>
                </c:pt>
                <c:pt idx="35">
                  <c:v>10.49041748046875</c:v>
                </c:pt>
                <c:pt idx="36">
                  <c:v>2.86102294921875</c:v>
                </c:pt>
                <c:pt idx="37">
                  <c:v>0</c:v>
                </c:pt>
                <c:pt idx="38">
                  <c:v>0</c:v>
                </c:pt>
                <c:pt idx="39">
                  <c:v>47.6837158203125</c:v>
                </c:pt>
                <c:pt idx="40">
                  <c:v>0</c:v>
                </c:pt>
              </c:numCache>
            </c:numRef>
          </c:val>
          <c:smooth val="0"/>
          <c:extLst>
            <c:ext xmlns:c16="http://schemas.microsoft.com/office/drawing/2014/chart" uri="{C3380CC4-5D6E-409C-BE32-E72D297353CC}">
              <c16:uniqueId val="{00000006-3702-CE49-B855-FACAF4D40657}"/>
            </c:ext>
          </c:extLst>
        </c:ser>
        <c:ser>
          <c:idx val="3"/>
          <c:order val="3"/>
          <c:tx>
            <c:strRef>
              <c:f>'Sheet1 (5)'!$E$3:$E$4</c:f>
              <c:strCache>
                <c:ptCount val="1"/>
                <c:pt idx="0">
                  <c:v>resourcemanager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'Sheet1 (5)'!$A$5:$A$46</c:f>
              <c:strCache>
                <c:ptCount val="41"/>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c:v>
                </c:pt>
                <c:pt idx="32">
                  <c:v>160</c:v>
                </c:pt>
                <c:pt idx="33">
                  <c:v>165</c:v>
                </c:pt>
                <c:pt idx="34">
                  <c:v>170</c:v>
                </c:pt>
                <c:pt idx="35">
                  <c:v>175</c:v>
                </c:pt>
                <c:pt idx="36">
                  <c:v>180</c:v>
                </c:pt>
                <c:pt idx="37">
                  <c:v>185</c:v>
                </c:pt>
                <c:pt idx="38">
                  <c:v>190</c:v>
                </c:pt>
                <c:pt idx="39">
                  <c:v>195</c:v>
                </c:pt>
                <c:pt idx="40">
                  <c:v>200</c:v>
                </c:pt>
              </c:strCache>
            </c:strRef>
          </c:cat>
          <c:val>
            <c:numRef>
              <c:f>'Sheet1 (5)'!$E$5:$E$46</c:f>
              <c:numCache>
                <c:formatCode>0.00</c:formatCode>
                <c:ptCount val="41"/>
                <c:pt idx="0">
                  <c:v>0</c:v>
                </c:pt>
                <c:pt idx="1">
                  <c:v>2.002716064453125E-2</c:v>
                </c:pt>
                <c:pt idx="2">
                  <c:v>1.811981201171875E-2</c:v>
                </c:pt>
                <c:pt idx="3">
                  <c:v>1.9073486328125E-3</c:v>
                </c:pt>
                <c:pt idx="4">
                  <c:v>1.1444091796875E-2</c:v>
                </c:pt>
                <c:pt idx="5">
                  <c:v>1.049041748046875E-2</c:v>
                </c:pt>
                <c:pt idx="6">
                  <c:v>1.239776611328125E-2</c:v>
                </c:pt>
                <c:pt idx="7">
                  <c:v>1.9073486328125E-3</c:v>
                </c:pt>
                <c:pt idx="8">
                  <c:v>1.049041748046875E-2</c:v>
                </c:pt>
                <c:pt idx="9">
                  <c:v>1.9073486328125E-3</c:v>
                </c:pt>
                <c:pt idx="10">
                  <c:v>1.239776611328125E-2</c:v>
                </c:pt>
                <c:pt idx="11">
                  <c:v>1.1444091796875E-2</c:v>
                </c:pt>
                <c:pt idx="12">
                  <c:v>1.049041748046875E-2</c:v>
                </c:pt>
                <c:pt idx="13">
                  <c:v>2.86102294921875E-3</c:v>
                </c:pt>
                <c:pt idx="14">
                  <c:v>1.1444091796875E-2</c:v>
                </c:pt>
                <c:pt idx="15">
                  <c:v>9.5367431640625E-4</c:v>
                </c:pt>
                <c:pt idx="16">
                  <c:v>1.1444091796875E-2</c:v>
                </c:pt>
                <c:pt idx="17">
                  <c:v>1.1444091796875E-2</c:v>
                </c:pt>
                <c:pt idx="18">
                  <c:v>1.239776611328125E-2</c:v>
                </c:pt>
                <c:pt idx="19">
                  <c:v>1.9073486328125E-3</c:v>
                </c:pt>
                <c:pt idx="20">
                  <c:v>1.049041748046875E-2</c:v>
                </c:pt>
                <c:pt idx="21">
                  <c:v>1.239776611328125E-2</c:v>
                </c:pt>
                <c:pt idx="22">
                  <c:v>1.9073486328125E-3</c:v>
                </c:pt>
                <c:pt idx="23">
                  <c:v>1.1444091796875E-2</c:v>
                </c:pt>
                <c:pt idx="24">
                  <c:v>1.239776611328125E-2</c:v>
                </c:pt>
                <c:pt idx="25">
                  <c:v>9.5367431640625E-4</c:v>
                </c:pt>
                <c:pt idx="26">
                  <c:v>1.1444091796875E-2</c:v>
                </c:pt>
                <c:pt idx="27">
                  <c:v>1.1444091796875E-2</c:v>
                </c:pt>
                <c:pt idx="28">
                  <c:v>1.239776611328125E-2</c:v>
                </c:pt>
                <c:pt idx="29">
                  <c:v>9.5367431640625E-4</c:v>
                </c:pt>
                <c:pt idx="30">
                  <c:v>1.239776611328125E-2</c:v>
                </c:pt>
                <c:pt idx="31">
                  <c:v>1.049041748046875E-2</c:v>
                </c:pt>
                <c:pt idx="32">
                  <c:v>2.86102294921875E-3</c:v>
                </c:pt>
                <c:pt idx="33">
                  <c:v>1.1444091796875E-2</c:v>
                </c:pt>
                <c:pt idx="34">
                  <c:v>1.1444091796875E-2</c:v>
                </c:pt>
                <c:pt idx="35">
                  <c:v>1.9073486328125E-3</c:v>
                </c:pt>
                <c:pt idx="36">
                  <c:v>1.430511474609375E-2</c:v>
                </c:pt>
                <c:pt idx="37">
                  <c:v>2.288818359375E-2</c:v>
                </c:pt>
                <c:pt idx="38">
                  <c:v>1.33514404296875E-2</c:v>
                </c:pt>
                <c:pt idx="39">
                  <c:v>1.1444091796875E-2</c:v>
                </c:pt>
                <c:pt idx="40">
                  <c:v>1.239776611328125E-2</c:v>
                </c:pt>
              </c:numCache>
            </c:numRef>
          </c:val>
          <c:smooth val="0"/>
          <c:extLst>
            <c:ext xmlns:c16="http://schemas.microsoft.com/office/drawing/2014/chart" uri="{C3380CC4-5D6E-409C-BE32-E72D297353CC}">
              <c16:uniqueId val="{00000007-3702-CE49-B855-FACAF4D40657}"/>
            </c:ext>
          </c:extLst>
        </c:ser>
        <c:dLbls>
          <c:showLegendKey val="0"/>
          <c:showVal val="0"/>
          <c:showCatName val="0"/>
          <c:showSerName val="0"/>
          <c:showPercent val="0"/>
          <c:showBubbleSize val="0"/>
        </c:dLbls>
        <c:marker val="1"/>
        <c:smooth val="0"/>
        <c:axId val="2021636095"/>
        <c:axId val="2031896319"/>
      </c:lineChart>
      <c:catAx>
        <c:axId val="202163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896319"/>
        <c:crosses val="autoZero"/>
        <c:auto val="1"/>
        <c:lblAlgn val="ctr"/>
        <c:lblOffset val="100"/>
        <c:noMultiLvlLbl val="0"/>
      </c:catAx>
      <c:valAx>
        <c:axId val="20318963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636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[hadoop.xlsx]Sheet1 (2)!PivotTable9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Email-EuAll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 (2)'!$B$3:$B$4</c:f>
              <c:strCache>
                <c:ptCount val="1"/>
                <c:pt idx="0">
                  <c:v>datanode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 (2)'!$A$5:$A$13</c:f>
              <c:strCache>
                <c:ptCount val="8"/>
                <c:pt idx="0">
                  <c:v>0</c:v>
                </c:pt>
                <c:pt idx="1">
                  <c:v>5</c:v>
                </c:pt>
                <c:pt idx="2">
                  <c:v>10</c:v>
                </c:pt>
                <c:pt idx="3">
                  <c:v>15</c:v>
                </c:pt>
                <c:pt idx="4">
                  <c:v>20</c:v>
                </c:pt>
                <c:pt idx="5">
                  <c:v>25</c:v>
                </c:pt>
                <c:pt idx="6">
                  <c:v>30</c:v>
                </c:pt>
                <c:pt idx="7">
                  <c:v>35</c:v>
                </c:pt>
              </c:strCache>
            </c:strRef>
          </c:cat>
          <c:val>
            <c:numRef>
              <c:f>'Sheet1 (2)'!$B$5:$B$13</c:f>
              <c:numCache>
                <c:formatCode>0.00</c:formatCode>
                <c:ptCount val="8"/>
                <c:pt idx="0">
                  <c:v>0</c:v>
                </c:pt>
                <c:pt idx="1">
                  <c:v>9.5367431640625</c:v>
                </c:pt>
                <c:pt idx="2">
                  <c:v>0</c:v>
                </c:pt>
                <c:pt idx="3">
                  <c:v>9.5367431640625</c:v>
                </c:pt>
                <c:pt idx="4">
                  <c:v>0</c:v>
                </c:pt>
                <c:pt idx="5">
                  <c:v>0</c:v>
                </c:pt>
                <c:pt idx="6">
                  <c:v>0</c:v>
                </c:pt>
                <c:pt idx="7">
                  <c:v>0</c:v>
                </c:pt>
              </c:numCache>
            </c:numRef>
          </c:val>
          <c:smooth val="0"/>
          <c:extLst>
            <c:ext xmlns:c16="http://schemas.microsoft.com/office/drawing/2014/chart" uri="{C3380CC4-5D6E-409C-BE32-E72D297353CC}">
              <c16:uniqueId val="{00000000-8A72-FC46-A90A-3D40C2C12DA4}"/>
            </c:ext>
          </c:extLst>
        </c:ser>
        <c:ser>
          <c:idx val="1"/>
          <c:order val="1"/>
          <c:tx>
            <c:strRef>
              <c:f>'Sheet1 (2)'!$C$3:$C$4</c:f>
              <c:strCache>
                <c:ptCount val="1"/>
                <c:pt idx="0">
                  <c:v>namenode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 (2)'!$A$5:$A$13</c:f>
              <c:strCache>
                <c:ptCount val="8"/>
                <c:pt idx="0">
                  <c:v>0</c:v>
                </c:pt>
                <c:pt idx="1">
                  <c:v>5</c:v>
                </c:pt>
                <c:pt idx="2">
                  <c:v>10</c:v>
                </c:pt>
                <c:pt idx="3">
                  <c:v>15</c:v>
                </c:pt>
                <c:pt idx="4">
                  <c:v>20</c:v>
                </c:pt>
                <c:pt idx="5">
                  <c:v>25</c:v>
                </c:pt>
                <c:pt idx="6">
                  <c:v>30</c:v>
                </c:pt>
                <c:pt idx="7">
                  <c:v>35</c:v>
                </c:pt>
              </c:strCache>
            </c:strRef>
          </c:cat>
          <c:val>
            <c:numRef>
              <c:f>'Sheet1 (2)'!$C$5:$C$13</c:f>
              <c:numCache>
                <c:formatCode>0.00</c:formatCode>
                <c:ptCount val="8"/>
                <c:pt idx="0">
                  <c:v>0</c:v>
                </c:pt>
                <c:pt idx="1">
                  <c:v>0</c:v>
                </c:pt>
                <c:pt idx="2">
                  <c:v>0</c:v>
                </c:pt>
                <c:pt idx="3">
                  <c:v>0</c:v>
                </c:pt>
                <c:pt idx="4">
                  <c:v>9.5367431640625E-2</c:v>
                </c:pt>
                <c:pt idx="5">
                  <c:v>0</c:v>
                </c:pt>
                <c:pt idx="6">
                  <c:v>0</c:v>
                </c:pt>
                <c:pt idx="7">
                  <c:v>0</c:v>
                </c:pt>
              </c:numCache>
            </c:numRef>
          </c:val>
          <c:smooth val="0"/>
          <c:extLst>
            <c:ext xmlns:c16="http://schemas.microsoft.com/office/drawing/2014/chart" uri="{C3380CC4-5D6E-409C-BE32-E72D297353CC}">
              <c16:uniqueId val="{00000001-8A72-FC46-A90A-3D40C2C12DA4}"/>
            </c:ext>
          </c:extLst>
        </c:ser>
        <c:ser>
          <c:idx val="2"/>
          <c:order val="2"/>
          <c:tx>
            <c:strRef>
              <c:f>'Sheet1 (2)'!$D$3:$D$4</c:f>
              <c:strCache>
                <c:ptCount val="1"/>
                <c:pt idx="0">
                  <c:v>nodemanager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'Sheet1 (2)'!$A$5:$A$13</c:f>
              <c:strCache>
                <c:ptCount val="8"/>
                <c:pt idx="0">
                  <c:v>0</c:v>
                </c:pt>
                <c:pt idx="1">
                  <c:v>5</c:v>
                </c:pt>
                <c:pt idx="2">
                  <c:v>10</c:v>
                </c:pt>
                <c:pt idx="3">
                  <c:v>15</c:v>
                </c:pt>
                <c:pt idx="4">
                  <c:v>20</c:v>
                </c:pt>
                <c:pt idx="5">
                  <c:v>25</c:v>
                </c:pt>
                <c:pt idx="6">
                  <c:v>30</c:v>
                </c:pt>
                <c:pt idx="7">
                  <c:v>35</c:v>
                </c:pt>
              </c:strCache>
            </c:strRef>
          </c:cat>
          <c:val>
            <c:numRef>
              <c:f>'Sheet1 (2)'!$D$5:$D$13</c:f>
              <c:numCache>
                <c:formatCode>0.00</c:formatCode>
                <c:ptCount val="8"/>
                <c:pt idx="0">
                  <c:v>0</c:v>
                </c:pt>
                <c:pt idx="1">
                  <c:v>0</c:v>
                </c:pt>
                <c:pt idx="2">
                  <c:v>0</c:v>
                </c:pt>
                <c:pt idx="3">
                  <c:v>9.5367431640625</c:v>
                </c:pt>
                <c:pt idx="4">
                  <c:v>0.95367431640625</c:v>
                </c:pt>
                <c:pt idx="5">
                  <c:v>0</c:v>
                </c:pt>
                <c:pt idx="6">
                  <c:v>0</c:v>
                </c:pt>
                <c:pt idx="7">
                  <c:v>0.95367431640625</c:v>
                </c:pt>
              </c:numCache>
            </c:numRef>
          </c:val>
          <c:smooth val="0"/>
          <c:extLst>
            <c:ext xmlns:c16="http://schemas.microsoft.com/office/drawing/2014/chart" uri="{C3380CC4-5D6E-409C-BE32-E72D297353CC}">
              <c16:uniqueId val="{00000002-8A72-FC46-A90A-3D40C2C12DA4}"/>
            </c:ext>
          </c:extLst>
        </c:ser>
        <c:ser>
          <c:idx val="3"/>
          <c:order val="3"/>
          <c:tx>
            <c:strRef>
              <c:f>'Sheet1 (2)'!$E$3:$E$4</c:f>
              <c:strCache>
                <c:ptCount val="1"/>
                <c:pt idx="0">
                  <c:v>resourcemanager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'Sheet1 (2)'!$A$5:$A$13</c:f>
              <c:strCache>
                <c:ptCount val="8"/>
                <c:pt idx="0">
                  <c:v>0</c:v>
                </c:pt>
                <c:pt idx="1">
                  <c:v>5</c:v>
                </c:pt>
                <c:pt idx="2">
                  <c:v>10</c:v>
                </c:pt>
                <c:pt idx="3">
                  <c:v>15</c:v>
                </c:pt>
                <c:pt idx="4">
                  <c:v>20</c:v>
                </c:pt>
                <c:pt idx="5">
                  <c:v>25</c:v>
                </c:pt>
                <c:pt idx="6">
                  <c:v>30</c:v>
                </c:pt>
                <c:pt idx="7">
                  <c:v>35</c:v>
                </c:pt>
              </c:strCache>
            </c:strRef>
          </c:cat>
          <c:val>
            <c:numRef>
              <c:f>'Sheet1 (2)'!$E$5:$E$13</c:f>
              <c:numCache>
                <c:formatCode>0.00</c:formatCode>
                <c:ptCount val="8"/>
                <c:pt idx="0">
                  <c:v>0</c:v>
                </c:pt>
                <c:pt idx="1">
                  <c:v>1.9073486328125E-2</c:v>
                </c:pt>
                <c:pt idx="2">
                  <c:v>1.811981201171875E-2</c:v>
                </c:pt>
                <c:pt idx="3">
                  <c:v>1.1444091796875E-2</c:v>
                </c:pt>
                <c:pt idx="4">
                  <c:v>1.52587890625E-2</c:v>
                </c:pt>
                <c:pt idx="5">
                  <c:v>2.193450927734375E-2</c:v>
                </c:pt>
                <c:pt idx="6">
                  <c:v>1.52587890625E-2</c:v>
                </c:pt>
                <c:pt idx="7">
                  <c:v>1.9073486328125E-3</c:v>
                </c:pt>
              </c:numCache>
            </c:numRef>
          </c:val>
          <c:smooth val="0"/>
          <c:extLst>
            <c:ext xmlns:c16="http://schemas.microsoft.com/office/drawing/2014/chart" uri="{C3380CC4-5D6E-409C-BE32-E72D297353CC}">
              <c16:uniqueId val="{00000003-8A72-FC46-A90A-3D40C2C12DA4}"/>
            </c:ext>
          </c:extLst>
        </c:ser>
        <c:dLbls>
          <c:showLegendKey val="0"/>
          <c:showVal val="0"/>
          <c:showCatName val="0"/>
          <c:showSerName val="0"/>
          <c:showPercent val="0"/>
          <c:showBubbleSize val="0"/>
        </c:dLbls>
        <c:marker val="1"/>
        <c:smooth val="0"/>
        <c:axId val="2021636095"/>
        <c:axId val="2031896319"/>
      </c:lineChart>
      <c:catAx>
        <c:axId val="202163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896319"/>
        <c:crosses val="autoZero"/>
        <c:auto val="1"/>
        <c:lblAlgn val="ctr"/>
        <c:lblOffset val="100"/>
        <c:noMultiLvlLbl val="0"/>
      </c:catAx>
      <c:valAx>
        <c:axId val="20318963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6360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[hadoop.xlsx]Sheet1 (3)!PivotTable9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cit-Patents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 (3)'!$B$3:$B$4</c:f>
              <c:strCache>
                <c:ptCount val="1"/>
                <c:pt idx="0">
                  <c:v>datanode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 (3)'!$A$5:$A$21</c:f>
              <c:strCache>
                <c:ptCount val="16"/>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strCache>
            </c:strRef>
          </c:cat>
          <c:val>
            <c:numRef>
              <c:f>'Sheet1 (3)'!$B$5:$B$21</c:f>
              <c:numCache>
                <c:formatCode>0.00</c:formatCode>
                <c:ptCount val="16"/>
                <c:pt idx="0">
                  <c:v>0</c:v>
                </c:pt>
                <c:pt idx="1">
                  <c:v>0</c:v>
                </c:pt>
                <c:pt idx="2">
                  <c:v>0</c:v>
                </c:pt>
                <c:pt idx="3">
                  <c:v>66.7572021484375</c:v>
                </c:pt>
                <c:pt idx="4">
                  <c:v>47.6837158203125</c:v>
                </c:pt>
                <c:pt idx="5">
                  <c:v>28.6102294921875</c:v>
                </c:pt>
                <c:pt idx="6">
                  <c:v>0</c:v>
                </c:pt>
                <c:pt idx="7">
                  <c:v>57.220458984375</c:v>
                </c:pt>
                <c:pt idx="8">
                  <c:v>47.6837158203125</c:v>
                </c:pt>
                <c:pt idx="9">
                  <c:v>28.6102294921875</c:v>
                </c:pt>
                <c:pt idx="10">
                  <c:v>19.073486328125</c:v>
                </c:pt>
                <c:pt idx="11">
                  <c:v>19.073486328125</c:v>
                </c:pt>
                <c:pt idx="12">
                  <c:v>0</c:v>
                </c:pt>
                <c:pt idx="13">
                  <c:v>0</c:v>
                </c:pt>
                <c:pt idx="14">
                  <c:v>28.6102294921875</c:v>
                </c:pt>
                <c:pt idx="15">
                  <c:v>0</c:v>
                </c:pt>
              </c:numCache>
            </c:numRef>
          </c:val>
          <c:smooth val="0"/>
          <c:extLst>
            <c:ext xmlns:c16="http://schemas.microsoft.com/office/drawing/2014/chart" uri="{C3380CC4-5D6E-409C-BE32-E72D297353CC}">
              <c16:uniqueId val="{00000000-80B2-FD4C-85AE-9E0146DE2E33}"/>
            </c:ext>
          </c:extLst>
        </c:ser>
        <c:ser>
          <c:idx val="1"/>
          <c:order val="1"/>
          <c:tx>
            <c:strRef>
              <c:f>'Sheet1 (3)'!$C$3:$C$4</c:f>
              <c:strCache>
                <c:ptCount val="1"/>
                <c:pt idx="0">
                  <c:v>namenode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 (3)'!$A$5:$A$21</c:f>
              <c:strCache>
                <c:ptCount val="16"/>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strCache>
            </c:strRef>
          </c:cat>
          <c:val>
            <c:numRef>
              <c:f>'Sheet1 (3)'!$C$5:$C$21</c:f>
              <c:numCache>
                <c:formatCode>0.00</c:formatCode>
                <c:ptCount val="16"/>
                <c:pt idx="0">
                  <c:v>0</c:v>
                </c:pt>
                <c:pt idx="1">
                  <c:v>0</c:v>
                </c:pt>
                <c:pt idx="2">
                  <c:v>0</c:v>
                </c:pt>
                <c:pt idx="3">
                  <c:v>0</c:v>
                </c:pt>
                <c:pt idx="4">
                  <c:v>0</c:v>
                </c:pt>
                <c:pt idx="5">
                  <c:v>0</c:v>
                </c:pt>
                <c:pt idx="6">
                  <c:v>0</c:v>
                </c:pt>
                <c:pt idx="7">
                  <c:v>0</c:v>
                </c:pt>
                <c:pt idx="8">
                  <c:v>9.5367431640625E-2</c:v>
                </c:pt>
                <c:pt idx="9">
                  <c:v>0</c:v>
                </c:pt>
                <c:pt idx="10">
                  <c:v>0</c:v>
                </c:pt>
                <c:pt idx="11">
                  <c:v>0</c:v>
                </c:pt>
                <c:pt idx="12">
                  <c:v>0</c:v>
                </c:pt>
                <c:pt idx="13">
                  <c:v>0</c:v>
                </c:pt>
                <c:pt idx="14">
                  <c:v>9.5367431640625E-2</c:v>
                </c:pt>
                <c:pt idx="15">
                  <c:v>0</c:v>
                </c:pt>
              </c:numCache>
            </c:numRef>
          </c:val>
          <c:smooth val="0"/>
          <c:extLst>
            <c:ext xmlns:c16="http://schemas.microsoft.com/office/drawing/2014/chart" uri="{C3380CC4-5D6E-409C-BE32-E72D297353CC}">
              <c16:uniqueId val="{00000001-80B2-FD4C-85AE-9E0146DE2E33}"/>
            </c:ext>
          </c:extLst>
        </c:ser>
        <c:ser>
          <c:idx val="2"/>
          <c:order val="2"/>
          <c:tx>
            <c:strRef>
              <c:f>'Sheet1 (3)'!$D$3:$D$4</c:f>
              <c:strCache>
                <c:ptCount val="1"/>
                <c:pt idx="0">
                  <c:v>nodemanager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'Sheet1 (3)'!$A$5:$A$21</c:f>
              <c:strCache>
                <c:ptCount val="16"/>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strCache>
            </c:strRef>
          </c:cat>
          <c:val>
            <c:numRef>
              <c:f>'Sheet1 (3)'!$D$5:$D$21</c:f>
              <c:numCache>
                <c:formatCode>0.00</c:formatCode>
                <c:ptCount val="16"/>
                <c:pt idx="0">
                  <c:v>0</c:v>
                </c:pt>
                <c:pt idx="1">
                  <c:v>0</c:v>
                </c:pt>
                <c:pt idx="2">
                  <c:v>0</c:v>
                </c:pt>
                <c:pt idx="3">
                  <c:v>66.7572021484375</c:v>
                </c:pt>
                <c:pt idx="4">
                  <c:v>48.63739013671875</c:v>
                </c:pt>
                <c:pt idx="5">
                  <c:v>28.6102294921875</c:v>
                </c:pt>
                <c:pt idx="6">
                  <c:v>0</c:v>
                </c:pt>
                <c:pt idx="7">
                  <c:v>57.220458984374545</c:v>
                </c:pt>
                <c:pt idx="8">
                  <c:v>57.220458984375455</c:v>
                </c:pt>
                <c:pt idx="9">
                  <c:v>19.073486328125</c:v>
                </c:pt>
                <c:pt idx="10">
                  <c:v>6.67572021484375</c:v>
                </c:pt>
                <c:pt idx="11">
                  <c:v>25.74920654296875</c:v>
                </c:pt>
                <c:pt idx="12">
                  <c:v>0</c:v>
                </c:pt>
                <c:pt idx="13">
                  <c:v>0</c:v>
                </c:pt>
                <c:pt idx="14">
                  <c:v>28.6102294921875</c:v>
                </c:pt>
                <c:pt idx="15">
                  <c:v>0</c:v>
                </c:pt>
              </c:numCache>
            </c:numRef>
          </c:val>
          <c:smooth val="0"/>
          <c:extLst>
            <c:ext xmlns:c16="http://schemas.microsoft.com/office/drawing/2014/chart" uri="{C3380CC4-5D6E-409C-BE32-E72D297353CC}">
              <c16:uniqueId val="{00000002-80B2-FD4C-85AE-9E0146DE2E33}"/>
            </c:ext>
          </c:extLst>
        </c:ser>
        <c:ser>
          <c:idx val="3"/>
          <c:order val="3"/>
          <c:tx>
            <c:strRef>
              <c:f>'Sheet1 (3)'!$E$3:$E$4</c:f>
              <c:strCache>
                <c:ptCount val="1"/>
                <c:pt idx="0">
                  <c:v>resourcemanager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'Sheet1 (3)'!$A$5:$A$21</c:f>
              <c:strCache>
                <c:ptCount val="16"/>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strCache>
            </c:strRef>
          </c:cat>
          <c:val>
            <c:numRef>
              <c:f>'Sheet1 (3)'!$E$5:$E$21</c:f>
              <c:numCache>
                <c:formatCode>0.00</c:formatCode>
                <c:ptCount val="16"/>
                <c:pt idx="0">
                  <c:v>0</c:v>
                </c:pt>
                <c:pt idx="1">
                  <c:v>1.9073486328125E-2</c:v>
                </c:pt>
                <c:pt idx="2">
                  <c:v>1.9073486328125E-2</c:v>
                </c:pt>
                <c:pt idx="3">
                  <c:v>1.1444091796875E-2</c:v>
                </c:pt>
                <c:pt idx="4">
                  <c:v>1.9073486328125E-3</c:v>
                </c:pt>
                <c:pt idx="5">
                  <c:v>1.049041748046875E-2</c:v>
                </c:pt>
                <c:pt idx="6">
                  <c:v>1.239776611328125E-2</c:v>
                </c:pt>
                <c:pt idx="7">
                  <c:v>1.9073486328125E-3</c:v>
                </c:pt>
                <c:pt idx="8">
                  <c:v>1.049041748046875E-2</c:v>
                </c:pt>
                <c:pt idx="9">
                  <c:v>1.1444091796875E-2</c:v>
                </c:pt>
                <c:pt idx="10">
                  <c:v>1.239776611328125E-2</c:v>
                </c:pt>
                <c:pt idx="11">
                  <c:v>1.9073486328125E-3</c:v>
                </c:pt>
                <c:pt idx="12">
                  <c:v>2.47955322265625E-2</c:v>
                </c:pt>
                <c:pt idx="13">
                  <c:v>1.52587890625E-2</c:v>
                </c:pt>
                <c:pt idx="14">
                  <c:v>1.1444091796875E-2</c:v>
                </c:pt>
                <c:pt idx="15">
                  <c:v>1.1444091796875E-2</c:v>
                </c:pt>
              </c:numCache>
            </c:numRef>
          </c:val>
          <c:smooth val="0"/>
          <c:extLst>
            <c:ext xmlns:c16="http://schemas.microsoft.com/office/drawing/2014/chart" uri="{C3380CC4-5D6E-409C-BE32-E72D297353CC}">
              <c16:uniqueId val="{00000003-80B2-FD4C-85AE-9E0146DE2E33}"/>
            </c:ext>
          </c:extLst>
        </c:ser>
        <c:dLbls>
          <c:showLegendKey val="0"/>
          <c:showVal val="0"/>
          <c:showCatName val="0"/>
          <c:showSerName val="0"/>
          <c:showPercent val="0"/>
          <c:showBubbleSize val="0"/>
        </c:dLbls>
        <c:marker val="1"/>
        <c:smooth val="0"/>
        <c:axId val="2021636095"/>
        <c:axId val="2031896319"/>
      </c:lineChart>
      <c:catAx>
        <c:axId val="202163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896319"/>
        <c:crosses val="autoZero"/>
        <c:auto val="1"/>
        <c:lblAlgn val="ctr"/>
        <c:lblOffset val="100"/>
        <c:noMultiLvlLbl val="0"/>
      </c:catAx>
      <c:valAx>
        <c:axId val="20318963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6360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[hadoop.xlsx]Sheet1 (4)!PivotTable9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soc-pokec-relationships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 (4)'!$B$3:$B$4</c:f>
              <c:strCache>
                <c:ptCount val="1"/>
                <c:pt idx="0">
                  <c:v>datanode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 (4)'!$A$5:$A$27</c:f>
              <c:strCache>
                <c:ptCount val="22"/>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strCache>
            </c:strRef>
          </c:cat>
          <c:val>
            <c:numRef>
              <c:f>'Sheet1 (4)'!$B$5:$B$27</c:f>
              <c:numCache>
                <c:formatCode>0.00</c:formatCode>
                <c:ptCount val="22"/>
                <c:pt idx="0">
                  <c:v>0</c:v>
                </c:pt>
                <c:pt idx="1">
                  <c:v>0</c:v>
                </c:pt>
                <c:pt idx="2">
                  <c:v>9.5367431640625</c:v>
                </c:pt>
                <c:pt idx="3">
                  <c:v>47.6837158203125</c:v>
                </c:pt>
                <c:pt idx="4">
                  <c:v>38.14697265625</c:v>
                </c:pt>
                <c:pt idx="5">
                  <c:v>47.6837158203125</c:v>
                </c:pt>
                <c:pt idx="6">
                  <c:v>0</c:v>
                </c:pt>
                <c:pt idx="7">
                  <c:v>47.6837158203125</c:v>
                </c:pt>
                <c:pt idx="8">
                  <c:v>38.14697265625</c:v>
                </c:pt>
                <c:pt idx="9">
                  <c:v>38.14697265625</c:v>
                </c:pt>
                <c:pt idx="10">
                  <c:v>0</c:v>
                </c:pt>
                <c:pt idx="11">
                  <c:v>57.220458984375</c:v>
                </c:pt>
                <c:pt idx="12">
                  <c:v>47.6837158203125</c:v>
                </c:pt>
                <c:pt idx="13">
                  <c:v>28.6102294921875</c:v>
                </c:pt>
                <c:pt idx="14">
                  <c:v>0</c:v>
                </c:pt>
                <c:pt idx="15">
                  <c:v>19.073486328125</c:v>
                </c:pt>
                <c:pt idx="16">
                  <c:v>9.5367431640625</c:v>
                </c:pt>
                <c:pt idx="17">
                  <c:v>0</c:v>
                </c:pt>
                <c:pt idx="18">
                  <c:v>0</c:v>
                </c:pt>
                <c:pt idx="19">
                  <c:v>0</c:v>
                </c:pt>
                <c:pt idx="20">
                  <c:v>19.073486328125</c:v>
                </c:pt>
                <c:pt idx="21">
                  <c:v>0</c:v>
                </c:pt>
              </c:numCache>
            </c:numRef>
          </c:val>
          <c:smooth val="0"/>
          <c:extLst>
            <c:ext xmlns:c16="http://schemas.microsoft.com/office/drawing/2014/chart" uri="{C3380CC4-5D6E-409C-BE32-E72D297353CC}">
              <c16:uniqueId val="{00000000-9885-2548-945A-23E462AE697D}"/>
            </c:ext>
          </c:extLst>
        </c:ser>
        <c:ser>
          <c:idx val="1"/>
          <c:order val="1"/>
          <c:tx>
            <c:strRef>
              <c:f>'Sheet1 (4)'!$C$3:$C$4</c:f>
              <c:strCache>
                <c:ptCount val="1"/>
                <c:pt idx="0">
                  <c:v>namenode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 (4)'!$A$5:$A$27</c:f>
              <c:strCache>
                <c:ptCount val="22"/>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strCache>
            </c:strRef>
          </c:cat>
          <c:val>
            <c:numRef>
              <c:f>'Sheet1 (4)'!$C$5:$C$27</c:f>
              <c:numCache>
                <c:formatCode>0.00</c:formatCode>
                <c:ptCount val="22"/>
                <c:pt idx="0">
                  <c:v>0</c:v>
                </c:pt>
                <c:pt idx="1">
                  <c:v>0</c:v>
                </c:pt>
                <c:pt idx="2">
                  <c:v>0</c:v>
                </c:pt>
                <c:pt idx="3">
                  <c:v>0</c:v>
                </c:pt>
                <c:pt idx="4">
                  <c:v>9.5367431640625E-2</c:v>
                </c:pt>
                <c:pt idx="5">
                  <c:v>0</c:v>
                </c:pt>
                <c:pt idx="6">
                  <c:v>0</c:v>
                </c:pt>
                <c:pt idx="7">
                  <c:v>0</c:v>
                </c:pt>
                <c:pt idx="8">
                  <c:v>0</c:v>
                </c:pt>
                <c:pt idx="9">
                  <c:v>0</c:v>
                </c:pt>
                <c:pt idx="10">
                  <c:v>0</c:v>
                </c:pt>
                <c:pt idx="11">
                  <c:v>0</c:v>
                </c:pt>
                <c:pt idx="12">
                  <c:v>0</c:v>
                </c:pt>
                <c:pt idx="13">
                  <c:v>0</c:v>
                </c:pt>
                <c:pt idx="14">
                  <c:v>0</c:v>
                </c:pt>
                <c:pt idx="15">
                  <c:v>0</c:v>
                </c:pt>
                <c:pt idx="16">
                  <c:v>9.5367431640625E-2</c:v>
                </c:pt>
                <c:pt idx="17">
                  <c:v>0</c:v>
                </c:pt>
                <c:pt idx="18">
                  <c:v>0</c:v>
                </c:pt>
                <c:pt idx="19">
                  <c:v>0</c:v>
                </c:pt>
                <c:pt idx="20">
                  <c:v>0</c:v>
                </c:pt>
                <c:pt idx="21">
                  <c:v>9.5367431640625E-2</c:v>
                </c:pt>
              </c:numCache>
            </c:numRef>
          </c:val>
          <c:smooth val="0"/>
          <c:extLst>
            <c:ext xmlns:c16="http://schemas.microsoft.com/office/drawing/2014/chart" uri="{C3380CC4-5D6E-409C-BE32-E72D297353CC}">
              <c16:uniqueId val="{00000001-9885-2548-945A-23E462AE697D}"/>
            </c:ext>
          </c:extLst>
        </c:ser>
        <c:ser>
          <c:idx val="2"/>
          <c:order val="2"/>
          <c:tx>
            <c:strRef>
              <c:f>'Sheet1 (4)'!$D$3:$D$4</c:f>
              <c:strCache>
                <c:ptCount val="1"/>
                <c:pt idx="0">
                  <c:v>nodemanager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'Sheet1 (4)'!$A$5:$A$27</c:f>
              <c:strCache>
                <c:ptCount val="22"/>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strCache>
            </c:strRef>
          </c:cat>
          <c:val>
            <c:numRef>
              <c:f>'Sheet1 (4)'!$D$5:$D$27</c:f>
              <c:numCache>
                <c:formatCode>0.00</c:formatCode>
                <c:ptCount val="22"/>
                <c:pt idx="0">
                  <c:v>0</c:v>
                </c:pt>
                <c:pt idx="1">
                  <c:v>0</c:v>
                </c:pt>
                <c:pt idx="2">
                  <c:v>0</c:v>
                </c:pt>
                <c:pt idx="3">
                  <c:v>47.6837158203125</c:v>
                </c:pt>
                <c:pt idx="4">
                  <c:v>38.14697265625</c:v>
                </c:pt>
                <c:pt idx="5">
                  <c:v>48.63739013671875</c:v>
                </c:pt>
                <c:pt idx="6">
                  <c:v>0</c:v>
                </c:pt>
                <c:pt idx="7">
                  <c:v>47.6837158203125</c:v>
                </c:pt>
                <c:pt idx="8">
                  <c:v>47.6837158203125</c:v>
                </c:pt>
                <c:pt idx="9">
                  <c:v>29.56390380859375</c:v>
                </c:pt>
                <c:pt idx="10">
                  <c:v>0</c:v>
                </c:pt>
                <c:pt idx="11">
                  <c:v>57.220458984375</c:v>
                </c:pt>
                <c:pt idx="12">
                  <c:v>47.6837158203125</c:v>
                </c:pt>
                <c:pt idx="13">
                  <c:v>28.6102294921875</c:v>
                </c:pt>
                <c:pt idx="14">
                  <c:v>0</c:v>
                </c:pt>
                <c:pt idx="15">
                  <c:v>19.073486328125</c:v>
                </c:pt>
                <c:pt idx="16">
                  <c:v>8.58306884765625</c:v>
                </c:pt>
                <c:pt idx="17">
                  <c:v>6.67572021484375</c:v>
                </c:pt>
                <c:pt idx="18">
                  <c:v>0</c:v>
                </c:pt>
                <c:pt idx="19">
                  <c:v>0</c:v>
                </c:pt>
                <c:pt idx="20">
                  <c:v>19.073486328125</c:v>
                </c:pt>
                <c:pt idx="21">
                  <c:v>0</c:v>
                </c:pt>
              </c:numCache>
            </c:numRef>
          </c:val>
          <c:smooth val="0"/>
          <c:extLst>
            <c:ext xmlns:c16="http://schemas.microsoft.com/office/drawing/2014/chart" uri="{C3380CC4-5D6E-409C-BE32-E72D297353CC}">
              <c16:uniqueId val="{00000002-9885-2548-945A-23E462AE697D}"/>
            </c:ext>
          </c:extLst>
        </c:ser>
        <c:ser>
          <c:idx val="3"/>
          <c:order val="3"/>
          <c:tx>
            <c:strRef>
              <c:f>'Sheet1 (4)'!$E$3:$E$4</c:f>
              <c:strCache>
                <c:ptCount val="1"/>
                <c:pt idx="0">
                  <c:v>resourcemanager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'Sheet1 (4)'!$A$5:$A$27</c:f>
              <c:strCache>
                <c:ptCount val="22"/>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strCache>
            </c:strRef>
          </c:cat>
          <c:val>
            <c:numRef>
              <c:f>'Sheet1 (4)'!$E$5:$E$27</c:f>
              <c:numCache>
                <c:formatCode>0.00</c:formatCode>
                <c:ptCount val="22"/>
                <c:pt idx="0">
                  <c:v>0</c:v>
                </c:pt>
                <c:pt idx="1">
                  <c:v>2.09808349609375E-2</c:v>
                </c:pt>
                <c:pt idx="2">
                  <c:v>6.67572021484375E-3</c:v>
                </c:pt>
                <c:pt idx="3">
                  <c:v>1.1444091796875E-2</c:v>
                </c:pt>
                <c:pt idx="4">
                  <c:v>1.1444091796875E-2</c:v>
                </c:pt>
                <c:pt idx="5">
                  <c:v>1.9073486328125E-3</c:v>
                </c:pt>
                <c:pt idx="6">
                  <c:v>1.239776611328125E-2</c:v>
                </c:pt>
                <c:pt idx="7">
                  <c:v>1.049041748046875E-2</c:v>
                </c:pt>
                <c:pt idx="8">
                  <c:v>1.1444091796875E-2</c:v>
                </c:pt>
                <c:pt idx="9">
                  <c:v>1.9073486328125E-3</c:v>
                </c:pt>
                <c:pt idx="10">
                  <c:v>1.239776611328125E-2</c:v>
                </c:pt>
                <c:pt idx="11">
                  <c:v>1.049041748046875E-2</c:v>
                </c:pt>
                <c:pt idx="12">
                  <c:v>2.86102294921875E-3</c:v>
                </c:pt>
                <c:pt idx="13">
                  <c:v>1.1444091796875E-2</c:v>
                </c:pt>
                <c:pt idx="14">
                  <c:v>1.1444091796875E-2</c:v>
                </c:pt>
                <c:pt idx="15">
                  <c:v>1.1444091796875E-2</c:v>
                </c:pt>
                <c:pt idx="16">
                  <c:v>1.9073486328125E-3</c:v>
                </c:pt>
                <c:pt idx="17">
                  <c:v>1.1444091796875E-2</c:v>
                </c:pt>
                <c:pt idx="18">
                  <c:v>2.574920654296875E-2</c:v>
                </c:pt>
                <c:pt idx="19">
                  <c:v>1.52587890625E-2</c:v>
                </c:pt>
                <c:pt idx="20">
                  <c:v>1.1444091796875E-2</c:v>
                </c:pt>
                <c:pt idx="21">
                  <c:v>2.86102294921875E-3</c:v>
                </c:pt>
              </c:numCache>
            </c:numRef>
          </c:val>
          <c:smooth val="0"/>
          <c:extLst>
            <c:ext xmlns:c16="http://schemas.microsoft.com/office/drawing/2014/chart" uri="{C3380CC4-5D6E-409C-BE32-E72D297353CC}">
              <c16:uniqueId val="{00000003-9885-2548-945A-23E462AE697D}"/>
            </c:ext>
          </c:extLst>
        </c:ser>
        <c:dLbls>
          <c:showLegendKey val="0"/>
          <c:showVal val="0"/>
          <c:showCatName val="0"/>
          <c:showSerName val="0"/>
          <c:showPercent val="0"/>
          <c:showBubbleSize val="0"/>
        </c:dLbls>
        <c:marker val="1"/>
        <c:smooth val="0"/>
        <c:axId val="2021636095"/>
        <c:axId val="2031896319"/>
      </c:lineChart>
      <c:catAx>
        <c:axId val="202163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896319"/>
        <c:crosses val="autoZero"/>
        <c:auto val="1"/>
        <c:lblAlgn val="ctr"/>
        <c:lblOffset val="100"/>
        <c:noMultiLvlLbl val="0"/>
      </c:catAx>
      <c:valAx>
        <c:axId val="20318963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6360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[hadoop.xlsx]Sheet1 (5)!PivotTable9</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soc-LiveJournal1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 (5)'!$B$3:$B$4</c:f>
              <c:strCache>
                <c:ptCount val="1"/>
                <c:pt idx="0">
                  <c:v>datanode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 (5)'!$A$5:$A$46</c:f>
              <c:strCache>
                <c:ptCount val="41"/>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c:v>
                </c:pt>
                <c:pt idx="32">
                  <c:v>160</c:v>
                </c:pt>
                <c:pt idx="33">
                  <c:v>165</c:v>
                </c:pt>
                <c:pt idx="34">
                  <c:v>170</c:v>
                </c:pt>
                <c:pt idx="35">
                  <c:v>175</c:v>
                </c:pt>
                <c:pt idx="36">
                  <c:v>180</c:v>
                </c:pt>
                <c:pt idx="37">
                  <c:v>185</c:v>
                </c:pt>
                <c:pt idx="38">
                  <c:v>190</c:v>
                </c:pt>
                <c:pt idx="39">
                  <c:v>195</c:v>
                </c:pt>
                <c:pt idx="40">
                  <c:v>200</c:v>
                </c:pt>
              </c:strCache>
            </c:strRef>
          </c:cat>
          <c:val>
            <c:numRef>
              <c:f>'Sheet1 (5)'!$B$5:$B$46</c:f>
              <c:numCache>
                <c:formatCode>0.00</c:formatCode>
                <c:ptCount val="41"/>
                <c:pt idx="0">
                  <c:v>0</c:v>
                </c:pt>
                <c:pt idx="1">
                  <c:v>0</c:v>
                </c:pt>
                <c:pt idx="2">
                  <c:v>9.5367431640625</c:v>
                </c:pt>
                <c:pt idx="3">
                  <c:v>57.220458984375</c:v>
                </c:pt>
                <c:pt idx="4">
                  <c:v>47.6837158203125</c:v>
                </c:pt>
                <c:pt idx="5">
                  <c:v>28.6102294921875</c:v>
                </c:pt>
                <c:pt idx="6">
                  <c:v>28.6102294921875</c:v>
                </c:pt>
                <c:pt idx="7">
                  <c:v>57.220458984375</c:v>
                </c:pt>
                <c:pt idx="8">
                  <c:v>47.6837158203125</c:v>
                </c:pt>
                <c:pt idx="9">
                  <c:v>0</c:v>
                </c:pt>
                <c:pt idx="10">
                  <c:v>19.073486328125</c:v>
                </c:pt>
                <c:pt idx="11">
                  <c:v>85.8306884765625</c:v>
                </c:pt>
                <c:pt idx="12">
                  <c:v>28.6102294921875</c:v>
                </c:pt>
                <c:pt idx="13">
                  <c:v>0</c:v>
                </c:pt>
                <c:pt idx="14">
                  <c:v>47.6837158203125</c:v>
                </c:pt>
                <c:pt idx="15">
                  <c:v>47.6837158203125</c:v>
                </c:pt>
                <c:pt idx="16">
                  <c:v>28.6102294921875</c:v>
                </c:pt>
                <c:pt idx="17">
                  <c:v>0</c:v>
                </c:pt>
                <c:pt idx="18">
                  <c:v>57.220458984375</c:v>
                </c:pt>
                <c:pt idx="19">
                  <c:v>47.6837158203125</c:v>
                </c:pt>
                <c:pt idx="20">
                  <c:v>28.6102294921875</c:v>
                </c:pt>
                <c:pt idx="21">
                  <c:v>0</c:v>
                </c:pt>
                <c:pt idx="22">
                  <c:v>66.7572021484375</c:v>
                </c:pt>
                <c:pt idx="23">
                  <c:v>66.7572021484375</c:v>
                </c:pt>
                <c:pt idx="24">
                  <c:v>0</c:v>
                </c:pt>
                <c:pt idx="25">
                  <c:v>57.220458984375</c:v>
                </c:pt>
                <c:pt idx="26">
                  <c:v>47.6837158203125</c:v>
                </c:pt>
                <c:pt idx="27">
                  <c:v>19.073486328125</c:v>
                </c:pt>
                <c:pt idx="28">
                  <c:v>0</c:v>
                </c:pt>
                <c:pt idx="29">
                  <c:v>66.7572021484375</c:v>
                </c:pt>
                <c:pt idx="30">
                  <c:v>57.220458984375</c:v>
                </c:pt>
                <c:pt idx="31">
                  <c:v>9.5367431640625</c:v>
                </c:pt>
                <c:pt idx="32">
                  <c:v>0</c:v>
                </c:pt>
                <c:pt idx="33">
                  <c:v>9.5367431640625</c:v>
                </c:pt>
                <c:pt idx="34">
                  <c:v>19.073486328125</c:v>
                </c:pt>
                <c:pt idx="35">
                  <c:v>9.5367431640625</c:v>
                </c:pt>
                <c:pt idx="36">
                  <c:v>9.5367431640625</c:v>
                </c:pt>
                <c:pt idx="37">
                  <c:v>0</c:v>
                </c:pt>
                <c:pt idx="38">
                  <c:v>9.5367431640625</c:v>
                </c:pt>
                <c:pt idx="39">
                  <c:v>38.14697265625</c:v>
                </c:pt>
                <c:pt idx="40">
                  <c:v>0</c:v>
                </c:pt>
              </c:numCache>
            </c:numRef>
          </c:val>
          <c:smooth val="0"/>
          <c:extLst>
            <c:ext xmlns:c16="http://schemas.microsoft.com/office/drawing/2014/chart" uri="{C3380CC4-5D6E-409C-BE32-E72D297353CC}">
              <c16:uniqueId val="{00000000-58F0-B840-A1CC-9528B6163466}"/>
            </c:ext>
          </c:extLst>
        </c:ser>
        <c:ser>
          <c:idx val="1"/>
          <c:order val="1"/>
          <c:tx>
            <c:strRef>
              <c:f>'Sheet1 (5)'!$C$3:$C$4</c:f>
              <c:strCache>
                <c:ptCount val="1"/>
                <c:pt idx="0">
                  <c:v>namenode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 (5)'!$A$5:$A$46</c:f>
              <c:strCache>
                <c:ptCount val="41"/>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c:v>
                </c:pt>
                <c:pt idx="32">
                  <c:v>160</c:v>
                </c:pt>
                <c:pt idx="33">
                  <c:v>165</c:v>
                </c:pt>
                <c:pt idx="34">
                  <c:v>170</c:v>
                </c:pt>
                <c:pt idx="35">
                  <c:v>175</c:v>
                </c:pt>
                <c:pt idx="36">
                  <c:v>180</c:v>
                </c:pt>
                <c:pt idx="37">
                  <c:v>185</c:v>
                </c:pt>
                <c:pt idx="38">
                  <c:v>190</c:v>
                </c:pt>
                <c:pt idx="39">
                  <c:v>195</c:v>
                </c:pt>
                <c:pt idx="40">
                  <c:v>200</c:v>
                </c:pt>
              </c:strCache>
            </c:strRef>
          </c:cat>
          <c:val>
            <c:numRef>
              <c:f>'Sheet1 (5)'!$C$5:$C$46</c:f>
              <c:numCache>
                <c:formatCode>0.00</c:formatCode>
                <c:ptCount val="41"/>
                <c:pt idx="0">
                  <c:v>0</c:v>
                </c:pt>
                <c:pt idx="1">
                  <c:v>9.5367431640625E-2</c:v>
                </c:pt>
                <c:pt idx="2">
                  <c:v>0</c:v>
                </c:pt>
                <c:pt idx="3">
                  <c:v>0</c:v>
                </c:pt>
                <c:pt idx="4">
                  <c:v>0</c:v>
                </c:pt>
                <c:pt idx="5">
                  <c:v>0</c:v>
                </c:pt>
                <c:pt idx="6">
                  <c:v>0</c:v>
                </c:pt>
                <c:pt idx="7">
                  <c:v>0</c:v>
                </c:pt>
                <c:pt idx="8">
                  <c:v>0</c:v>
                </c:pt>
                <c:pt idx="9">
                  <c:v>0</c:v>
                </c:pt>
                <c:pt idx="10">
                  <c:v>0</c:v>
                </c:pt>
                <c:pt idx="11">
                  <c:v>0</c:v>
                </c:pt>
                <c:pt idx="12">
                  <c:v>9.5367431640625E-2</c:v>
                </c:pt>
                <c:pt idx="13">
                  <c:v>0</c:v>
                </c:pt>
                <c:pt idx="14">
                  <c:v>0</c:v>
                </c:pt>
                <c:pt idx="15">
                  <c:v>0</c:v>
                </c:pt>
                <c:pt idx="16">
                  <c:v>0</c:v>
                </c:pt>
                <c:pt idx="17">
                  <c:v>0</c:v>
                </c:pt>
                <c:pt idx="18">
                  <c:v>0</c:v>
                </c:pt>
                <c:pt idx="19">
                  <c:v>0</c:v>
                </c:pt>
                <c:pt idx="20">
                  <c:v>0</c:v>
                </c:pt>
                <c:pt idx="21">
                  <c:v>0</c:v>
                </c:pt>
                <c:pt idx="22">
                  <c:v>0</c:v>
                </c:pt>
                <c:pt idx="23">
                  <c:v>0</c:v>
                </c:pt>
                <c:pt idx="24">
                  <c:v>9.5367431640625E-2</c:v>
                </c:pt>
                <c:pt idx="25">
                  <c:v>0</c:v>
                </c:pt>
                <c:pt idx="26">
                  <c:v>0</c:v>
                </c:pt>
                <c:pt idx="27">
                  <c:v>0</c:v>
                </c:pt>
                <c:pt idx="28">
                  <c:v>0</c:v>
                </c:pt>
                <c:pt idx="29">
                  <c:v>0</c:v>
                </c:pt>
                <c:pt idx="30">
                  <c:v>0</c:v>
                </c:pt>
                <c:pt idx="31">
                  <c:v>0</c:v>
                </c:pt>
                <c:pt idx="32">
                  <c:v>0</c:v>
                </c:pt>
                <c:pt idx="33">
                  <c:v>0</c:v>
                </c:pt>
                <c:pt idx="34">
                  <c:v>0</c:v>
                </c:pt>
                <c:pt idx="35">
                  <c:v>0</c:v>
                </c:pt>
                <c:pt idx="36">
                  <c:v>9.5367431640625E-2</c:v>
                </c:pt>
                <c:pt idx="37">
                  <c:v>0</c:v>
                </c:pt>
                <c:pt idx="38">
                  <c:v>0</c:v>
                </c:pt>
                <c:pt idx="39">
                  <c:v>0</c:v>
                </c:pt>
                <c:pt idx="40">
                  <c:v>0</c:v>
                </c:pt>
              </c:numCache>
            </c:numRef>
          </c:val>
          <c:smooth val="0"/>
          <c:extLst>
            <c:ext xmlns:c16="http://schemas.microsoft.com/office/drawing/2014/chart" uri="{C3380CC4-5D6E-409C-BE32-E72D297353CC}">
              <c16:uniqueId val="{00000001-58F0-B840-A1CC-9528B6163466}"/>
            </c:ext>
          </c:extLst>
        </c:ser>
        <c:ser>
          <c:idx val="2"/>
          <c:order val="2"/>
          <c:tx>
            <c:strRef>
              <c:f>'Sheet1 (5)'!$D$3:$D$4</c:f>
              <c:strCache>
                <c:ptCount val="1"/>
                <c:pt idx="0">
                  <c:v>nodemanager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'Sheet1 (5)'!$A$5:$A$46</c:f>
              <c:strCache>
                <c:ptCount val="41"/>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c:v>
                </c:pt>
                <c:pt idx="32">
                  <c:v>160</c:v>
                </c:pt>
                <c:pt idx="33">
                  <c:v>165</c:v>
                </c:pt>
                <c:pt idx="34">
                  <c:v>170</c:v>
                </c:pt>
                <c:pt idx="35">
                  <c:v>175</c:v>
                </c:pt>
                <c:pt idx="36">
                  <c:v>180</c:v>
                </c:pt>
                <c:pt idx="37">
                  <c:v>185</c:v>
                </c:pt>
                <c:pt idx="38">
                  <c:v>190</c:v>
                </c:pt>
                <c:pt idx="39">
                  <c:v>195</c:v>
                </c:pt>
                <c:pt idx="40">
                  <c:v>200</c:v>
                </c:pt>
              </c:strCache>
            </c:strRef>
          </c:cat>
          <c:val>
            <c:numRef>
              <c:f>'Sheet1 (5)'!$D$5:$D$46</c:f>
              <c:numCache>
                <c:formatCode>0.00</c:formatCode>
                <c:ptCount val="41"/>
                <c:pt idx="0">
                  <c:v>0</c:v>
                </c:pt>
                <c:pt idx="1">
                  <c:v>0</c:v>
                </c:pt>
                <c:pt idx="2">
                  <c:v>0.95367431640625</c:v>
                </c:pt>
                <c:pt idx="3">
                  <c:v>57.220458984375</c:v>
                </c:pt>
                <c:pt idx="4">
                  <c:v>57.220458984375</c:v>
                </c:pt>
                <c:pt idx="5">
                  <c:v>19.073486328125</c:v>
                </c:pt>
                <c:pt idx="6">
                  <c:v>28.6102294921875</c:v>
                </c:pt>
                <c:pt idx="7">
                  <c:v>58.17413330078125</c:v>
                </c:pt>
                <c:pt idx="8">
                  <c:v>47.6837158203125</c:v>
                </c:pt>
                <c:pt idx="9">
                  <c:v>0</c:v>
                </c:pt>
                <c:pt idx="10">
                  <c:v>38.14697265625</c:v>
                </c:pt>
                <c:pt idx="11">
                  <c:v>47.6837158203125</c:v>
                </c:pt>
                <c:pt idx="12">
                  <c:v>47.6837158203125</c:v>
                </c:pt>
                <c:pt idx="13">
                  <c:v>0</c:v>
                </c:pt>
                <c:pt idx="14">
                  <c:v>47.6837158203125</c:v>
                </c:pt>
                <c:pt idx="15">
                  <c:v>47.6837158203125</c:v>
                </c:pt>
                <c:pt idx="16">
                  <c:v>29.56390380859375</c:v>
                </c:pt>
                <c:pt idx="17">
                  <c:v>0</c:v>
                </c:pt>
                <c:pt idx="18">
                  <c:v>57.220458984375</c:v>
                </c:pt>
                <c:pt idx="19">
                  <c:v>47.6837158203125</c:v>
                </c:pt>
                <c:pt idx="20">
                  <c:v>28.6102294921875</c:v>
                </c:pt>
                <c:pt idx="21">
                  <c:v>0</c:v>
                </c:pt>
                <c:pt idx="22">
                  <c:v>57.220458984375</c:v>
                </c:pt>
                <c:pt idx="23">
                  <c:v>67.71087646484375</c:v>
                </c:pt>
                <c:pt idx="24">
                  <c:v>9.5367431640625</c:v>
                </c:pt>
                <c:pt idx="25">
                  <c:v>57.220458984375</c:v>
                </c:pt>
                <c:pt idx="26">
                  <c:v>47.6837158203125</c:v>
                </c:pt>
                <c:pt idx="27">
                  <c:v>29.56390380859375</c:v>
                </c:pt>
                <c:pt idx="28">
                  <c:v>0</c:v>
                </c:pt>
                <c:pt idx="29">
                  <c:v>57.220458984375</c:v>
                </c:pt>
                <c:pt idx="30">
                  <c:v>57.220458984375</c:v>
                </c:pt>
                <c:pt idx="31">
                  <c:v>9.5367431640625</c:v>
                </c:pt>
                <c:pt idx="32">
                  <c:v>1.9073486328125</c:v>
                </c:pt>
                <c:pt idx="33">
                  <c:v>10.49041748046875</c:v>
                </c:pt>
                <c:pt idx="34">
                  <c:v>19.073486328125</c:v>
                </c:pt>
                <c:pt idx="35">
                  <c:v>10.49041748046875</c:v>
                </c:pt>
                <c:pt idx="36">
                  <c:v>2.86102294921875</c:v>
                </c:pt>
                <c:pt idx="37">
                  <c:v>0</c:v>
                </c:pt>
                <c:pt idx="38">
                  <c:v>0</c:v>
                </c:pt>
                <c:pt idx="39">
                  <c:v>47.6837158203125</c:v>
                </c:pt>
                <c:pt idx="40">
                  <c:v>0</c:v>
                </c:pt>
              </c:numCache>
            </c:numRef>
          </c:val>
          <c:smooth val="0"/>
          <c:extLst>
            <c:ext xmlns:c16="http://schemas.microsoft.com/office/drawing/2014/chart" uri="{C3380CC4-5D6E-409C-BE32-E72D297353CC}">
              <c16:uniqueId val="{00000002-58F0-B840-A1CC-9528B6163466}"/>
            </c:ext>
          </c:extLst>
        </c:ser>
        <c:ser>
          <c:idx val="3"/>
          <c:order val="3"/>
          <c:tx>
            <c:strRef>
              <c:f>'Sheet1 (5)'!$E$3:$E$4</c:f>
              <c:strCache>
                <c:ptCount val="1"/>
                <c:pt idx="0">
                  <c:v>resourcemanager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'Sheet1 (5)'!$A$5:$A$46</c:f>
              <c:strCache>
                <c:ptCount val="41"/>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c:v>
                </c:pt>
                <c:pt idx="32">
                  <c:v>160</c:v>
                </c:pt>
                <c:pt idx="33">
                  <c:v>165</c:v>
                </c:pt>
                <c:pt idx="34">
                  <c:v>170</c:v>
                </c:pt>
                <c:pt idx="35">
                  <c:v>175</c:v>
                </c:pt>
                <c:pt idx="36">
                  <c:v>180</c:v>
                </c:pt>
                <c:pt idx="37">
                  <c:v>185</c:v>
                </c:pt>
                <c:pt idx="38">
                  <c:v>190</c:v>
                </c:pt>
                <c:pt idx="39">
                  <c:v>195</c:v>
                </c:pt>
                <c:pt idx="40">
                  <c:v>200</c:v>
                </c:pt>
              </c:strCache>
            </c:strRef>
          </c:cat>
          <c:val>
            <c:numRef>
              <c:f>'Sheet1 (5)'!$E$5:$E$46</c:f>
              <c:numCache>
                <c:formatCode>0.00</c:formatCode>
                <c:ptCount val="41"/>
                <c:pt idx="0">
                  <c:v>0</c:v>
                </c:pt>
                <c:pt idx="1">
                  <c:v>2.002716064453125E-2</c:v>
                </c:pt>
                <c:pt idx="2">
                  <c:v>1.811981201171875E-2</c:v>
                </c:pt>
                <c:pt idx="3">
                  <c:v>1.9073486328125E-3</c:v>
                </c:pt>
                <c:pt idx="4">
                  <c:v>1.1444091796875E-2</c:v>
                </c:pt>
                <c:pt idx="5">
                  <c:v>1.049041748046875E-2</c:v>
                </c:pt>
                <c:pt idx="6">
                  <c:v>1.239776611328125E-2</c:v>
                </c:pt>
                <c:pt idx="7">
                  <c:v>1.9073486328125E-3</c:v>
                </c:pt>
                <c:pt idx="8">
                  <c:v>1.049041748046875E-2</c:v>
                </c:pt>
                <c:pt idx="9">
                  <c:v>1.9073486328125E-3</c:v>
                </c:pt>
                <c:pt idx="10">
                  <c:v>1.239776611328125E-2</c:v>
                </c:pt>
                <c:pt idx="11">
                  <c:v>1.1444091796875E-2</c:v>
                </c:pt>
                <c:pt idx="12">
                  <c:v>1.049041748046875E-2</c:v>
                </c:pt>
                <c:pt idx="13">
                  <c:v>2.86102294921875E-3</c:v>
                </c:pt>
                <c:pt idx="14">
                  <c:v>1.1444091796875E-2</c:v>
                </c:pt>
                <c:pt idx="15">
                  <c:v>9.5367431640625E-4</c:v>
                </c:pt>
                <c:pt idx="16">
                  <c:v>1.1444091796875E-2</c:v>
                </c:pt>
                <c:pt idx="17">
                  <c:v>1.1444091796875E-2</c:v>
                </c:pt>
                <c:pt idx="18">
                  <c:v>1.239776611328125E-2</c:v>
                </c:pt>
                <c:pt idx="19">
                  <c:v>1.9073486328125E-3</c:v>
                </c:pt>
                <c:pt idx="20">
                  <c:v>1.049041748046875E-2</c:v>
                </c:pt>
                <c:pt idx="21">
                  <c:v>1.239776611328125E-2</c:v>
                </c:pt>
                <c:pt idx="22">
                  <c:v>1.9073486328125E-3</c:v>
                </c:pt>
                <c:pt idx="23">
                  <c:v>1.1444091796875E-2</c:v>
                </c:pt>
                <c:pt idx="24">
                  <c:v>1.239776611328125E-2</c:v>
                </c:pt>
                <c:pt idx="25">
                  <c:v>9.5367431640625E-4</c:v>
                </c:pt>
                <c:pt idx="26">
                  <c:v>1.1444091796875E-2</c:v>
                </c:pt>
                <c:pt idx="27">
                  <c:v>1.1444091796875E-2</c:v>
                </c:pt>
                <c:pt idx="28">
                  <c:v>1.239776611328125E-2</c:v>
                </c:pt>
                <c:pt idx="29">
                  <c:v>9.5367431640625E-4</c:v>
                </c:pt>
                <c:pt idx="30">
                  <c:v>1.239776611328125E-2</c:v>
                </c:pt>
                <c:pt idx="31">
                  <c:v>1.049041748046875E-2</c:v>
                </c:pt>
                <c:pt idx="32">
                  <c:v>2.86102294921875E-3</c:v>
                </c:pt>
                <c:pt idx="33">
                  <c:v>1.1444091796875E-2</c:v>
                </c:pt>
                <c:pt idx="34">
                  <c:v>1.1444091796875E-2</c:v>
                </c:pt>
                <c:pt idx="35">
                  <c:v>1.9073486328125E-3</c:v>
                </c:pt>
                <c:pt idx="36">
                  <c:v>1.430511474609375E-2</c:v>
                </c:pt>
                <c:pt idx="37">
                  <c:v>2.288818359375E-2</c:v>
                </c:pt>
                <c:pt idx="38">
                  <c:v>1.33514404296875E-2</c:v>
                </c:pt>
                <c:pt idx="39">
                  <c:v>1.1444091796875E-2</c:v>
                </c:pt>
                <c:pt idx="40">
                  <c:v>1.239776611328125E-2</c:v>
                </c:pt>
              </c:numCache>
            </c:numRef>
          </c:val>
          <c:smooth val="0"/>
          <c:extLst>
            <c:ext xmlns:c16="http://schemas.microsoft.com/office/drawing/2014/chart" uri="{C3380CC4-5D6E-409C-BE32-E72D297353CC}">
              <c16:uniqueId val="{00000003-58F0-B840-A1CC-9528B6163466}"/>
            </c:ext>
          </c:extLst>
        </c:ser>
        <c:dLbls>
          <c:showLegendKey val="0"/>
          <c:showVal val="0"/>
          <c:showCatName val="0"/>
          <c:showSerName val="0"/>
          <c:showPercent val="0"/>
          <c:showBubbleSize val="0"/>
        </c:dLbls>
        <c:marker val="1"/>
        <c:smooth val="0"/>
        <c:axId val="2021636095"/>
        <c:axId val="2031896319"/>
      </c:lineChart>
      <c:catAx>
        <c:axId val="202163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896319"/>
        <c:crosses val="autoZero"/>
        <c:auto val="1"/>
        <c:lblAlgn val="ctr"/>
        <c:lblOffset val="100"/>
        <c:noMultiLvlLbl val="0"/>
      </c:catAx>
      <c:valAx>
        <c:axId val="20318963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6360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[hadoop.xlsx]Sheet1 (6)!PivotTable9</c:name>
    <c:fmtId val="16"/>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 (6)'!$B$3:$B$4</c:f>
              <c:strCache>
                <c:ptCount val="1"/>
                <c:pt idx="0">
                  <c:v>cit-Patents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 (6)'!$A$5:$A$46</c:f>
              <c:strCache>
                <c:ptCount val="41"/>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c:v>
                </c:pt>
                <c:pt idx="32">
                  <c:v>160</c:v>
                </c:pt>
                <c:pt idx="33">
                  <c:v>165</c:v>
                </c:pt>
                <c:pt idx="34">
                  <c:v>170</c:v>
                </c:pt>
                <c:pt idx="35">
                  <c:v>175</c:v>
                </c:pt>
                <c:pt idx="36">
                  <c:v>180</c:v>
                </c:pt>
                <c:pt idx="37">
                  <c:v>185</c:v>
                </c:pt>
                <c:pt idx="38">
                  <c:v>190</c:v>
                </c:pt>
                <c:pt idx="39">
                  <c:v>195</c:v>
                </c:pt>
                <c:pt idx="40">
                  <c:v>200</c:v>
                </c:pt>
              </c:strCache>
            </c:strRef>
          </c:cat>
          <c:val>
            <c:numRef>
              <c:f>'Sheet1 (6)'!$B$5:$B$46</c:f>
              <c:numCache>
                <c:formatCode>0.00</c:formatCode>
                <c:ptCount val="41"/>
                <c:pt idx="0">
                  <c:v>0</c:v>
                </c:pt>
                <c:pt idx="1">
                  <c:v>1.9073486328125E-2</c:v>
                </c:pt>
                <c:pt idx="2">
                  <c:v>3.814697265625E-2</c:v>
                </c:pt>
                <c:pt idx="3">
                  <c:v>133.56399536132812</c:v>
                </c:pt>
                <c:pt idx="4">
                  <c:v>229.88700866699219</c:v>
                </c:pt>
                <c:pt idx="5">
                  <c:v>287.11795806884766</c:v>
                </c:pt>
                <c:pt idx="6">
                  <c:v>287.13035583496094</c:v>
                </c:pt>
                <c:pt idx="7">
                  <c:v>401.5731811523433</c:v>
                </c:pt>
                <c:pt idx="8">
                  <c:v>506.58321380615234</c:v>
                </c:pt>
                <c:pt idx="9">
                  <c:v>554.27837371826172</c:v>
                </c:pt>
                <c:pt idx="10">
                  <c:v>580.03997802734375</c:v>
                </c:pt>
                <c:pt idx="11">
                  <c:v>624.86457824707031</c:v>
                </c:pt>
                <c:pt idx="12">
                  <c:v>624.88937377929688</c:v>
                </c:pt>
                <c:pt idx="13">
                  <c:v>624.90463256835938</c:v>
                </c:pt>
                <c:pt idx="14">
                  <c:v>682.23190307617188</c:v>
                </c:pt>
                <c:pt idx="15">
                  <c:v>682.24334716796875</c:v>
                </c:pt>
              </c:numCache>
            </c:numRef>
          </c:val>
          <c:smooth val="0"/>
          <c:extLst>
            <c:ext xmlns:c16="http://schemas.microsoft.com/office/drawing/2014/chart" uri="{C3380CC4-5D6E-409C-BE32-E72D297353CC}">
              <c16:uniqueId val="{00000004-59CC-7540-8619-5A530D4ECBAE}"/>
            </c:ext>
          </c:extLst>
        </c:ser>
        <c:ser>
          <c:idx val="1"/>
          <c:order val="1"/>
          <c:tx>
            <c:strRef>
              <c:f>'Sheet1 (6)'!$C$3:$C$4</c:f>
              <c:strCache>
                <c:ptCount val="1"/>
                <c:pt idx="0">
                  <c:v>Email-EuAll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 (6)'!$A$5:$A$46</c:f>
              <c:strCache>
                <c:ptCount val="41"/>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c:v>
                </c:pt>
                <c:pt idx="32">
                  <c:v>160</c:v>
                </c:pt>
                <c:pt idx="33">
                  <c:v>165</c:v>
                </c:pt>
                <c:pt idx="34">
                  <c:v>170</c:v>
                </c:pt>
                <c:pt idx="35">
                  <c:v>175</c:v>
                </c:pt>
                <c:pt idx="36">
                  <c:v>180</c:v>
                </c:pt>
                <c:pt idx="37">
                  <c:v>185</c:v>
                </c:pt>
                <c:pt idx="38">
                  <c:v>190</c:v>
                </c:pt>
                <c:pt idx="39">
                  <c:v>195</c:v>
                </c:pt>
                <c:pt idx="40">
                  <c:v>200</c:v>
                </c:pt>
              </c:strCache>
            </c:strRef>
          </c:cat>
          <c:val>
            <c:numRef>
              <c:f>'Sheet1 (6)'!$C$5:$C$46</c:f>
              <c:numCache>
                <c:formatCode>0.00</c:formatCode>
                <c:ptCount val="41"/>
                <c:pt idx="0">
                  <c:v>0</c:v>
                </c:pt>
                <c:pt idx="1">
                  <c:v>9.555816650390625</c:v>
                </c:pt>
                <c:pt idx="2">
                  <c:v>9.5739364624023438</c:v>
                </c:pt>
                <c:pt idx="3">
                  <c:v>28.658866882324219</c:v>
                </c:pt>
                <c:pt idx="4">
                  <c:v>29.723167419433594</c:v>
                </c:pt>
                <c:pt idx="5">
                  <c:v>29.745101928710938</c:v>
                </c:pt>
                <c:pt idx="6">
                  <c:v>29.760360717773438</c:v>
                </c:pt>
                <c:pt idx="7">
                  <c:v>30.7159423828125</c:v>
                </c:pt>
              </c:numCache>
            </c:numRef>
          </c:val>
          <c:smooth val="0"/>
          <c:extLst>
            <c:ext xmlns:c16="http://schemas.microsoft.com/office/drawing/2014/chart" uri="{C3380CC4-5D6E-409C-BE32-E72D297353CC}">
              <c16:uniqueId val="{00000005-59CC-7540-8619-5A530D4ECBAE}"/>
            </c:ext>
          </c:extLst>
        </c:ser>
        <c:ser>
          <c:idx val="2"/>
          <c:order val="2"/>
          <c:tx>
            <c:strRef>
              <c:f>'Sheet1 (6)'!$D$3:$D$4</c:f>
              <c:strCache>
                <c:ptCount val="1"/>
                <c:pt idx="0">
                  <c:v>soc-LiveJournal1</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'Sheet1 (6)'!$A$5:$A$46</c:f>
              <c:strCache>
                <c:ptCount val="41"/>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c:v>
                </c:pt>
                <c:pt idx="32">
                  <c:v>160</c:v>
                </c:pt>
                <c:pt idx="33">
                  <c:v>165</c:v>
                </c:pt>
                <c:pt idx="34">
                  <c:v>170</c:v>
                </c:pt>
                <c:pt idx="35">
                  <c:v>175</c:v>
                </c:pt>
                <c:pt idx="36">
                  <c:v>180</c:v>
                </c:pt>
                <c:pt idx="37">
                  <c:v>185</c:v>
                </c:pt>
                <c:pt idx="38">
                  <c:v>190</c:v>
                </c:pt>
                <c:pt idx="39">
                  <c:v>195</c:v>
                </c:pt>
                <c:pt idx="40">
                  <c:v>200</c:v>
                </c:pt>
              </c:strCache>
            </c:strRef>
          </c:cat>
          <c:val>
            <c:numRef>
              <c:f>'Sheet1 (6)'!$D$5:$D$46</c:f>
              <c:numCache>
                <c:formatCode>0.00</c:formatCode>
                <c:ptCount val="41"/>
                <c:pt idx="0">
                  <c:v>0</c:v>
                </c:pt>
                <c:pt idx="1">
                  <c:v>0.11539459228515625</c:v>
                </c:pt>
                <c:pt idx="2">
                  <c:v>10.623931884765625</c:v>
                </c:pt>
                <c:pt idx="3">
                  <c:v>125.06675720214844</c:v>
                </c:pt>
                <c:pt idx="4">
                  <c:v>229.98237609863281</c:v>
                </c:pt>
                <c:pt idx="5">
                  <c:v>277.67658233642578</c:v>
                </c:pt>
                <c:pt idx="6">
                  <c:v>334.90943908691406</c:v>
                </c:pt>
                <c:pt idx="7">
                  <c:v>450.30593872070312</c:v>
                </c:pt>
                <c:pt idx="8">
                  <c:v>545.68386077880859</c:v>
                </c:pt>
                <c:pt idx="9">
                  <c:v>545.68576812744141</c:v>
                </c:pt>
                <c:pt idx="10">
                  <c:v>602.91862487792969</c:v>
                </c:pt>
                <c:pt idx="11">
                  <c:v>736.44447326660156</c:v>
                </c:pt>
                <c:pt idx="12">
                  <c:v>812.84427642822266</c:v>
                </c:pt>
                <c:pt idx="13">
                  <c:v>812.84713745117188</c:v>
                </c:pt>
                <c:pt idx="14">
                  <c:v>908.22601318359375</c:v>
                </c:pt>
                <c:pt idx="15">
                  <c:v>1003.5943984985352</c:v>
                </c:pt>
                <c:pt idx="16">
                  <c:v>1061.7799758911133</c:v>
                </c:pt>
                <c:pt idx="17">
                  <c:v>1061.7914199829102</c:v>
                </c:pt>
                <c:pt idx="18">
                  <c:v>1176.2447357177734</c:v>
                </c:pt>
                <c:pt idx="19">
                  <c:v>1271.6140747070312</c:v>
                </c:pt>
                <c:pt idx="20">
                  <c:v>1328.8450241088867</c:v>
                </c:pt>
                <c:pt idx="21">
                  <c:v>1328.857421875</c:v>
                </c:pt>
                <c:pt idx="22">
                  <c:v>1452.8369903564453</c:v>
                </c:pt>
                <c:pt idx="23">
                  <c:v>1587.3165130615234</c:v>
                </c:pt>
                <c:pt idx="24">
                  <c:v>1596.9610214233398</c:v>
                </c:pt>
                <c:pt idx="25">
                  <c:v>1711.4028930664062</c:v>
                </c:pt>
                <c:pt idx="26">
                  <c:v>1806.7817687988281</c:v>
                </c:pt>
                <c:pt idx="27">
                  <c:v>1855.4306030273438</c:v>
                </c:pt>
                <c:pt idx="28">
                  <c:v>1855.443000793457</c:v>
                </c:pt>
                <c:pt idx="29">
                  <c:v>1979.4216156005859</c:v>
                </c:pt>
                <c:pt idx="30">
                  <c:v>2093.8749313354492</c:v>
                </c:pt>
                <c:pt idx="31">
                  <c:v>2112.9589080810547</c:v>
                </c:pt>
                <c:pt idx="32">
                  <c:v>2114.8691177368164</c:v>
                </c:pt>
                <c:pt idx="33">
                  <c:v>2134.9077224731445</c:v>
                </c:pt>
                <c:pt idx="34">
                  <c:v>2173.0661392211914</c:v>
                </c:pt>
                <c:pt idx="35">
                  <c:v>2193.0952072143555</c:v>
                </c:pt>
                <c:pt idx="36">
                  <c:v>2205.6026458740234</c:v>
                </c:pt>
                <c:pt idx="37">
                  <c:v>2205.6255340576172</c:v>
                </c:pt>
                <c:pt idx="38">
                  <c:v>2215.1756286621094</c:v>
                </c:pt>
                <c:pt idx="39">
                  <c:v>2301.0177612304688</c:v>
                </c:pt>
                <c:pt idx="40">
                  <c:v>2301.030158996582</c:v>
                </c:pt>
              </c:numCache>
            </c:numRef>
          </c:val>
          <c:smooth val="0"/>
          <c:extLst>
            <c:ext xmlns:c16="http://schemas.microsoft.com/office/drawing/2014/chart" uri="{C3380CC4-5D6E-409C-BE32-E72D297353CC}">
              <c16:uniqueId val="{00000006-59CC-7540-8619-5A530D4ECBAE}"/>
            </c:ext>
          </c:extLst>
        </c:ser>
        <c:ser>
          <c:idx val="3"/>
          <c:order val="3"/>
          <c:tx>
            <c:strRef>
              <c:f>'Sheet1 (6)'!$E$3:$E$4</c:f>
              <c:strCache>
                <c:ptCount val="1"/>
                <c:pt idx="0">
                  <c:v>soc-pokec-relationships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'Sheet1 (6)'!$A$5:$A$46</c:f>
              <c:strCache>
                <c:ptCount val="41"/>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c:v>
                </c:pt>
                <c:pt idx="32">
                  <c:v>160</c:v>
                </c:pt>
                <c:pt idx="33">
                  <c:v>165</c:v>
                </c:pt>
                <c:pt idx="34">
                  <c:v>170</c:v>
                </c:pt>
                <c:pt idx="35">
                  <c:v>175</c:v>
                </c:pt>
                <c:pt idx="36">
                  <c:v>180</c:v>
                </c:pt>
                <c:pt idx="37">
                  <c:v>185</c:v>
                </c:pt>
                <c:pt idx="38">
                  <c:v>190</c:v>
                </c:pt>
                <c:pt idx="39">
                  <c:v>195</c:v>
                </c:pt>
                <c:pt idx="40">
                  <c:v>200</c:v>
                </c:pt>
              </c:strCache>
            </c:strRef>
          </c:cat>
          <c:val>
            <c:numRef>
              <c:f>'Sheet1 (6)'!$E$5:$E$46</c:f>
              <c:numCache>
                <c:formatCode>0.00</c:formatCode>
                <c:ptCount val="41"/>
                <c:pt idx="0">
                  <c:v>0</c:v>
                </c:pt>
                <c:pt idx="1">
                  <c:v>2.09808349609375E-2</c:v>
                </c:pt>
                <c:pt idx="2">
                  <c:v>9.5643997192382812</c:v>
                </c:pt>
                <c:pt idx="3">
                  <c:v>104.94327545166016</c:v>
                </c:pt>
                <c:pt idx="4">
                  <c:v>181.34403228759766</c:v>
                </c:pt>
                <c:pt idx="5">
                  <c:v>277.66704559326172</c:v>
                </c:pt>
                <c:pt idx="6">
                  <c:v>277.679443359375</c:v>
                </c:pt>
                <c:pt idx="7">
                  <c:v>373.05736541748047</c:v>
                </c:pt>
                <c:pt idx="8">
                  <c:v>458.89949798583984</c:v>
                </c:pt>
                <c:pt idx="9">
                  <c:v>526.61228179931641</c:v>
                </c:pt>
                <c:pt idx="10">
                  <c:v>526.62467956542969</c:v>
                </c:pt>
                <c:pt idx="11">
                  <c:v>641.07608795166016</c:v>
                </c:pt>
                <c:pt idx="12">
                  <c:v>736.44638061523438</c:v>
                </c:pt>
                <c:pt idx="13">
                  <c:v>793.67828369140625</c:v>
                </c:pt>
                <c:pt idx="14">
                  <c:v>793.68972778320312</c:v>
                </c:pt>
                <c:pt idx="15">
                  <c:v>831.84814453125</c:v>
                </c:pt>
                <c:pt idx="16">
                  <c:v>850.06523132324219</c:v>
                </c:pt>
                <c:pt idx="17">
                  <c:v>856.75239562988281</c:v>
                </c:pt>
                <c:pt idx="18">
                  <c:v>856.77814483642578</c:v>
                </c:pt>
                <c:pt idx="19">
                  <c:v>856.79340362548828</c:v>
                </c:pt>
                <c:pt idx="20">
                  <c:v>894.95182037353516</c:v>
                </c:pt>
                <c:pt idx="21">
                  <c:v>895.050048828125</c:v>
                </c:pt>
              </c:numCache>
            </c:numRef>
          </c:val>
          <c:smooth val="0"/>
          <c:extLst>
            <c:ext xmlns:c16="http://schemas.microsoft.com/office/drawing/2014/chart" uri="{C3380CC4-5D6E-409C-BE32-E72D297353CC}">
              <c16:uniqueId val="{00000007-59CC-7540-8619-5A530D4ECBAE}"/>
            </c:ext>
          </c:extLst>
        </c:ser>
        <c:dLbls>
          <c:showLegendKey val="0"/>
          <c:showVal val="0"/>
          <c:showCatName val="0"/>
          <c:showSerName val="0"/>
          <c:showPercent val="0"/>
          <c:showBubbleSize val="0"/>
        </c:dLbls>
        <c:marker val="1"/>
        <c:smooth val="0"/>
        <c:axId val="2021636095"/>
        <c:axId val="2031896319"/>
      </c:lineChart>
      <c:catAx>
        <c:axId val="202163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896319"/>
        <c:crosses val="autoZero"/>
        <c:auto val="1"/>
        <c:lblAlgn val="ctr"/>
        <c:lblOffset val="100"/>
        <c:noMultiLvlLbl val="0"/>
      </c:catAx>
      <c:valAx>
        <c:axId val="20318963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636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[hadoop.xlsx]Sheet1 (7)!PivotTable9</c:name>
    <c:fmtId val="28"/>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 (7)'!$B$3:$B$4</c:f>
              <c:strCache>
                <c:ptCount val="1"/>
                <c:pt idx="0">
                  <c:v>cit-Patents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 (7)'!$A$5:$A$46</c:f>
              <c:strCache>
                <c:ptCount val="41"/>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c:v>
                </c:pt>
                <c:pt idx="32">
                  <c:v>160</c:v>
                </c:pt>
                <c:pt idx="33">
                  <c:v>165</c:v>
                </c:pt>
                <c:pt idx="34">
                  <c:v>170</c:v>
                </c:pt>
                <c:pt idx="35">
                  <c:v>175</c:v>
                </c:pt>
                <c:pt idx="36">
                  <c:v>180</c:v>
                </c:pt>
                <c:pt idx="37">
                  <c:v>185</c:v>
                </c:pt>
                <c:pt idx="38">
                  <c:v>190</c:v>
                </c:pt>
                <c:pt idx="39">
                  <c:v>195</c:v>
                </c:pt>
                <c:pt idx="40">
                  <c:v>200</c:v>
                </c:pt>
              </c:strCache>
            </c:strRef>
          </c:cat>
          <c:val>
            <c:numRef>
              <c:f>'Sheet1 (7)'!$B$5:$B$46</c:f>
              <c:numCache>
                <c:formatCode>0.00</c:formatCode>
                <c:ptCount val="41"/>
                <c:pt idx="0">
                  <c:v>0</c:v>
                </c:pt>
                <c:pt idx="1">
                  <c:v>1.9073486328125E-2</c:v>
                </c:pt>
                <c:pt idx="2">
                  <c:v>1.9073486328125E-2</c:v>
                </c:pt>
                <c:pt idx="3">
                  <c:v>133.52584838867188</c:v>
                </c:pt>
                <c:pt idx="4">
                  <c:v>96.323013305664062</c:v>
                </c:pt>
                <c:pt idx="5">
                  <c:v>57.230949401855469</c:v>
                </c:pt>
                <c:pt idx="6">
                  <c:v>1.239776611328125E-2</c:v>
                </c:pt>
                <c:pt idx="7">
                  <c:v>114.44282531738236</c:v>
                </c:pt>
                <c:pt idx="8">
                  <c:v>105.01003265380905</c:v>
                </c:pt>
                <c:pt idx="9">
                  <c:v>47.695159912109375</c:v>
                </c:pt>
                <c:pt idx="10">
                  <c:v>25.761604309082031</c:v>
                </c:pt>
                <c:pt idx="11">
                  <c:v>44.824600219726562</c:v>
                </c:pt>
                <c:pt idx="12">
                  <c:v>2.47955322265625E-2</c:v>
                </c:pt>
                <c:pt idx="13">
                  <c:v>1.52587890625E-2</c:v>
                </c:pt>
                <c:pt idx="14">
                  <c:v>57.3272705078125</c:v>
                </c:pt>
                <c:pt idx="15">
                  <c:v>1.1444091796875E-2</c:v>
                </c:pt>
              </c:numCache>
            </c:numRef>
          </c:val>
          <c:smooth val="0"/>
          <c:extLst>
            <c:ext xmlns:c16="http://schemas.microsoft.com/office/drawing/2014/chart" uri="{C3380CC4-5D6E-409C-BE32-E72D297353CC}">
              <c16:uniqueId val="{00000004-1B59-3049-B8B5-6FA974D58A39}"/>
            </c:ext>
          </c:extLst>
        </c:ser>
        <c:ser>
          <c:idx val="1"/>
          <c:order val="1"/>
          <c:tx>
            <c:strRef>
              <c:f>'Sheet1 (7)'!$C$3:$C$4</c:f>
              <c:strCache>
                <c:ptCount val="1"/>
                <c:pt idx="0">
                  <c:v>Email-EuAll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 (7)'!$A$5:$A$46</c:f>
              <c:strCache>
                <c:ptCount val="41"/>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c:v>
                </c:pt>
                <c:pt idx="32">
                  <c:v>160</c:v>
                </c:pt>
                <c:pt idx="33">
                  <c:v>165</c:v>
                </c:pt>
                <c:pt idx="34">
                  <c:v>170</c:v>
                </c:pt>
                <c:pt idx="35">
                  <c:v>175</c:v>
                </c:pt>
                <c:pt idx="36">
                  <c:v>180</c:v>
                </c:pt>
                <c:pt idx="37">
                  <c:v>185</c:v>
                </c:pt>
                <c:pt idx="38">
                  <c:v>190</c:v>
                </c:pt>
                <c:pt idx="39">
                  <c:v>195</c:v>
                </c:pt>
                <c:pt idx="40">
                  <c:v>200</c:v>
                </c:pt>
              </c:strCache>
            </c:strRef>
          </c:cat>
          <c:val>
            <c:numRef>
              <c:f>'Sheet1 (7)'!$C$5:$C$46</c:f>
              <c:numCache>
                <c:formatCode>0.00</c:formatCode>
                <c:ptCount val="41"/>
                <c:pt idx="0">
                  <c:v>0</c:v>
                </c:pt>
                <c:pt idx="1">
                  <c:v>9.555816650390625</c:v>
                </c:pt>
                <c:pt idx="2">
                  <c:v>1.811981201171875E-2</c:v>
                </c:pt>
                <c:pt idx="3">
                  <c:v>19.084930419921875</c:v>
                </c:pt>
                <c:pt idx="4">
                  <c:v>1.064300537109375</c:v>
                </c:pt>
                <c:pt idx="5">
                  <c:v>2.193450927734375E-2</c:v>
                </c:pt>
                <c:pt idx="6">
                  <c:v>1.52587890625E-2</c:v>
                </c:pt>
                <c:pt idx="7">
                  <c:v>0.9555816650390625</c:v>
                </c:pt>
              </c:numCache>
            </c:numRef>
          </c:val>
          <c:smooth val="0"/>
          <c:extLst>
            <c:ext xmlns:c16="http://schemas.microsoft.com/office/drawing/2014/chart" uri="{C3380CC4-5D6E-409C-BE32-E72D297353CC}">
              <c16:uniqueId val="{00000005-1B59-3049-B8B5-6FA974D58A39}"/>
            </c:ext>
          </c:extLst>
        </c:ser>
        <c:ser>
          <c:idx val="2"/>
          <c:order val="2"/>
          <c:tx>
            <c:strRef>
              <c:f>'Sheet1 (7)'!$D$3:$D$4</c:f>
              <c:strCache>
                <c:ptCount val="1"/>
                <c:pt idx="0">
                  <c:v>soc-LiveJournal1</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'Sheet1 (7)'!$A$5:$A$46</c:f>
              <c:strCache>
                <c:ptCount val="41"/>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c:v>
                </c:pt>
                <c:pt idx="32">
                  <c:v>160</c:v>
                </c:pt>
                <c:pt idx="33">
                  <c:v>165</c:v>
                </c:pt>
                <c:pt idx="34">
                  <c:v>170</c:v>
                </c:pt>
                <c:pt idx="35">
                  <c:v>175</c:v>
                </c:pt>
                <c:pt idx="36">
                  <c:v>180</c:v>
                </c:pt>
                <c:pt idx="37">
                  <c:v>185</c:v>
                </c:pt>
                <c:pt idx="38">
                  <c:v>190</c:v>
                </c:pt>
                <c:pt idx="39">
                  <c:v>195</c:v>
                </c:pt>
                <c:pt idx="40">
                  <c:v>200</c:v>
                </c:pt>
              </c:strCache>
            </c:strRef>
          </c:cat>
          <c:val>
            <c:numRef>
              <c:f>'Sheet1 (7)'!$D$5:$D$46</c:f>
              <c:numCache>
                <c:formatCode>0.00</c:formatCode>
                <c:ptCount val="41"/>
                <c:pt idx="0">
                  <c:v>0</c:v>
                </c:pt>
                <c:pt idx="1">
                  <c:v>0.11539459228515625</c:v>
                </c:pt>
                <c:pt idx="2">
                  <c:v>10.508537292480469</c:v>
                </c:pt>
                <c:pt idx="3">
                  <c:v>114.44282531738281</c:v>
                </c:pt>
                <c:pt idx="4">
                  <c:v>104.91561889648438</c:v>
                </c:pt>
                <c:pt idx="5">
                  <c:v>47.694206237792969</c:v>
                </c:pt>
                <c:pt idx="6">
                  <c:v>57.232856750488281</c:v>
                </c:pt>
                <c:pt idx="7">
                  <c:v>115.39649963378906</c:v>
                </c:pt>
                <c:pt idx="8">
                  <c:v>95.377922058105469</c:v>
                </c:pt>
                <c:pt idx="9">
                  <c:v>1.9073486328125E-3</c:v>
                </c:pt>
                <c:pt idx="10">
                  <c:v>57.232856750488281</c:v>
                </c:pt>
                <c:pt idx="11">
                  <c:v>133.52584838867188</c:v>
                </c:pt>
                <c:pt idx="12">
                  <c:v>76.399803161621094</c:v>
                </c:pt>
                <c:pt idx="13">
                  <c:v>2.86102294921875E-3</c:v>
                </c:pt>
                <c:pt idx="14">
                  <c:v>95.378875732421875</c:v>
                </c:pt>
                <c:pt idx="15">
                  <c:v>95.368385314941406</c:v>
                </c:pt>
                <c:pt idx="16">
                  <c:v>58.185577392578125</c:v>
                </c:pt>
                <c:pt idx="17">
                  <c:v>1.1444091796875E-2</c:v>
                </c:pt>
                <c:pt idx="18">
                  <c:v>114.45331573486328</c:v>
                </c:pt>
                <c:pt idx="19">
                  <c:v>95.369338989257812</c:v>
                </c:pt>
                <c:pt idx="20">
                  <c:v>57.230949401855469</c:v>
                </c:pt>
                <c:pt idx="21">
                  <c:v>1.239776611328125E-2</c:v>
                </c:pt>
                <c:pt idx="22">
                  <c:v>123.97956848144531</c:v>
                </c:pt>
                <c:pt idx="23">
                  <c:v>134.47952270507812</c:v>
                </c:pt>
                <c:pt idx="24">
                  <c:v>9.6445083618164062</c:v>
                </c:pt>
                <c:pt idx="25">
                  <c:v>114.44187164306641</c:v>
                </c:pt>
                <c:pt idx="26">
                  <c:v>95.378875732421875</c:v>
                </c:pt>
                <c:pt idx="27">
                  <c:v>48.648834228515625</c:v>
                </c:pt>
                <c:pt idx="28">
                  <c:v>1.239776611328125E-2</c:v>
                </c:pt>
                <c:pt idx="29">
                  <c:v>123.97861480712891</c:v>
                </c:pt>
                <c:pt idx="30">
                  <c:v>114.45331573486328</c:v>
                </c:pt>
                <c:pt idx="31">
                  <c:v>19.083976745605469</c:v>
                </c:pt>
                <c:pt idx="32">
                  <c:v>1.9102096557617188</c:v>
                </c:pt>
                <c:pt idx="33">
                  <c:v>20.038604736328125</c:v>
                </c:pt>
                <c:pt idx="34">
                  <c:v>38.158416748046875</c:v>
                </c:pt>
                <c:pt idx="35">
                  <c:v>20.029067993164062</c:v>
                </c:pt>
                <c:pt idx="36">
                  <c:v>12.507438659667969</c:v>
                </c:pt>
                <c:pt idx="37">
                  <c:v>2.288818359375E-2</c:v>
                </c:pt>
                <c:pt idx="38">
                  <c:v>9.5500946044921875</c:v>
                </c:pt>
                <c:pt idx="39">
                  <c:v>85.842132568359375</c:v>
                </c:pt>
                <c:pt idx="40">
                  <c:v>1.239776611328125E-2</c:v>
                </c:pt>
              </c:numCache>
            </c:numRef>
          </c:val>
          <c:smooth val="0"/>
          <c:extLst>
            <c:ext xmlns:c16="http://schemas.microsoft.com/office/drawing/2014/chart" uri="{C3380CC4-5D6E-409C-BE32-E72D297353CC}">
              <c16:uniqueId val="{00000006-1B59-3049-B8B5-6FA974D58A39}"/>
            </c:ext>
          </c:extLst>
        </c:ser>
        <c:ser>
          <c:idx val="3"/>
          <c:order val="3"/>
          <c:tx>
            <c:strRef>
              <c:f>'Sheet1 (7)'!$E$3:$E$4</c:f>
              <c:strCache>
                <c:ptCount val="1"/>
                <c:pt idx="0">
                  <c:v>soc-pokec-relationships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'Sheet1 (7)'!$A$5:$A$46</c:f>
              <c:strCache>
                <c:ptCount val="41"/>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c:v>
                </c:pt>
                <c:pt idx="32">
                  <c:v>160</c:v>
                </c:pt>
                <c:pt idx="33">
                  <c:v>165</c:v>
                </c:pt>
                <c:pt idx="34">
                  <c:v>170</c:v>
                </c:pt>
                <c:pt idx="35">
                  <c:v>175</c:v>
                </c:pt>
                <c:pt idx="36">
                  <c:v>180</c:v>
                </c:pt>
                <c:pt idx="37">
                  <c:v>185</c:v>
                </c:pt>
                <c:pt idx="38">
                  <c:v>190</c:v>
                </c:pt>
                <c:pt idx="39">
                  <c:v>195</c:v>
                </c:pt>
                <c:pt idx="40">
                  <c:v>200</c:v>
                </c:pt>
              </c:strCache>
            </c:strRef>
          </c:cat>
          <c:val>
            <c:numRef>
              <c:f>'Sheet1 (7)'!$E$5:$E$46</c:f>
              <c:numCache>
                <c:formatCode>0.00</c:formatCode>
                <c:ptCount val="41"/>
                <c:pt idx="0">
                  <c:v>0</c:v>
                </c:pt>
                <c:pt idx="1">
                  <c:v>2.09808349609375E-2</c:v>
                </c:pt>
                <c:pt idx="2">
                  <c:v>9.5434188842773438</c:v>
                </c:pt>
                <c:pt idx="3">
                  <c:v>95.378875732421875</c:v>
                </c:pt>
                <c:pt idx="4">
                  <c:v>76.4007568359375</c:v>
                </c:pt>
                <c:pt idx="5">
                  <c:v>96.323013305664062</c:v>
                </c:pt>
                <c:pt idx="6">
                  <c:v>1.239776611328125E-2</c:v>
                </c:pt>
                <c:pt idx="7">
                  <c:v>95.377922058105469</c:v>
                </c:pt>
                <c:pt idx="8">
                  <c:v>85.842132568359375</c:v>
                </c:pt>
                <c:pt idx="9">
                  <c:v>67.712783813476562</c:v>
                </c:pt>
                <c:pt idx="10">
                  <c:v>1.239776611328125E-2</c:v>
                </c:pt>
                <c:pt idx="11">
                  <c:v>114.45140838623047</c:v>
                </c:pt>
                <c:pt idx="12">
                  <c:v>95.370292663574219</c:v>
                </c:pt>
                <c:pt idx="13">
                  <c:v>57.231903076171875</c:v>
                </c:pt>
                <c:pt idx="14">
                  <c:v>1.1444091796875E-2</c:v>
                </c:pt>
                <c:pt idx="15">
                  <c:v>38.158416748046875</c:v>
                </c:pt>
                <c:pt idx="16">
                  <c:v>18.217086791992188</c:v>
                </c:pt>
                <c:pt idx="17">
                  <c:v>6.687164306640625</c:v>
                </c:pt>
                <c:pt idx="18">
                  <c:v>2.574920654296875E-2</c:v>
                </c:pt>
                <c:pt idx="19">
                  <c:v>1.52587890625E-2</c:v>
                </c:pt>
                <c:pt idx="20">
                  <c:v>38.158416748046875</c:v>
                </c:pt>
                <c:pt idx="21">
                  <c:v>9.822845458984375E-2</c:v>
                </c:pt>
              </c:numCache>
            </c:numRef>
          </c:val>
          <c:smooth val="0"/>
          <c:extLst>
            <c:ext xmlns:c16="http://schemas.microsoft.com/office/drawing/2014/chart" uri="{C3380CC4-5D6E-409C-BE32-E72D297353CC}">
              <c16:uniqueId val="{00000007-1B59-3049-B8B5-6FA974D58A39}"/>
            </c:ext>
          </c:extLst>
        </c:ser>
        <c:dLbls>
          <c:showLegendKey val="0"/>
          <c:showVal val="0"/>
          <c:showCatName val="0"/>
          <c:showSerName val="0"/>
          <c:showPercent val="0"/>
          <c:showBubbleSize val="0"/>
        </c:dLbls>
        <c:marker val="1"/>
        <c:smooth val="0"/>
        <c:axId val="2021636095"/>
        <c:axId val="2031896319"/>
      </c:lineChart>
      <c:catAx>
        <c:axId val="202163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896319"/>
        <c:crosses val="autoZero"/>
        <c:auto val="1"/>
        <c:lblAlgn val="ctr"/>
        <c:lblOffset val="100"/>
        <c:noMultiLvlLbl val="0"/>
      </c:catAx>
      <c:valAx>
        <c:axId val="20318963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636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6</xdr:col>
      <xdr:colOff>342900</xdr:colOff>
      <xdr:row>21</xdr:row>
      <xdr:rowOff>12700</xdr:rowOff>
    </xdr:from>
    <xdr:to>
      <xdr:col>8</xdr:col>
      <xdr:colOff>520700</xdr:colOff>
      <xdr:row>33</xdr:row>
      <xdr:rowOff>193672</xdr:rowOff>
    </xdr:to>
    <mc:AlternateContent xmlns:mc="http://schemas.openxmlformats.org/markup-compatibility/2006" xmlns:a14="http://schemas.microsoft.com/office/drawing/2010/main">
      <mc:Choice Requires="a14">
        <xdr:graphicFrame macro="">
          <xdr:nvGraphicFramePr>
            <xdr:cNvPr id="2" name="dataset">
              <a:extLst>
                <a:ext uri="{FF2B5EF4-FFF2-40B4-BE49-F238E27FC236}">
                  <a16:creationId xmlns:a16="http://schemas.microsoft.com/office/drawing/2014/main" id="{0F622E01-187A-4A50-0477-EB6825E4B20A}"/>
                </a:ext>
              </a:extLst>
            </xdr:cNvPr>
            <xdr:cNvGraphicFramePr/>
          </xdr:nvGraphicFramePr>
          <xdr:xfrm>
            <a:off x="0" y="0"/>
            <a:ext cx="0" cy="0"/>
          </xdr:xfrm>
          <a:graphic>
            <a:graphicData uri="http://schemas.microsoft.com/office/drawing/2010/slicer">
              <sle:slicer xmlns:sle="http://schemas.microsoft.com/office/drawing/2010/slicer" name="dataset"/>
            </a:graphicData>
          </a:graphic>
        </xdr:graphicFrame>
      </mc:Choice>
      <mc:Fallback xmlns="">
        <xdr:sp macro="" textlink="">
          <xdr:nvSpPr>
            <xdr:cNvPr id="0" name=""/>
            <xdr:cNvSpPr>
              <a:spLocks noTextEdit="1"/>
            </xdr:cNvSpPr>
          </xdr:nvSpPr>
          <xdr:spPr>
            <a:xfrm>
              <a:off x="7112000" y="42799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114300</xdr:colOff>
      <xdr:row>2</xdr:row>
      <xdr:rowOff>101600</xdr:rowOff>
    </xdr:from>
    <xdr:to>
      <xdr:col>11</xdr:col>
      <xdr:colOff>558800</xdr:colOff>
      <xdr:row>16</xdr:row>
      <xdr:rowOff>0</xdr:rowOff>
    </xdr:to>
    <xdr:graphicFrame macro="">
      <xdr:nvGraphicFramePr>
        <xdr:cNvPr id="3" name="Chart 2">
          <a:extLst>
            <a:ext uri="{FF2B5EF4-FFF2-40B4-BE49-F238E27FC236}">
              <a16:creationId xmlns:a16="http://schemas.microsoft.com/office/drawing/2014/main" id="{E1BFE370-9279-C5CD-077F-C7A0DEF406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342900</xdr:colOff>
      <xdr:row>21</xdr:row>
      <xdr:rowOff>12700</xdr:rowOff>
    </xdr:from>
    <xdr:to>
      <xdr:col>8</xdr:col>
      <xdr:colOff>520700</xdr:colOff>
      <xdr:row>33</xdr:row>
      <xdr:rowOff>193672</xdr:rowOff>
    </xdr:to>
    <mc:AlternateContent xmlns:mc="http://schemas.openxmlformats.org/markup-compatibility/2006" xmlns:a14="http://schemas.microsoft.com/office/drawing/2010/main">
      <mc:Choice Requires="a14">
        <xdr:graphicFrame macro="">
          <xdr:nvGraphicFramePr>
            <xdr:cNvPr id="2" name="dataset 1">
              <a:extLst>
                <a:ext uri="{FF2B5EF4-FFF2-40B4-BE49-F238E27FC236}">
                  <a16:creationId xmlns:a16="http://schemas.microsoft.com/office/drawing/2014/main" id="{34B16B6D-422B-F244-A09B-B9D1E92E65EA}"/>
                </a:ext>
              </a:extLst>
            </xdr:cNvPr>
            <xdr:cNvGraphicFramePr/>
          </xdr:nvGraphicFramePr>
          <xdr:xfrm>
            <a:off x="0" y="0"/>
            <a:ext cx="0" cy="0"/>
          </xdr:xfrm>
          <a:graphic>
            <a:graphicData uri="http://schemas.microsoft.com/office/drawing/2010/slicer">
              <sle:slicer xmlns:sle="http://schemas.microsoft.com/office/drawing/2010/slicer" name="dataset 1"/>
            </a:graphicData>
          </a:graphic>
        </xdr:graphicFrame>
      </mc:Choice>
      <mc:Fallback xmlns="">
        <xdr:sp macro="" textlink="">
          <xdr:nvSpPr>
            <xdr:cNvPr id="0" name=""/>
            <xdr:cNvSpPr>
              <a:spLocks noTextEdit="1"/>
            </xdr:cNvSpPr>
          </xdr:nvSpPr>
          <xdr:spPr>
            <a:xfrm>
              <a:off x="7112000" y="42799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114300</xdr:colOff>
      <xdr:row>2</xdr:row>
      <xdr:rowOff>101600</xdr:rowOff>
    </xdr:from>
    <xdr:to>
      <xdr:col>12</xdr:col>
      <xdr:colOff>0</xdr:colOff>
      <xdr:row>19</xdr:row>
      <xdr:rowOff>0</xdr:rowOff>
    </xdr:to>
    <xdr:graphicFrame macro="">
      <xdr:nvGraphicFramePr>
        <xdr:cNvPr id="3" name="Chart 2">
          <a:extLst>
            <a:ext uri="{FF2B5EF4-FFF2-40B4-BE49-F238E27FC236}">
              <a16:creationId xmlns:a16="http://schemas.microsoft.com/office/drawing/2014/main" id="{8B278BFB-A609-0A46-ADF5-FDDFD6A47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342900</xdr:colOff>
      <xdr:row>21</xdr:row>
      <xdr:rowOff>12700</xdr:rowOff>
    </xdr:from>
    <xdr:to>
      <xdr:col>8</xdr:col>
      <xdr:colOff>520700</xdr:colOff>
      <xdr:row>33</xdr:row>
      <xdr:rowOff>193672</xdr:rowOff>
    </xdr:to>
    <mc:AlternateContent xmlns:mc="http://schemas.openxmlformats.org/markup-compatibility/2006" xmlns:a14="http://schemas.microsoft.com/office/drawing/2010/main">
      <mc:Choice Requires="a14">
        <xdr:graphicFrame macro="">
          <xdr:nvGraphicFramePr>
            <xdr:cNvPr id="2" name="dataset 2">
              <a:extLst>
                <a:ext uri="{FF2B5EF4-FFF2-40B4-BE49-F238E27FC236}">
                  <a16:creationId xmlns:a16="http://schemas.microsoft.com/office/drawing/2014/main" id="{248CF06A-23F7-614A-B748-4EE950D7F176}"/>
                </a:ext>
              </a:extLst>
            </xdr:cNvPr>
            <xdr:cNvGraphicFramePr/>
          </xdr:nvGraphicFramePr>
          <xdr:xfrm>
            <a:off x="0" y="0"/>
            <a:ext cx="0" cy="0"/>
          </xdr:xfrm>
          <a:graphic>
            <a:graphicData uri="http://schemas.microsoft.com/office/drawing/2010/slicer">
              <sle:slicer xmlns:sle="http://schemas.microsoft.com/office/drawing/2010/slicer" name="dataset 2"/>
            </a:graphicData>
          </a:graphic>
        </xdr:graphicFrame>
      </mc:Choice>
      <mc:Fallback xmlns="">
        <xdr:sp macro="" textlink="">
          <xdr:nvSpPr>
            <xdr:cNvPr id="0" name=""/>
            <xdr:cNvSpPr>
              <a:spLocks noTextEdit="1"/>
            </xdr:cNvSpPr>
          </xdr:nvSpPr>
          <xdr:spPr>
            <a:xfrm>
              <a:off x="7112000" y="42799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114300</xdr:colOff>
      <xdr:row>2</xdr:row>
      <xdr:rowOff>101600</xdr:rowOff>
    </xdr:from>
    <xdr:to>
      <xdr:col>11</xdr:col>
      <xdr:colOff>558800</xdr:colOff>
      <xdr:row>16</xdr:row>
      <xdr:rowOff>0</xdr:rowOff>
    </xdr:to>
    <xdr:graphicFrame macro="">
      <xdr:nvGraphicFramePr>
        <xdr:cNvPr id="3" name="Chart 2">
          <a:extLst>
            <a:ext uri="{FF2B5EF4-FFF2-40B4-BE49-F238E27FC236}">
              <a16:creationId xmlns:a16="http://schemas.microsoft.com/office/drawing/2014/main" id="{A3B41E55-621D-174E-AB3A-98587CA4A2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342900</xdr:colOff>
      <xdr:row>21</xdr:row>
      <xdr:rowOff>12700</xdr:rowOff>
    </xdr:from>
    <xdr:to>
      <xdr:col>8</xdr:col>
      <xdr:colOff>520700</xdr:colOff>
      <xdr:row>33</xdr:row>
      <xdr:rowOff>193672</xdr:rowOff>
    </xdr:to>
    <mc:AlternateContent xmlns:mc="http://schemas.openxmlformats.org/markup-compatibility/2006" xmlns:a14="http://schemas.microsoft.com/office/drawing/2010/main">
      <mc:Choice Requires="a14">
        <xdr:graphicFrame macro="">
          <xdr:nvGraphicFramePr>
            <xdr:cNvPr id="2" name="dataset 3">
              <a:extLst>
                <a:ext uri="{FF2B5EF4-FFF2-40B4-BE49-F238E27FC236}">
                  <a16:creationId xmlns:a16="http://schemas.microsoft.com/office/drawing/2014/main" id="{08CE35C8-D61F-A448-A615-5FFB3A1AC135}"/>
                </a:ext>
              </a:extLst>
            </xdr:cNvPr>
            <xdr:cNvGraphicFramePr/>
          </xdr:nvGraphicFramePr>
          <xdr:xfrm>
            <a:off x="0" y="0"/>
            <a:ext cx="0" cy="0"/>
          </xdr:xfrm>
          <a:graphic>
            <a:graphicData uri="http://schemas.microsoft.com/office/drawing/2010/slicer">
              <sle:slicer xmlns:sle="http://schemas.microsoft.com/office/drawing/2010/slicer" name="dataset 3"/>
            </a:graphicData>
          </a:graphic>
        </xdr:graphicFrame>
      </mc:Choice>
      <mc:Fallback xmlns="">
        <xdr:sp macro="" textlink="">
          <xdr:nvSpPr>
            <xdr:cNvPr id="0" name=""/>
            <xdr:cNvSpPr>
              <a:spLocks noTextEdit="1"/>
            </xdr:cNvSpPr>
          </xdr:nvSpPr>
          <xdr:spPr>
            <a:xfrm>
              <a:off x="7683500" y="42799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114300</xdr:colOff>
      <xdr:row>2</xdr:row>
      <xdr:rowOff>101600</xdr:rowOff>
    </xdr:from>
    <xdr:to>
      <xdr:col>11</xdr:col>
      <xdr:colOff>558800</xdr:colOff>
      <xdr:row>16</xdr:row>
      <xdr:rowOff>0</xdr:rowOff>
    </xdr:to>
    <xdr:graphicFrame macro="">
      <xdr:nvGraphicFramePr>
        <xdr:cNvPr id="3" name="Chart 2">
          <a:extLst>
            <a:ext uri="{FF2B5EF4-FFF2-40B4-BE49-F238E27FC236}">
              <a16:creationId xmlns:a16="http://schemas.microsoft.com/office/drawing/2014/main" id="{B107C202-555D-A643-A000-EEE1DD37E9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342900</xdr:colOff>
      <xdr:row>21</xdr:row>
      <xdr:rowOff>12700</xdr:rowOff>
    </xdr:from>
    <xdr:to>
      <xdr:col>8</xdr:col>
      <xdr:colOff>520700</xdr:colOff>
      <xdr:row>33</xdr:row>
      <xdr:rowOff>193672</xdr:rowOff>
    </xdr:to>
    <mc:AlternateContent xmlns:mc="http://schemas.openxmlformats.org/markup-compatibility/2006" xmlns:a14="http://schemas.microsoft.com/office/drawing/2010/main">
      <mc:Choice Requires="a14">
        <xdr:graphicFrame macro="">
          <xdr:nvGraphicFramePr>
            <xdr:cNvPr id="2" name="dataset 4">
              <a:extLst>
                <a:ext uri="{FF2B5EF4-FFF2-40B4-BE49-F238E27FC236}">
                  <a16:creationId xmlns:a16="http://schemas.microsoft.com/office/drawing/2014/main" id="{1AEE9AD6-0A2D-D246-90ED-11A980DC5A2D}"/>
                </a:ext>
              </a:extLst>
            </xdr:cNvPr>
            <xdr:cNvGraphicFramePr/>
          </xdr:nvGraphicFramePr>
          <xdr:xfrm>
            <a:off x="0" y="0"/>
            <a:ext cx="0" cy="0"/>
          </xdr:xfrm>
          <a:graphic>
            <a:graphicData uri="http://schemas.microsoft.com/office/drawing/2010/slicer">
              <sle:slicer xmlns:sle="http://schemas.microsoft.com/office/drawing/2010/slicer" name="dataset 4"/>
            </a:graphicData>
          </a:graphic>
        </xdr:graphicFrame>
      </mc:Choice>
      <mc:Fallback xmlns="">
        <xdr:sp macro="" textlink="">
          <xdr:nvSpPr>
            <xdr:cNvPr id="0" name=""/>
            <xdr:cNvSpPr>
              <a:spLocks noTextEdit="1"/>
            </xdr:cNvSpPr>
          </xdr:nvSpPr>
          <xdr:spPr>
            <a:xfrm>
              <a:off x="7226300" y="42799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114300</xdr:colOff>
      <xdr:row>2</xdr:row>
      <xdr:rowOff>101600</xdr:rowOff>
    </xdr:from>
    <xdr:to>
      <xdr:col>11</xdr:col>
      <xdr:colOff>558800</xdr:colOff>
      <xdr:row>16</xdr:row>
      <xdr:rowOff>0</xdr:rowOff>
    </xdr:to>
    <xdr:graphicFrame macro="">
      <xdr:nvGraphicFramePr>
        <xdr:cNvPr id="3" name="Chart 2">
          <a:extLst>
            <a:ext uri="{FF2B5EF4-FFF2-40B4-BE49-F238E27FC236}">
              <a16:creationId xmlns:a16="http://schemas.microsoft.com/office/drawing/2014/main" id="{5182011A-5888-5743-A9FA-3936A34265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3</xdr:row>
      <xdr:rowOff>0</xdr:rowOff>
    </xdr:from>
    <xdr:to>
      <xdr:col>13</xdr:col>
      <xdr:colOff>330200</xdr:colOff>
      <xdr:row>34</xdr:row>
      <xdr:rowOff>0</xdr:rowOff>
    </xdr:to>
    <xdr:grpSp>
      <xdr:nvGrpSpPr>
        <xdr:cNvPr id="6" name="Group 5">
          <a:extLst>
            <a:ext uri="{FF2B5EF4-FFF2-40B4-BE49-F238E27FC236}">
              <a16:creationId xmlns:a16="http://schemas.microsoft.com/office/drawing/2014/main" id="{AC21C416-7173-195D-DE6E-2AE1693AFCC9}"/>
            </a:ext>
          </a:extLst>
        </xdr:cNvPr>
        <xdr:cNvGrpSpPr/>
      </xdr:nvGrpSpPr>
      <xdr:grpSpPr>
        <a:xfrm>
          <a:off x="1651000" y="609600"/>
          <a:ext cx="9410700" cy="6299200"/>
          <a:chOff x="1651000" y="609600"/>
          <a:chExt cx="9410700" cy="6299200"/>
        </a:xfrm>
      </xdr:grpSpPr>
      <xdr:graphicFrame macro="">
        <xdr:nvGraphicFramePr>
          <xdr:cNvPr id="2" name="Chart 1">
            <a:extLst>
              <a:ext uri="{FF2B5EF4-FFF2-40B4-BE49-F238E27FC236}">
                <a16:creationId xmlns:a16="http://schemas.microsoft.com/office/drawing/2014/main" id="{47F3CE85-B370-CE4E-A7F0-AD3D43FE6B90}"/>
              </a:ext>
            </a:extLst>
          </xdr:cNvPr>
          <xdr:cNvGraphicFramePr>
            <a:graphicFrameLocks/>
          </xdr:cNvGraphicFramePr>
        </xdr:nvGraphicFramePr>
        <xdr:xfrm>
          <a:off x="1651000" y="609600"/>
          <a:ext cx="4838700" cy="33528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363CE0EA-FADF-4141-903A-EB608A413C98}"/>
              </a:ext>
            </a:extLst>
          </xdr:cNvPr>
          <xdr:cNvGraphicFramePr>
            <a:graphicFrameLocks/>
          </xdr:cNvGraphicFramePr>
        </xdr:nvGraphicFramePr>
        <xdr:xfrm>
          <a:off x="6489700" y="609600"/>
          <a:ext cx="4572000" cy="33528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5EF79167-259B-5649-8ACD-251761815E6D}"/>
              </a:ext>
            </a:extLst>
          </xdr:cNvPr>
          <xdr:cNvGraphicFramePr>
            <a:graphicFrameLocks/>
          </xdr:cNvGraphicFramePr>
        </xdr:nvGraphicFramePr>
        <xdr:xfrm>
          <a:off x="1651000" y="3962400"/>
          <a:ext cx="4838700" cy="29464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7395680E-FF2A-9A48-8C5A-A2DF72A5D1BC}"/>
              </a:ext>
            </a:extLst>
          </xdr:cNvPr>
          <xdr:cNvGraphicFramePr>
            <a:graphicFrameLocks/>
          </xdr:cNvGraphicFramePr>
        </xdr:nvGraphicFramePr>
        <xdr:xfrm>
          <a:off x="6489700" y="3962400"/>
          <a:ext cx="4572000" cy="294640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342900</xdr:colOff>
      <xdr:row>21</xdr:row>
      <xdr:rowOff>12700</xdr:rowOff>
    </xdr:from>
    <xdr:to>
      <xdr:col>7</xdr:col>
      <xdr:colOff>419100</xdr:colOff>
      <xdr:row>33</xdr:row>
      <xdr:rowOff>193672</xdr:rowOff>
    </xdr:to>
    <mc:AlternateContent xmlns:mc="http://schemas.openxmlformats.org/markup-compatibility/2006">
      <mc:Choice xmlns:a14="http://schemas.microsoft.com/office/drawing/2010/main" Requires="a14">
        <xdr:graphicFrame macro="">
          <xdr:nvGraphicFramePr>
            <xdr:cNvPr id="2" name="dataset 5">
              <a:extLst>
                <a:ext uri="{FF2B5EF4-FFF2-40B4-BE49-F238E27FC236}">
                  <a16:creationId xmlns:a16="http://schemas.microsoft.com/office/drawing/2014/main" id="{8D3C2283-9DE9-2F43-BE03-A142FA7E9927}"/>
                </a:ext>
              </a:extLst>
            </xdr:cNvPr>
            <xdr:cNvGraphicFramePr/>
          </xdr:nvGraphicFramePr>
          <xdr:xfrm>
            <a:off x="0" y="0"/>
            <a:ext cx="0" cy="0"/>
          </xdr:xfrm>
          <a:graphic>
            <a:graphicData uri="http://schemas.microsoft.com/office/drawing/2010/slicer">
              <sle:slicer xmlns:sle="http://schemas.microsoft.com/office/drawing/2010/slicer" name="dataset 5"/>
            </a:graphicData>
          </a:graphic>
        </xdr:graphicFrame>
      </mc:Choice>
      <mc:Fallback>
        <xdr:sp macro="" textlink="">
          <xdr:nvSpPr>
            <xdr:cNvPr id="0" name=""/>
            <xdr:cNvSpPr>
              <a:spLocks noTextEdit="1"/>
            </xdr:cNvSpPr>
          </xdr:nvSpPr>
          <xdr:spPr>
            <a:xfrm>
              <a:off x="7607300" y="42799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1638300</xdr:colOff>
      <xdr:row>3</xdr:row>
      <xdr:rowOff>127000</xdr:rowOff>
    </xdr:from>
    <xdr:to>
      <xdr:col>10</xdr:col>
      <xdr:colOff>2095500</xdr:colOff>
      <xdr:row>18</xdr:row>
      <xdr:rowOff>177800</xdr:rowOff>
    </xdr:to>
    <xdr:graphicFrame macro="">
      <xdr:nvGraphicFramePr>
        <xdr:cNvPr id="3" name="Chart 2">
          <a:extLst>
            <a:ext uri="{FF2B5EF4-FFF2-40B4-BE49-F238E27FC236}">
              <a16:creationId xmlns:a16="http://schemas.microsoft.com/office/drawing/2014/main" id="{65CBE144-2265-C941-98F8-67D1BE4A8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342900</xdr:colOff>
      <xdr:row>21</xdr:row>
      <xdr:rowOff>12700</xdr:rowOff>
    </xdr:from>
    <xdr:to>
      <xdr:col>7</xdr:col>
      <xdr:colOff>419100</xdr:colOff>
      <xdr:row>33</xdr:row>
      <xdr:rowOff>193672</xdr:rowOff>
    </xdr:to>
    <mc:AlternateContent xmlns:mc="http://schemas.openxmlformats.org/markup-compatibility/2006">
      <mc:Choice xmlns:a14="http://schemas.microsoft.com/office/drawing/2010/main" Requires="a14">
        <xdr:graphicFrame macro="">
          <xdr:nvGraphicFramePr>
            <xdr:cNvPr id="2" name="dataset 6">
              <a:extLst>
                <a:ext uri="{FF2B5EF4-FFF2-40B4-BE49-F238E27FC236}">
                  <a16:creationId xmlns:a16="http://schemas.microsoft.com/office/drawing/2014/main" id="{8CBD17F9-5FBF-6E41-B05E-4044AC84B395}"/>
                </a:ext>
              </a:extLst>
            </xdr:cNvPr>
            <xdr:cNvGraphicFramePr/>
          </xdr:nvGraphicFramePr>
          <xdr:xfrm>
            <a:off x="0" y="0"/>
            <a:ext cx="0" cy="0"/>
          </xdr:xfrm>
          <a:graphic>
            <a:graphicData uri="http://schemas.microsoft.com/office/drawing/2010/slicer">
              <sle:slicer xmlns:sle="http://schemas.microsoft.com/office/drawing/2010/slicer" name="dataset 6"/>
            </a:graphicData>
          </a:graphic>
        </xdr:graphicFrame>
      </mc:Choice>
      <mc:Fallback>
        <xdr:sp macro="" textlink="">
          <xdr:nvSpPr>
            <xdr:cNvPr id="0" name=""/>
            <xdr:cNvSpPr>
              <a:spLocks noTextEdit="1"/>
            </xdr:cNvSpPr>
          </xdr:nvSpPr>
          <xdr:spPr>
            <a:xfrm>
              <a:off x="7734300" y="42799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1638300</xdr:colOff>
      <xdr:row>3</xdr:row>
      <xdr:rowOff>127000</xdr:rowOff>
    </xdr:from>
    <xdr:to>
      <xdr:col>10</xdr:col>
      <xdr:colOff>2095500</xdr:colOff>
      <xdr:row>18</xdr:row>
      <xdr:rowOff>177800</xdr:rowOff>
    </xdr:to>
    <xdr:graphicFrame macro="">
      <xdr:nvGraphicFramePr>
        <xdr:cNvPr id="3" name="Chart 2">
          <a:extLst>
            <a:ext uri="{FF2B5EF4-FFF2-40B4-BE49-F238E27FC236}">
              <a16:creationId xmlns:a16="http://schemas.microsoft.com/office/drawing/2014/main" id="{E2E2B0DE-7E99-794B-AF02-0070F96FED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litha Lakshan" refreshedDate="46022.331121527779" createdVersion="8" refreshedVersion="8" minRefreshableVersion="3" recordCount="348" xr:uid="{354711CD-2EB0-764A-954A-7BA44263AA29}">
  <cacheSource type="worksheet">
    <worksheetSource ref="A1:L349" sheet="Sheet2"/>
  </cacheSource>
  <cacheFields count="12">
    <cacheField name="dataset" numFmtId="0">
      <sharedItems count="4">
        <s v="Email-EuAll"/>
        <s v="cit-Patents"/>
        <s v="soc-LiveJournal1"/>
        <s v="soc-pokec-relationships"/>
      </sharedItems>
    </cacheField>
    <cacheField name="timestamp" numFmtId="0">
      <sharedItems containsSemiMixedTypes="0" containsString="0" containsNumber="1" containsInteger="1" minValue="1767073394" maxValue="1767074076"/>
    </cacheField>
    <cacheField name="container" numFmtId="0">
      <sharedItems count="4">
        <s v="namenode"/>
        <s v="datanode"/>
        <s v="resourcemanager"/>
        <s v="nodemanager"/>
      </sharedItems>
    </cacheField>
    <cacheField name="net_io" numFmtId="0">
      <sharedItems/>
    </cacheField>
    <cacheField name="net_rx_mib" numFmtId="2">
      <sharedItems containsSemiMixedTypes="0" containsString="0" containsNumber="1" minValue="1.2493133544921875" maxValue="5502.7008056640625"/>
    </cacheField>
    <cacheField name="net_tx_mib" numFmtId="2">
      <sharedItems containsSemiMixedTypes="0" containsString="0" containsNumber="1" minValue="0.61130523681640625" maxValue="5521.7742919921875"/>
    </cacheField>
    <cacheField name="net_total_mib" numFmtId="2">
      <sharedItems containsSemiMixedTypes="0" containsString="0" containsNumber="1" minValue="1.8606185913085938" maxValue="11005.401611328125"/>
    </cacheField>
    <cacheField name="elapsed_s" numFmtId="1">
      <sharedItems containsSemiMixedTypes="0" containsString="0" containsNumber="1" containsInteger="1" minValue="0" maxValue="200" count="41">
        <n v="0"/>
        <n v="5"/>
        <n v="10"/>
        <n v="15"/>
        <n v="20"/>
        <n v="25"/>
        <n v="30"/>
        <n v="35"/>
        <n v="40"/>
        <n v="45"/>
        <n v="50"/>
        <n v="55"/>
        <n v="60"/>
        <n v="65"/>
        <n v="70"/>
        <n v="75"/>
        <n v="80"/>
        <n v="85"/>
        <n v="90"/>
        <n v="95"/>
        <n v="100"/>
        <n v="105"/>
        <n v="110"/>
        <n v="115"/>
        <n v="120"/>
        <n v="125"/>
        <n v="130"/>
        <n v="135"/>
        <n v="140"/>
        <n v="145"/>
        <n v="150"/>
        <n v="155"/>
        <n v="160"/>
        <n v="165"/>
        <n v="170"/>
        <n v="175"/>
        <n v="180"/>
        <n v="185"/>
        <n v="190"/>
        <n v="195"/>
        <n v="200"/>
      </sharedItems>
    </cacheField>
    <cacheField name="net_rx_mib_delta" numFmtId="2">
      <sharedItems containsSemiMixedTypes="0" containsString="0" containsNumber="1" minValue="0" maxValue="66.7572021484375"/>
    </cacheField>
    <cacheField name="net_tx_mib_delta" numFmtId="2">
      <sharedItems containsSemiMixedTypes="0" containsString="0" containsNumber="1" minValue="0" maxValue="85.8306884765625"/>
    </cacheField>
    <cacheField name="net_total_mib_delta" numFmtId="2">
      <sharedItems containsSemiMixedTypes="0" containsString="0" containsNumber="1" minValue="0" maxValue="85.8306884765625"/>
    </cacheField>
    <cacheField name="net_total_mib_job" numFmtId="2">
      <sharedItems containsSemiMixedTypes="0" containsString="0" containsNumber="1" minValue="0" maxValue="1153.9459228515625"/>
    </cacheField>
  </cacheFields>
  <extLst>
    <ext xmlns:x14="http://schemas.microsoft.com/office/spreadsheetml/2009/9/main" uri="{725AE2AE-9491-48be-B2B4-4EB974FC3084}">
      <x14:pivotCacheDefinition pivotCacheId="1656898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8">
  <r>
    <x v="0"/>
    <n v="1767073394"/>
    <x v="0"/>
    <s v="12.1MB / 3.63GB"/>
    <n v="11.539459228515625"/>
    <n v="3461.8377685546875"/>
    <n v="3473.3772277832031"/>
    <x v="0"/>
    <n v="0"/>
    <n v="0"/>
    <n v="0"/>
    <n v="0"/>
  </r>
  <r>
    <x v="0"/>
    <n v="1767073394"/>
    <x v="1"/>
    <s v="3.83GB / 3.85GB"/>
    <n v="3652.5726318359375"/>
    <n v="3671.6461181640625"/>
    <n v="7324.21875"/>
    <x v="0"/>
    <n v="0"/>
    <n v="0"/>
    <n v="0"/>
    <n v="0"/>
  </r>
  <r>
    <x v="0"/>
    <n v="1767073394"/>
    <x v="2"/>
    <s v="1.31MB / 641kB"/>
    <n v="1.2493133544921875"/>
    <n v="0.61130523681640625"/>
    <n v="1.8606185913085938"/>
    <x v="0"/>
    <n v="0"/>
    <n v="0"/>
    <n v="0"/>
    <n v="0"/>
  </r>
  <r>
    <x v="0"/>
    <n v="1767073394"/>
    <x v="3"/>
    <s v="3.84GB / 211MB"/>
    <n v="3662.109375"/>
    <n v="201.22528076171875"/>
    <n v="3863.3346557617188"/>
    <x v="0"/>
    <n v="0"/>
    <n v="0"/>
    <n v="0"/>
    <n v="0"/>
  </r>
  <r>
    <x v="0"/>
    <n v="1767073401"/>
    <x v="0"/>
    <s v="12.1MB / 3.63GB"/>
    <n v="11.539459228515625"/>
    <n v="3461.8377685546875"/>
    <n v="3473.3772277832031"/>
    <x v="1"/>
    <n v="0"/>
    <n v="0"/>
    <n v="0"/>
    <n v="0"/>
  </r>
  <r>
    <x v="0"/>
    <n v="1767073401"/>
    <x v="1"/>
    <s v="3.84GB / 3.85GB"/>
    <n v="3662.109375"/>
    <n v="3671.6461181640625"/>
    <n v="7333.7554931640625"/>
    <x v="1"/>
    <n v="9.5367431640625"/>
    <n v="0"/>
    <n v="9.5367431640625"/>
    <n v="9.5367431640625"/>
  </r>
  <r>
    <x v="0"/>
    <n v="1767073401"/>
    <x v="2"/>
    <s v="1.32MB / 651kB"/>
    <n v="1.25885009765625"/>
    <n v="0.62084197998046875"/>
    <n v="1.8796920776367188"/>
    <x v="1"/>
    <n v="9.5367431640625E-3"/>
    <n v="9.5367431640625E-3"/>
    <n v="1.9073486328125E-2"/>
    <n v="1.9073486328125E-2"/>
  </r>
  <r>
    <x v="0"/>
    <n v="1767073401"/>
    <x v="3"/>
    <s v="3.84GB / 211MB"/>
    <n v="3662.109375"/>
    <n v="201.22528076171875"/>
    <n v="3863.3346557617188"/>
    <x v="1"/>
    <n v="0"/>
    <n v="0"/>
    <n v="0"/>
    <n v="0"/>
  </r>
  <r>
    <x v="0"/>
    <n v="1767073409"/>
    <x v="0"/>
    <s v="12.1MB / 3.63GB"/>
    <n v="11.539459228515625"/>
    <n v="3461.8377685546875"/>
    <n v="3473.3772277832031"/>
    <x v="2"/>
    <n v="0"/>
    <n v="0"/>
    <n v="0"/>
    <n v="0"/>
  </r>
  <r>
    <x v="0"/>
    <n v="1767073409"/>
    <x v="1"/>
    <s v="3.84GB / 3.85GB"/>
    <n v="3662.109375"/>
    <n v="3671.6461181640625"/>
    <n v="7333.7554931640625"/>
    <x v="2"/>
    <n v="0"/>
    <n v="0"/>
    <n v="0"/>
    <n v="9.5367431640625"/>
  </r>
  <r>
    <x v="0"/>
    <n v="1767073409"/>
    <x v="2"/>
    <s v="1.33MB / 660kB"/>
    <n v="1.2683868408203125"/>
    <n v="0.629425048828125"/>
    <n v="1.8978118896484375"/>
    <x v="2"/>
    <n v="9.5367431640625E-3"/>
    <n v="8.58306884765625E-3"/>
    <n v="1.811981201171875E-2"/>
    <n v="3.719329833984375E-2"/>
  </r>
  <r>
    <x v="0"/>
    <n v="1767073409"/>
    <x v="3"/>
    <s v="3.84GB / 211MB"/>
    <n v="3662.109375"/>
    <n v="201.22528076171875"/>
    <n v="3863.3346557617188"/>
    <x v="2"/>
    <n v="0"/>
    <n v="0"/>
    <n v="0"/>
    <n v="0"/>
  </r>
  <r>
    <x v="0"/>
    <n v="1767073416"/>
    <x v="0"/>
    <s v="12.1MB / 3.63GB"/>
    <n v="11.539459228515625"/>
    <n v="3461.8377685546875"/>
    <n v="3473.3772277832031"/>
    <x v="3"/>
    <n v="0"/>
    <n v="0"/>
    <n v="0"/>
    <n v="0"/>
  </r>
  <r>
    <x v="0"/>
    <n v="1767073416"/>
    <x v="1"/>
    <s v="3.84GB / 3.86GB"/>
    <n v="3662.109375"/>
    <n v="3681.182861328125"/>
    <n v="7343.292236328125"/>
    <x v="3"/>
    <n v="0"/>
    <n v="9.5367431640625"/>
    <n v="9.5367431640625"/>
    <n v="19.073486328125"/>
  </r>
  <r>
    <x v="0"/>
    <n v="1767073416"/>
    <x v="2"/>
    <s v="1.34MB / 662kB"/>
    <n v="1.277923583984375"/>
    <n v="0.6313323974609375"/>
    <n v="1.9092559814453125"/>
    <x v="3"/>
    <n v="9.5367431640625E-3"/>
    <n v="1.9073486328125E-3"/>
    <n v="1.1444091796875E-2"/>
    <n v="4.863739013671875E-2"/>
  </r>
  <r>
    <x v="0"/>
    <n v="1767073416"/>
    <x v="3"/>
    <s v="3.85GB / 211MB"/>
    <n v="3671.6461181640625"/>
    <n v="201.22528076171875"/>
    <n v="3872.8713989257812"/>
    <x v="3"/>
    <n v="9.5367431640625"/>
    <n v="0"/>
    <n v="9.5367431640625"/>
    <n v="9.5367431640625"/>
  </r>
  <r>
    <x v="0"/>
    <n v="1767073424"/>
    <x v="0"/>
    <s v="12.2MB / 3.63GB"/>
    <n v="11.63482666015625"/>
    <n v="3461.8377685546875"/>
    <n v="3473.4725952148438"/>
    <x v="4"/>
    <n v="9.5367431640625E-2"/>
    <n v="0"/>
    <n v="9.5367431640625E-2"/>
    <n v="9.5367431640625E-2"/>
  </r>
  <r>
    <x v="0"/>
    <n v="1767073424"/>
    <x v="1"/>
    <s v="3.84GB / 3.86GB"/>
    <n v="3662.109375"/>
    <n v="3681.182861328125"/>
    <n v="7343.292236328125"/>
    <x v="4"/>
    <n v="0"/>
    <n v="0"/>
    <n v="0"/>
    <n v="19.073486328125"/>
  </r>
  <r>
    <x v="0"/>
    <n v="1767073424"/>
    <x v="2"/>
    <s v="1.35MB / 668kB"/>
    <n v="1.2874603271484375"/>
    <n v="0.637054443359375"/>
    <n v="1.9245147705078125"/>
    <x v="4"/>
    <n v="9.5367431640625E-3"/>
    <n v="5.7220458984375E-3"/>
    <n v="1.52587890625E-2"/>
    <n v="6.389617919921875E-2"/>
  </r>
  <r>
    <x v="0"/>
    <n v="1767073424"/>
    <x v="3"/>
    <s v="3.85GB / 212MB"/>
    <n v="3671.6461181640625"/>
    <n v="202.178955078125"/>
    <n v="3873.8250732421875"/>
    <x v="4"/>
    <n v="0"/>
    <n v="0.95367431640625"/>
    <n v="0.95367431640625"/>
    <n v="10.49041748046875"/>
  </r>
  <r>
    <x v="0"/>
    <n v="1767073431"/>
    <x v="0"/>
    <s v="12.2MB / 3.63GB"/>
    <n v="11.63482666015625"/>
    <n v="3461.8377685546875"/>
    <n v="3473.4725952148438"/>
    <x v="5"/>
    <n v="0"/>
    <n v="0"/>
    <n v="0"/>
    <n v="9.5367431640625E-2"/>
  </r>
  <r>
    <x v="0"/>
    <n v="1767073431"/>
    <x v="1"/>
    <s v="3.84GB / 3.86GB"/>
    <n v="3662.109375"/>
    <n v="3681.182861328125"/>
    <n v="7343.292236328125"/>
    <x v="5"/>
    <n v="0"/>
    <n v="0"/>
    <n v="0"/>
    <n v="19.073486328125"/>
  </r>
  <r>
    <x v="0"/>
    <n v="1767073431"/>
    <x v="2"/>
    <s v="1.36MB / 681kB"/>
    <n v="1.2969970703125"/>
    <n v="0.64945220947265625"/>
    <n v="1.9464492797851562"/>
    <x v="5"/>
    <n v="9.5367431640625E-3"/>
    <n v="1.239776611328125E-2"/>
    <n v="2.193450927734375E-2"/>
    <n v="8.58306884765625E-2"/>
  </r>
  <r>
    <x v="0"/>
    <n v="1767073431"/>
    <x v="3"/>
    <s v="3.85GB / 212MB"/>
    <n v="3671.6461181640625"/>
    <n v="202.178955078125"/>
    <n v="3873.8250732421875"/>
    <x v="5"/>
    <n v="0"/>
    <n v="0"/>
    <n v="0"/>
    <n v="10.49041748046875"/>
  </r>
  <r>
    <x v="0"/>
    <n v="1767073439"/>
    <x v="0"/>
    <s v="12.2MB / 3.63GB"/>
    <n v="11.63482666015625"/>
    <n v="3461.8377685546875"/>
    <n v="3473.4725952148438"/>
    <x v="6"/>
    <n v="0"/>
    <n v="0"/>
    <n v="0"/>
    <n v="9.5367431640625E-2"/>
  </r>
  <r>
    <x v="0"/>
    <n v="1767073439"/>
    <x v="1"/>
    <s v="3.84GB / 3.86GB"/>
    <n v="3662.109375"/>
    <n v="3681.182861328125"/>
    <n v="7343.292236328125"/>
    <x v="6"/>
    <n v="0"/>
    <n v="0"/>
    <n v="0"/>
    <n v="19.073486328125"/>
  </r>
  <r>
    <x v="0"/>
    <n v="1767073439"/>
    <x v="2"/>
    <s v="1.37MB / 687kB"/>
    <n v="1.3065338134765625"/>
    <n v="0.65517425537109375"/>
    <n v="1.9617080688476562"/>
    <x v="6"/>
    <n v="9.5367431640625E-3"/>
    <n v="5.7220458984375E-3"/>
    <n v="1.52587890625E-2"/>
    <n v="0.1010894775390625"/>
  </r>
  <r>
    <x v="0"/>
    <n v="1767073439"/>
    <x v="3"/>
    <s v="3.85GB / 212MB"/>
    <n v="3671.6461181640625"/>
    <n v="202.178955078125"/>
    <n v="3873.8250732421875"/>
    <x v="6"/>
    <n v="0"/>
    <n v="0"/>
    <n v="0"/>
    <n v="10.49041748046875"/>
  </r>
  <r>
    <x v="0"/>
    <n v="1767073446"/>
    <x v="0"/>
    <s v="12.2MB / 3.63GB"/>
    <n v="11.63482666015625"/>
    <n v="3461.8377685546875"/>
    <n v="3473.4725952148438"/>
    <x v="7"/>
    <n v="0"/>
    <n v="0"/>
    <n v="0"/>
    <n v="9.5367431640625E-2"/>
  </r>
  <r>
    <x v="0"/>
    <n v="1767073446"/>
    <x v="1"/>
    <s v="3.84GB / 3.86GB"/>
    <n v="3662.109375"/>
    <n v="3681.182861328125"/>
    <n v="7343.292236328125"/>
    <x v="7"/>
    <n v="0"/>
    <n v="0"/>
    <n v="0"/>
    <n v="19.073486328125"/>
  </r>
  <r>
    <x v="0"/>
    <n v="1767073446"/>
    <x v="2"/>
    <s v="1.37MB / 689kB"/>
    <n v="1.3065338134765625"/>
    <n v="0.65708160400390625"/>
    <n v="1.9636154174804688"/>
    <x v="7"/>
    <n v="0"/>
    <n v="1.9073486328125E-3"/>
    <n v="1.9073486328125E-3"/>
    <n v="0.102996826171875"/>
  </r>
  <r>
    <x v="0"/>
    <n v="1767073446"/>
    <x v="3"/>
    <s v="3.85GB / 213MB"/>
    <n v="3671.6461181640625"/>
    <n v="203.13262939453125"/>
    <n v="3874.7787475585938"/>
    <x v="7"/>
    <n v="0"/>
    <n v="0.95367431640625"/>
    <n v="0.95367431640625"/>
    <n v="11.444091796875"/>
  </r>
  <r>
    <x v="1"/>
    <n v="1767073464"/>
    <x v="0"/>
    <s v="12.8MB / 3.91GB"/>
    <n v="12.20703125"/>
    <n v="3728.8665771484375"/>
    <n v="3741.0736083984375"/>
    <x v="0"/>
    <n v="0"/>
    <n v="0"/>
    <n v="0"/>
    <n v="0"/>
  </r>
  <r>
    <x v="1"/>
    <n v="1767073464"/>
    <x v="1"/>
    <s v="4.12GB / 3.86GB"/>
    <n v="3929.13818359375"/>
    <n v="3681.182861328125"/>
    <n v="7610.321044921875"/>
    <x v="0"/>
    <n v="0"/>
    <n v="0"/>
    <n v="0"/>
    <n v="0"/>
  </r>
  <r>
    <x v="1"/>
    <n v="1767073464"/>
    <x v="2"/>
    <s v="1.38MB / 693kB"/>
    <n v="1.316070556640625"/>
    <n v="0.66089630126953125"/>
    <n v="1.9769668579101562"/>
    <x v="0"/>
    <n v="0"/>
    <n v="0"/>
    <n v="0"/>
    <n v="0"/>
  </r>
  <r>
    <x v="1"/>
    <n v="1767073464"/>
    <x v="3"/>
    <s v="3.85GB / 213MB"/>
    <n v="3671.6461181640625"/>
    <n v="203.13262939453125"/>
    <n v="3874.7787475585938"/>
    <x v="0"/>
    <n v="0"/>
    <n v="0"/>
    <n v="0"/>
    <n v="0"/>
  </r>
  <r>
    <x v="1"/>
    <n v="1767073471"/>
    <x v="0"/>
    <s v="12.8MB / 3.91GB"/>
    <n v="12.20703125"/>
    <n v="3728.8665771484375"/>
    <n v="3741.0736083984375"/>
    <x v="1"/>
    <n v="0"/>
    <n v="0"/>
    <n v="0"/>
    <n v="0"/>
  </r>
  <r>
    <x v="1"/>
    <n v="1767073471"/>
    <x v="1"/>
    <s v="4.12GB / 3.86GB"/>
    <n v="3929.13818359375"/>
    <n v="3681.182861328125"/>
    <n v="7610.321044921875"/>
    <x v="1"/>
    <n v="0"/>
    <n v="0"/>
    <n v="0"/>
    <n v="0"/>
  </r>
  <r>
    <x v="1"/>
    <n v="1767073471"/>
    <x v="2"/>
    <s v="1.39MB / 703kB"/>
    <n v="1.3256072998046875"/>
    <n v="0.67043304443359375"/>
    <n v="1.9960403442382812"/>
    <x v="1"/>
    <n v="9.5367431640625E-3"/>
    <n v="9.5367431640625E-3"/>
    <n v="1.9073486328125E-2"/>
    <n v="1.9073486328125E-2"/>
  </r>
  <r>
    <x v="1"/>
    <n v="1767073471"/>
    <x v="3"/>
    <s v="3.85GB / 213MB"/>
    <n v="3671.6461181640625"/>
    <n v="203.13262939453125"/>
    <n v="3874.7787475585938"/>
    <x v="1"/>
    <n v="0"/>
    <n v="0"/>
    <n v="0"/>
    <n v="0"/>
  </r>
  <r>
    <x v="1"/>
    <n v="1767073479"/>
    <x v="0"/>
    <s v="12.8MB / 3.91GB"/>
    <n v="12.20703125"/>
    <n v="3728.8665771484375"/>
    <n v="3741.0736083984375"/>
    <x v="2"/>
    <n v="0"/>
    <n v="0"/>
    <n v="0"/>
    <n v="0"/>
  </r>
  <r>
    <x v="1"/>
    <n v="1767073479"/>
    <x v="1"/>
    <s v="4.12GB / 3.86GB"/>
    <n v="3929.13818359375"/>
    <n v="3681.182861328125"/>
    <n v="7610.321044921875"/>
    <x v="2"/>
    <n v="0"/>
    <n v="0"/>
    <n v="0"/>
    <n v="0"/>
  </r>
  <r>
    <x v="1"/>
    <n v="1767073479"/>
    <x v="2"/>
    <s v="1.4MB / 713kB"/>
    <n v="1.33514404296875"/>
    <n v="0.67996978759765625"/>
    <n v="2.0151138305664062"/>
    <x v="2"/>
    <n v="9.5367431640625E-3"/>
    <n v="9.5367431640625E-3"/>
    <n v="1.9073486328125E-2"/>
    <n v="3.814697265625E-2"/>
  </r>
  <r>
    <x v="1"/>
    <n v="1767073479"/>
    <x v="3"/>
    <s v="3.85GB / 213MB"/>
    <n v="3671.6461181640625"/>
    <n v="203.13262939453125"/>
    <n v="3874.7787475585938"/>
    <x v="2"/>
    <n v="0"/>
    <n v="0"/>
    <n v="0"/>
    <n v="0"/>
  </r>
  <r>
    <x v="1"/>
    <n v="1767073486"/>
    <x v="0"/>
    <s v="12.8MB / 3.91GB"/>
    <n v="12.20703125"/>
    <n v="3728.8665771484375"/>
    <n v="3741.0736083984375"/>
    <x v="3"/>
    <n v="0"/>
    <n v="0"/>
    <n v="0"/>
    <n v="0"/>
  </r>
  <r>
    <x v="1"/>
    <n v="1767073486"/>
    <x v="1"/>
    <s v="4.12GB / 3.93GB"/>
    <n v="3929.13818359375"/>
    <n v="3747.9400634765625"/>
    <n v="7677.0782470703125"/>
    <x v="3"/>
    <n v="0"/>
    <n v="66.7572021484375"/>
    <n v="66.7572021484375"/>
    <n v="66.7572021484375"/>
  </r>
  <r>
    <x v="1"/>
    <n v="1767073486"/>
    <x v="2"/>
    <s v="1.41MB / 715kB"/>
    <n v="1.3446807861328125"/>
    <n v="0.68187713623046875"/>
    <n v="2.0265579223632812"/>
    <x v="3"/>
    <n v="9.5367431640625E-3"/>
    <n v="1.9073486328125E-3"/>
    <n v="1.1444091796875E-2"/>
    <n v="4.9591064453125E-2"/>
  </r>
  <r>
    <x v="1"/>
    <n v="1767073486"/>
    <x v="3"/>
    <s v="3.92GB / 213MB"/>
    <n v="3738.4033203125"/>
    <n v="203.13262939453125"/>
    <n v="3941.5359497070312"/>
    <x v="3"/>
    <n v="66.7572021484375"/>
    <n v="0"/>
    <n v="66.7572021484375"/>
    <n v="66.7572021484375"/>
  </r>
  <r>
    <x v="1"/>
    <n v="1767073494"/>
    <x v="0"/>
    <s v="12.8MB / 3.91GB"/>
    <n v="12.20703125"/>
    <n v="3728.8665771484375"/>
    <n v="3741.0736083984375"/>
    <x v="4"/>
    <n v="0"/>
    <n v="0"/>
    <n v="0"/>
    <n v="0"/>
  </r>
  <r>
    <x v="1"/>
    <n v="1767073494"/>
    <x v="1"/>
    <s v="4.12GB / 3.98GB"/>
    <n v="3929.13818359375"/>
    <n v="3795.623779296875"/>
    <n v="7724.761962890625"/>
    <x v="4"/>
    <n v="0"/>
    <n v="47.6837158203125"/>
    <n v="47.6837158203125"/>
    <n v="114.44091796875"/>
  </r>
  <r>
    <x v="1"/>
    <n v="1767073494"/>
    <x v="2"/>
    <s v="1.41MB / 717kB"/>
    <n v="1.3446807861328125"/>
    <n v="0.68378448486328125"/>
    <n v="2.0284652709960938"/>
    <x v="4"/>
    <n v="0"/>
    <n v="1.9073486328125E-3"/>
    <n v="1.9073486328125E-3"/>
    <n v="5.14984130859375E-2"/>
  </r>
  <r>
    <x v="1"/>
    <n v="1767073494"/>
    <x v="3"/>
    <s v="3.97GB / 214MB"/>
    <n v="3786.0870361328125"/>
    <n v="204.0863037109375"/>
    <n v="3990.17333984375"/>
    <x v="4"/>
    <n v="47.6837158203125"/>
    <n v="0.95367431640625"/>
    <n v="48.63739013671875"/>
    <n v="115.39459228515625"/>
  </r>
  <r>
    <x v="1"/>
    <n v="1767073501"/>
    <x v="0"/>
    <s v="12.8MB / 3.91GB"/>
    <n v="12.20703125"/>
    <n v="3728.8665771484375"/>
    <n v="3741.0736083984375"/>
    <x v="5"/>
    <n v="0"/>
    <n v="0"/>
    <n v="0"/>
    <n v="0"/>
  </r>
  <r>
    <x v="1"/>
    <n v="1767073501"/>
    <x v="1"/>
    <s v="4.12GB / 4.01GB"/>
    <n v="3929.13818359375"/>
    <n v="3824.2340087890625"/>
    <n v="7753.3721923828125"/>
    <x v="5"/>
    <n v="0"/>
    <n v="28.6102294921875"/>
    <n v="28.6102294921875"/>
    <n v="143.0511474609375"/>
  </r>
  <r>
    <x v="1"/>
    <n v="1767073501"/>
    <x v="2"/>
    <s v="1.42MB / 718kB"/>
    <n v="1.354217529296875"/>
    <n v="0.6847381591796875"/>
    <n v="2.0389556884765625"/>
    <x v="5"/>
    <n v="9.5367431640625E-3"/>
    <n v="9.5367431640625E-4"/>
    <n v="1.049041748046875E-2"/>
    <n v="6.198883056640625E-2"/>
  </r>
  <r>
    <x v="1"/>
    <n v="1767073501"/>
    <x v="3"/>
    <s v="4GB / 214MB"/>
    <n v="3814.697265625"/>
    <n v="204.0863037109375"/>
    <n v="4018.7835693359375"/>
    <x v="5"/>
    <n v="28.6102294921875"/>
    <n v="0"/>
    <n v="28.6102294921875"/>
    <n v="144.00482177734375"/>
  </r>
  <r>
    <x v="1"/>
    <n v="1767073509"/>
    <x v="0"/>
    <s v="12.8MB / 3.91GB"/>
    <n v="12.20703125"/>
    <n v="3728.8665771484375"/>
    <n v="3741.0736083984375"/>
    <x v="6"/>
    <n v="0"/>
    <n v="0"/>
    <n v="0"/>
    <n v="0"/>
  </r>
  <r>
    <x v="1"/>
    <n v="1767073509"/>
    <x v="1"/>
    <s v="4.12GB / 4.01GB"/>
    <n v="3929.13818359375"/>
    <n v="3824.2340087890625"/>
    <n v="7753.3721923828125"/>
    <x v="6"/>
    <n v="0"/>
    <n v="0"/>
    <n v="0"/>
    <n v="143.0511474609375"/>
  </r>
  <r>
    <x v="1"/>
    <n v="1767073509"/>
    <x v="2"/>
    <s v="1.43MB / 721kB"/>
    <n v="1.3637542724609375"/>
    <n v="0.68759918212890625"/>
    <n v="2.0513534545898438"/>
    <x v="6"/>
    <n v="9.5367431640625E-3"/>
    <n v="2.86102294921875E-3"/>
    <n v="1.239776611328125E-2"/>
    <n v="7.43865966796875E-2"/>
  </r>
  <r>
    <x v="1"/>
    <n v="1767073509"/>
    <x v="3"/>
    <s v="4GB / 214MB"/>
    <n v="3814.697265625"/>
    <n v="204.0863037109375"/>
    <n v="4018.7835693359375"/>
    <x v="6"/>
    <n v="0"/>
    <n v="0"/>
    <n v="0"/>
    <n v="144.00482177734375"/>
  </r>
  <r>
    <x v="1"/>
    <n v="1767073516"/>
    <x v="0"/>
    <s v="12.8MB / 3.91GB"/>
    <n v="12.20703125"/>
    <n v="3728.8665771484375"/>
    <n v="3741.0736083984375"/>
    <x v="7"/>
    <n v="0"/>
    <n v="0"/>
    <n v="0"/>
    <n v="0"/>
  </r>
  <r>
    <x v="1"/>
    <n v="1767073516"/>
    <x v="1"/>
    <s v="4.12GB / 4.07GB"/>
    <n v="3929.13818359375"/>
    <n v="3881.454467773438"/>
    <n v="7810.5926513671875"/>
    <x v="7"/>
    <n v="0"/>
    <n v="57.220458984375455"/>
    <n v="57.220458984375"/>
    <n v="200.2716064453125"/>
  </r>
  <r>
    <x v="1"/>
    <n v="1767073516"/>
    <x v="2"/>
    <s v="1.43MB / 723kB"/>
    <n v="1.3637542724609375"/>
    <n v="0.68950653076171875"/>
    <n v="2.0532608032226562"/>
    <x v="7"/>
    <n v="0"/>
    <n v="1.9073486328125E-3"/>
    <n v="1.9073486328125E-3"/>
    <n v="7.62939453125E-2"/>
  </r>
  <r>
    <x v="1"/>
    <n v="1767073516"/>
    <x v="3"/>
    <s v="4.06GB / 214MB"/>
    <n v="3871.9177246093745"/>
    <n v="204.0863037109375"/>
    <n v="4076.004028320312"/>
    <x v="7"/>
    <n v="57.220458984374545"/>
    <n v="0"/>
    <n v="57.220458984374545"/>
    <n v="201.2252807617183"/>
  </r>
  <r>
    <x v="1"/>
    <n v="1767073523"/>
    <x v="0"/>
    <s v="12.9MB / 3.91GB"/>
    <n v="12.302398681640625"/>
    <n v="3728.8665771484375"/>
    <n v="3741.1689758300781"/>
    <x v="8"/>
    <n v="9.5367431640625E-2"/>
    <n v="0"/>
    <n v="9.5367431640625E-2"/>
    <n v="9.5367431640625E-2"/>
  </r>
  <r>
    <x v="1"/>
    <n v="1767073523"/>
    <x v="1"/>
    <s v="4.12GB / 4.12GB"/>
    <n v="3929.13818359375"/>
    <n v="3929.13818359375"/>
    <n v="7858.2763671875"/>
    <x v="8"/>
    <n v="0"/>
    <n v="47.683715820312045"/>
    <n v="47.6837158203125"/>
    <n v="247.955322265625"/>
  </r>
  <r>
    <x v="1"/>
    <n v="1767073523"/>
    <x v="2"/>
    <s v="1.44MB / 724kB"/>
    <n v="1.373291015625"/>
    <n v="0.690460205078125"/>
    <n v="2.063751220703125"/>
    <x v="8"/>
    <n v="9.5367431640625E-3"/>
    <n v="9.5367431640625E-4"/>
    <n v="1.049041748046875E-2"/>
    <n v="8.678436279296875E-2"/>
  </r>
  <r>
    <x v="1"/>
    <n v="1767073523"/>
    <x v="3"/>
    <s v="4.12GB / 214MB"/>
    <n v="3929.13818359375"/>
    <n v="204.0863037109375"/>
    <n v="4133.2244873046875"/>
    <x v="8"/>
    <n v="57.220458984375455"/>
    <n v="0"/>
    <n v="57.220458984375455"/>
    <n v="258.44573974609375"/>
  </r>
  <r>
    <x v="1"/>
    <n v="1767073530"/>
    <x v="0"/>
    <s v="12.9MB / 3.91GB"/>
    <n v="12.302398681640625"/>
    <n v="3728.8665771484375"/>
    <n v="3741.1689758300781"/>
    <x v="9"/>
    <n v="0"/>
    <n v="0"/>
    <n v="0"/>
    <n v="9.5367431640625E-2"/>
  </r>
  <r>
    <x v="1"/>
    <n v="1767073530"/>
    <x v="1"/>
    <s v="4.12GB / 4.15GB"/>
    <n v="3929.13818359375"/>
    <n v="3957.7484130859375"/>
    <n v="7886.8865966796875"/>
    <x v="9"/>
    <n v="0"/>
    <n v="28.6102294921875"/>
    <n v="28.6102294921875"/>
    <n v="276.5655517578125"/>
  </r>
  <r>
    <x v="1"/>
    <n v="1767073530"/>
    <x v="2"/>
    <s v="1.45MB / 726kB"/>
    <n v="1.3828277587890625"/>
    <n v="0.6923675537109375"/>
    <n v="2.0751953125"/>
    <x v="9"/>
    <n v="9.5367431640625E-3"/>
    <n v="1.9073486328125E-3"/>
    <n v="1.1444091796875E-2"/>
    <n v="9.822845458984375E-2"/>
  </r>
  <r>
    <x v="1"/>
    <n v="1767073530"/>
    <x v="3"/>
    <s v="4.14GB / 214MB"/>
    <n v="3948.211669921875"/>
    <n v="204.0863037109375"/>
    <n v="4152.2979736328125"/>
    <x v="9"/>
    <n v="19.073486328125"/>
    <n v="0"/>
    <n v="19.073486328125"/>
    <n v="277.51922607421875"/>
  </r>
  <r>
    <x v="1"/>
    <n v="1767073538"/>
    <x v="0"/>
    <s v="12.9MB / 3.91GB"/>
    <n v="12.302398681640625"/>
    <n v="3728.8665771484375"/>
    <n v="3741.1689758300781"/>
    <x v="10"/>
    <n v="0"/>
    <n v="0"/>
    <n v="0"/>
    <n v="9.5367431640625E-2"/>
  </r>
  <r>
    <x v="1"/>
    <n v="1767073538"/>
    <x v="1"/>
    <s v="4.14GB / 4.15GB"/>
    <n v="3948.211669921875"/>
    <n v="3957.7484130859375"/>
    <n v="7905.9600830078125"/>
    <x v="10"/>
    <n v="19.073486328125"/>
    <n v="0"/>
    <n v="19.073486328125"/>
    <n v="295.6390380859375"/>
  </r>
  <r>
    <x v="1"/>
    <n v="1767073538"/>
    <x v="2"/>
    <s v="1.46MB / 729kB"/>
    <n v="1.392364501953125"/>
    <n v="0.69522857666015625"/>
    <n v="2.0875930786132812"/>
    <x v="10"/>
    <n v="9.5367431640625E-3"/>
    <n v="2.86102294921875E-3"/>
    <n v="1.239776611328125E-2"/>
    <n v="0.110626220703125"/>
  </r>
  <r>
    <x v="1"/>
    <n v="1767073538"/>
    <x v="3"/>
    <s v="4.14GB / 221MB"/>
    <n v="3948.211669921875"/>
    <n v="210.76202392578125"/>
    <n v="4158.9736938476562"/>
    <x v="10"/>
    <n v="0"/>
    <n v="6.67572021484375"/>
    <n v="6.67572021484375"/>
    <n v="284.1949462890625"/>
  </r>
  <r>
    <x v="1"/>
    <n v="1767073545"/>
    <x v="0"/>
    <s v="12.9MB / 3.91GB"/>
    <n v="12.302398681640625"/>
    <n v="3728.8665771484375"/>
    <n v="3741.1689758300781"/>
    <x v="11"/>
    <n v="0"/>
    <n v="0"/>
    <n v="0"/>
    <n v="9.5367431640625E-2"/>
  </r>
  <r>
    <x v="1"/>
    <n v="1767073545"/>
    <x v="1"/>
    <s v="4.16GB / 4.15GB"/>
    <n v="3967.28515625"/>
    <n v="3957.7484130859375"/>
    <n v="7925.0335693359375"/>
    <x v="11"/>
    <n v="19.073486328125"/>
    <n v="0"/>
    <n v="19.073486328125"/>
    <n v="314.7125244140625"/>
  </r>
  <r>
    <x v="1"/>
    <n v="1767073545"/>
    <x v="2"/>
    <s v="1.46MB / 731kB"/>
    <n v="1.392364501953125"/>
    <n v="0.69713592529296875"/>
    <n v="2.0895004272460938"/>
    <x v="11"/>
    <n v="0"/>
    <n v="1.9073486328125E-3"/>
    <n v="1.9073486328125E-3"/>
    <n v="0.1125335693359375"/>
  </r>
  <r>
    <x v="1"/>
    <n v="1767073545"/>
    <x v="3"/>
    <s v="4.14GB / 248MB"/>
    <n v="3948.211669921875"/>
    <n v="236.51123046875"/>
    <n v="4184.722900390625"/>
    <x v="11"/>
    <n v="0"/>
    <n v="25.74920654296875"/>
    <n v="25.74920654296875"/>
    <n v="309.94415283203125"/>
  </r>
  <r>
    <x v="1"/>
    <n v="1767073553"/>
    <x v="0"/>
    <s v="12.9MB / 3.91GB"/>
    <n v="12.302398681640625"/>
    <n v="3728.8665771484375"/>
    <n v="3741.1689758300781"/>
    <x v="12"/>
    <n v="0"/>
    <n v="0"/>
    <n v="0"/>
    <n v="9.5367431640625E-2"/>
  </r>
  <r>
    <x v="1"/>
    <n v="1767073553"/>
    <x v="1"/>
    <s v="4.16GB / 4.15GB"/>
    <n v="3967.28515625"/>
    <n v="3957.7484130859375"/>
    <n v="7925.0335693359375"/>
    <x v="12"/>
    <n v="0"/>
    <n v="0"/>
    <n v="0"/>
    <n v="314.7125244140625"/>
  </r>
  <r>
    <x v="1"/>
    <n v="1767073553"/>
    <x v="2"/>
    <s v="1.47MB / 747kB"/>
    <n v="1.4019012451171875"/>
    <n v="0.71239471435546875"/>
    <n v="2.1142959594726562"/>
    <x v="12"/>
    <n v="9.5367431640625E-3"/>
    <n v="1.52587890625E-2"/>
    <n v="2.47955322265625E-2"/>
    <n v="0.1373291015625"/>
  </r>
  <r>
    <x v="1"/>
    <n v="1767073553"/>
    <x v="3"/>
    <s v="4.14GB / 248MB"/>
    <n v="3948.211669921875"/>
    <n v="236.51123046875"/>
    <n v="4184.722900390625"/>
    <x v="12"/>
    <n v="0"/>
    <n v="0"/>
    <n v="0"/>
    <n v="309.94415283203125"/>
  </r>
  <r>
    <x v="1"/>
    <n v="1767073560"/>
    <x v="0"/>
    <s v="12.9MB / 3.91GB"/>
    <n v="12.302398681640625"/>
    <n v="3728.8665771484375"/>
    <n v="3741.1689758300781"/>
    <x v="13"/>
    <n v="0"/>
    <n v="0"/>
    <n v="0"/>
    <n v="9.5367431640625E-2"/>
  </r>
  <r>
    <x v="1"/>
    <n v="1767073560"/>
    <x v="1"/>
    <s v="4.16GB / 4.15GB"/>
    <n v="3967.28515625"/>
    <n v="3957.7484130859375"/>
    <n v="7925.0335693359375"/>
    <x v="13"/>
    <n v="0"/>
    <n v="0"/>
    <n v="0"/>
    <n v="314.7125244140625"/>
  </r>
  <r>
    <x v="1"/>
    <n v="1767073560"/>
    <x v="2"/>
    <s v="1.48MB / 753kB"/>
    <n v="1.41143798828125"/>
    <n v="0.71811676025390625"/>
    <n v="2.1295547485351562"/>
    <x v="13"/>
    <n v="9.5367431640625E-3"/>
    <n v="5.7220458984375E-3"/>
    <n v="1.52587890625E-2"/>
    <n v="0.152587890625"/>
  </r>
  <r>
    <x v="1"/>
    <n v="1767073560"/>
    <x v="3"/>
    <s v="4.14GB / 248MB"/>
    <n v="3948.211669921875"/>
    <n v="236.51123046875"/>
    <n v="4184.722900390625"/>
    <x v="13"/>
    <n v="0"/>
    <n v="0"/>
    <n v="0"/>
    <n v="309.94415283203125"/>
  </r>
  <r>
    <x v="1"/>
    <n v="1767073568"/>
    <x v="0"/>
    <s v="13MB / 3.91GB"/>
    <n v="12.39776611328125"/>
    <n v="3728.8665771484375"/>
    <n v="3741.2643432617188"/>
    <x v="14"/>
    <n v="9.5367431640625E-2"/>
    <n v="0"/>
    <n v="9.5367431640625E-2"/>
    <n v="0.19073486328125"/>
  </r>
  <r>
    <x v="1"/>
    <n v="1767073568"/>
    <x v="1"/>
    <s v="4.16GB / 4.18GB"/>
    <n v="3967.28515625"/>
    <n v="3986.358642578125"/>
    <n v="7953.643798828125"/>
    <x v="14"/>
    <n v="0"/>
    <n v="28.6102294921875"/>
    <n v="28.6102294921875"/>
    <n v="343.32275390625"/>
  </r>
  <r>
    <x v="1"/>
    <n v="1767073568"/>
    <x v="2"/>
    <s v="1.49MB / 755kB"/>
    <n v="1.4209747314453125"/>
    <n v="0.72002410888671875"/>
    <n v="2.1409988403320312"/>
    <x v="14"/>
    <n v="9.5367431640625E-3"/>
    <n v="1.9073486328125E-3"/>
    <n v="1.1444091796875E-2"/>
    <n v="0.164031982421875"/>
  </r>
  <r>
    <x v="1"/>
    <n v="1767073568"/>
    <x v="3"/>
    <s v="4.17GB / 248MB"/>
    <n v="3976.8218994140625"/>
    <n v="236.51123046875"/>
    <n v="4213.3331298828125"/>
    <x v="14"/>
    <n v="28.6102294921875"/>
    <n v="0"/>
    <n v="28.6102294921875"/>
    <n v="338.55438232421875"/>
  </r>
  <r>
    <x v="1"/>
    <n v="1767073575"/>
    <x v="0"/>
    <s v="13MB / 3.91GB"/>
    <n v="12.39776611328125"/>
    <n v="3728.8665771484375"/>
    <n v="3741.2643432617188"/>
    <x v="15"/>
    <n v="0"/>
    <n v="0"/>
    <n v="0"/>
    <n v="0.19073486328125"/>
  </r>
  <r>
    <x v="1"/>
    <n v="1767073575"/>
    <x v="1"/>
    <s v="4.16GB / 4.18GB"/>
    <n v="3967.28515625"/>
    <n v="3986.358642578125"/>
    <n v="7953.643798828125"/>
    <x v="15"/>
    <n v="0"/>
    <n v="0"/>
    <n v="0"/>
    <n v="343.32275390625"/>
  </r>
  <r>
    <x v="1"/>
    <n v="1767073575"/>
    <x v="2"/>
    <s v="1.5MB / 757kB"/>
    <n v="1.430511474609375"/>
    <n v="0.72193145751953125"/>
    <n v="2.1524429321289062"/>
    <x v="15"/>
    <n v="9.5367431640625E-3"/>
    <n v="1.9073486328125E-3"/>
    <n v="1.1444091796875E-2"/>
    <n v="0.17547607421875"/>
  </r>
  <r>
    <x v="1"/>
    <n v="1767073575"/>
    <x v="3"/>
    <s v="4.17GB / 248MB"/>
    <n v="3976.8218994140625"/>
    <n v="236.51123046875"/>
    <n v="4213.3331298828125"/>
    <x v="15"/>
    <n v="0"/>
    <n v="0"/>
    <n v="0"/>
    <n v="338.55438232421875"/>
  </r>
  <r>
    <x v="2"/>
    <n v="1767073603"/>
    <x v="0"/>
    <s v="22.5MB / 5.01GB"/>
    <n v="21.457672119140625"/>
    <n v="4777.9083251953125"/>
    <n v="4799.3659973144531"/>
    <x v="0"/>
    <n v="0"/>
    <n v="0"/>
    <n v="0"/>
    <n v="0"/>
  </r>
  <r>
    <x v="2"/>
    <n v="1767073603"/>
    <x v="1"/>
    <s v="5.25GB / 4.19GB"/>
    <n v="5006.7901611328125"/>
    <n v="3995.8953857421875"/>
    <n v="9002.685546875"/>
    <x v="0"/>
    <n v="0"/>
    <n v="0"/>
    <n v="0"/>
    <n v="0"/>
  </r>
  <r>
    <x v="2"/>
    <n v="1767073603"/>
    <x v="2"/>
    <s v="1.51MB / 762kB"/>
    <n v="1.4400482177734375"/>
    <n v="0.7266998291015625"/>
    <n v="2.166748046875"/>
    <x v="0"/>
    <n v="0"/>
    <n v="0"/>
    <n v="0"/>
    <n v="0"/>
  </r>
  <r>
    <x v="2"/>
    <n v="1767073603"/>
    <x v="3"/>
    <s v="4.17GB / 248MB"/>
    <n v="3976.8218994140625"/>
    <n v="236.51123046875"/>
    <n v="4213.3331298828125"/>
    <x v="0"/>
    <n v="0"/>
    <n v="0"/>
    <n v="0"/>
    <n v="0"/>
  </r>
  <r>
    <x v="2"/>
    <n v="1767073611"/>
    <x v="0"/>
    <s v="22.6MB / 5.01GB"/>
    <n v="21.55303955078125"/>
    <n v="4777.9083251953125"/>
    <n v="4799.4613647460938"/>
    <x v="1"/>
    <n v="9.5367431640625E-2"/>
    <n v="0"/>
    <n v="9.5367431640625E-2"/>
    <n v="9.5367431640625E-2"/>
  </r>
  <r>
    <x v="2"/>
    <n v="1767073611"/>
    <x v="1"/>
    <s v="5.25GB / 4.19GB"/>
    <n v="5006.7901611328125"/>
    <n v="3995.8953857421875"/>
    <n v="9002.685546875"/>
    <x v="1"/>
    <n v="0"/>
    <n v="0"/>
    <n v="0"/>
    <n v="0"/>
  </r>
  <r>
    <x v="2"/>
    <n v="1767073611"/>
    <x v="2"/>
    <s v="1.52MB / 773kB"/>
    <n v="1.4495849609375"/>
    <n v="0.73719024658203125"/>
    <n v="2.1867752075195312"/>
    <x v="1"/>
    <n v="9.5367431640625E-3"/>
    <n v="1.049041748046875E-2"/>
    <n v="2.002716064453125E-2"/>
    <n v="2.002716064453125E-2"/>
  </r>
  <r>
    <x v="2"/>
    <n v="1767073611"/>
    <x v="3"/>
    <s v="4.17GB / 248MB"/>
    <n v="3976.8218994140625"/>
    <n v="236.51123046875"/>
    <n v="4213.3331298828125"/>
    <x v="1"/>
    <n v="0"/>
    <n v="0"/>
    <n v="0"/>
    <n v="0"/>
  </r>
  <r>
    <x v="2"/>
    <n v="1767073618"/>
    <x v="0"/>
    <s v="22.6MB / 5.01GB"/>
    <n v="21.55303955078125"/>
    <n v="4777.9083251953125"/>
    <n v="4799.4613647460938"/>
    <x v="2"/>
    <n v="0"/>
    <n v="0"/>
    <n v="0"/>
    <n v="9.5367431640625E-2"/>
  </r>
  <r>
    <x v="2"/>
    <n v="1767073618"/>
    <x v="1"/>
    <s v="5.26GB / 4.19GB"/>
    <n v="5016.326904296875"/>
    <n v="3995.8953857421875"/>
    <n v="9012.2222900390625"/>
    <x v="2"/>
    <n v="9.5367431640625"/>
    <n v="0"/>
    <n v="9.5367431640625"/>
    <n v="9.5367431640625"/>
  </r>
  <r>
    <x v="2"/>
    <n v="1767073618"/>
    <x v="2"/>
    <s v="1.53MB / 782kB"/>
    <n v="1.4591217041015625"/>
    <n v="0.7457733154296875"/>
    <n v="2.20489501953125"/>
    <x v="2"/>
    <n v="9.5367431640625E-3"/>
    <n v="8.58306884765625E-3"/>
    <n v="1.811981201171875E-2"/>
    <n v="3.814697265625E-2"/>
  </r>
  <r>
    <x v="2"/>
    <n v="1767073618"/>
    <x v="3"/>
    <s v="4.17GB / 249MB"/>
    <n v="3976.8218994140625"/>
    <n v="237.46490478515625"/>
    <n v="4214.2868041992188"/>
    <x v="2"/>
    <n v="0"/>
    <n v="0.95367431640625"/>
    <n v="0.95367431640625"/>
    <n v="0.95367431640625"/>
  </r>
  <r>
    <x v="2"/>
    <n v="1767073626"/>
    <x v="0"/>
    <s v="22.6MB / 5.01GB"/>
    <n v="21.55303955078125"/>
    <n v="4777.9083251953125"/>
    <n v="4799.4613647460938"/>
    <x v="3"/>
    <n v="0"/>
    <n v="0"/>
    <n v="0"/>
    <n v="9.5367431640625E-2"/>
  </r>
  <r>
    <x v="2"/>
    <n v="1767073626"/>
    <x v="1"/>
    <s v="5.26GB / 4.25GB"/>
    <n v="5016.326904296875"/>
    <n v="4053.1158447265625"/>
    <n v="9069.4427490234375"/>
    <x v="3"/>
    <n v="0"/>
    <n v="57.220458984375"/>
    <n v="57.220458984375"/>
    <n v="66.7572021484375"/>
  </r>
  <r>
    <x v="2"/>
    <n v="1767073626"/>
    <x v="2"/>
    <s v="1.53MB / 784kB"/>
    <n v="1.4591217041015625"/>
    <n v="0.7476806640625"/>
    <n v="2.2068023681640625"/>
    <x v="3"/>
    <n v="0"/>
    <n v="1.9073486328125E-3"/>
    <n v="1.9073486328125E-3"/>
    <n v="4.00543212890625E-2"/>
  </r>
  <r>
    <x v="2"/>
    <n v="1767073626"/>
    <x v="3"/>
    <s v="4.23GB / 249MB"/>
    <n v="4034.0423583984375"/>
    <n v="237.46490478515625"/>
    <n v="4271.5072631835938"/>
    <x v="3"/>
    <n v="57.220458984375"/>
    <n v="0"/>
    <n v="57.220458984375"/>
    <n v="58.17413330078125"/>
  </r>
  <r>
    <x v="2"/>
    <n v="1767073633"/>
    <x v="0"/>
    <s v="22.6MB / 5.01GB"/>
    <n v="21.55303955078125"/>
    <n v="4777.9083251953125"/>
    <n v="4799.4613647460938"/>
    <x v="4"/>
    <n v="0"/>
    <n v="0"/>
    <n v="0"/>
    <n v="9.5367431640625E-2"/>
  </r>
  <r>
    <x v="2"/>
    <n v="1767073633"/>
    <x v="1"/>
    <s v="5.26GB / 4.3GB"/>
    <n v="5016.326904296875"/>
    <n v="4100.799560546875"/>
    <n v="9117.12646484375"/>
    <x v="4"/>
    <n v="0"/>
    <n v="47.6837158203125"/>
    <n v="47.6837158203125"/>
    <n v="114.44091796875"/>
  </r>
  <r>
    <x v="2"/>
    <n v="1767073633"/>
    <x v="2"/>
    <s v="1.54MB / 786kB"/>
    <n v="1.468658447265625"/>
    <n v="0.7495880126953125"/>
    <n v="2.2182464599609375"/>
    <x v="4"/>
    <n v="9.5367431640625E-3"/>
    <n v="1.9073486328125E-3"/>
    <n v="1.1444091796875E-2"/>
    <n v="5.14984130859375E-2"/>
  </r>
  <r>
    <x v="2"/>
    <n v="1767073633"/>
    <x v="3"/>
    <s v="4.29GB / 249MB"/>
    <n v="4091.2628173828125"/>
    <n v="237.46490478515625"/>
    <n v="4328.7277221679688"/>
    <x v="4"/>
    <n v="57.220458984375"/>
    <n v="0"/>
    <n v="57.220458984375"/>
    <n v="115.39459228515625"/>
  </r>
  <r>
    <x v="2"/>
    <n v="1767073641"/>
    <x v="0"/>
    <s v="22.6MB / 5.01GB"/>
    <n v="21.55303955078125"/>
    <n v="4777.9083251953125"/>
    <n v="4799.4613647460938"/>
    <x v="5"/>
    <n v="0"/>
    <n v="0"/>
    <n v="0"/>
    <n v="9.5367431640625E-2"/>
  </r>
  <r>
    <x v="2"/>
    <n v="1767073641"/>
    <x v="1"/>
    <s v="5.26GB / 4.33GB"/>
    <n v="5016.326904296875"/>
    <n v="4129.4097900390625"/>
    <n v="9145.7366943359375"/>
    <x v="5"/>
    <n v="0"/>
    <n v="28.6102294921875"/>
    <n v="28.6102294921875"/>
    <n v="143.0511474609375"/>
  </r>
  <r>
    <x v="2"/>
    <n v="1767073641"/>
    <x v="2"/>
    <s v="1.55MB / 787kB"/>
    <n v="1.4781951904296875"/>
    <n v="0.75054168701171875"/>
    <n v="2.2287368774414062"/>
    <x v="5"/>
    <n v="9.5367431640625E-3"/>
    <n v="9.5367431640625E-4"/>
    <n v="1.049041748046875E-2"/>
    <n v="6.198883056640625E-2"/>
  </r>
  <r>
    <x v="2"/>
    <n v="1767073641"/>
    <x v="3"/>
    <s v="4.31GB / 249MB"/>
    <n v="4110.3363037109375"/>
    <n v="237.46490478515625"/>
    <n v="4347.8012084960938"/>
    <x v="5"/>
    <n v="19.073486328125"/>
    <n v="0"/>
    <n v="19.073486328125"/>
    <n v="134.46807861328125"/>
  </r>
  <r>
    <x v="2"/>
    <n v="1767073648"/>
    <x v="0"/>
    <s v="22.6MB / 5.01GB"/>
    <n v="21.55303955078125"/>
    <n v="4777.9083251953125"/>
    <n v="4799.4613647460938"/>
    <x v="6"/>
    <n v="0"/>
    <n v="0"/>
    <n v="0"/>
    <n v="9.5367431640625E-2"/>
  </r>
  <r>
    <x v="2"/>
    <n v="1767073648"/>
    <x v="1"/>
    <s v="5.26GB / 4.36GB"/>
    <n v="5016.326904296875"/>
    <n v="4158.02001953125"/>
    <n v="9174.346923828125"/>
    <x v="6"/>
    <n v="0"/>
    <n v="28.6102294921875"/>
    <n v="28.6102294921875"/>
    <n v="171.661376953125"/>
  </r>
  <r>
    <x v="2"/>
    <n v="1767073648"/>
    <x v="2"/>
    <s v="1.56MB / 790kB"/>
    <n v="1.48773193359375"/>
    <n v="0.7534027099609375"/>
    <n v="2.2411346435546875"/>
    <x v="6"/>
    <n v="9.5367431640625E-3"/>
    <n v="2.86102294921875E-3"/>
    <n v="1.239776611328125E-2"/>
    <n v="7.43865966796875E-2"/>
  </r>
  <r>
    <x v="2"/>
    <n v="1767073648"/>
    <x v="3"/>
    <s v="4.34GB / 249MB"/>
    <n v="4138.946533203125"/>
    <n v="237.46490478515625"/>
    <n v="4376.4114379882812"/>
    <x v="6"/>
    <n v="28.6102294921875"/>
    <n v="0"/>
    <n v="28.6102294921875"/>
    <n v="163.07830810546875"/>
  </r>
  <r>
    <x v="2"/>
    <n v="1767073656"/>
    <x v="0"/>
    <s v="22.6MB / 5.01GB"/>
    <n v="21.55303955078125"/>
    <n v="4777.9083251953125"/>
    <n v="4799.4613647460938"/>
    <x v="7"/>
    <n v="0"/>
    <n v="0"/>
    <n v="0"/>
    <n v="9.5367431640625E-2"/>
  </r>
  <r>
    <x v="2"/>
    <n v="1767073656"/>
    <x v="1"/>
    <s v="5.26GB / 4.42GB"/>
    <n v="5016.326904296875"/>
    <n v="4215.240478515625"/>
    <n v="9231.5673828125"/>
    <x v="7"/>
    <n v="0"/>
    <n v="57.220458984375"/>
    <n v="57.220458984375"/>
    <n v="228.8818359375"/>
  </r>
  <r>
    <x v="2"/>
    <n v="1767073656"/>
    <x v="2"/>
    <s v="1.56MB / 792kB"/>
    <n v="1.48773193359375"/>
    <n v="0.75531005859375"/>
    <n v="2.2430419921875"/>
    <x v="7"/>
    <n v="0"/>
    <n v="1.9073486328125E-3"/>
    <n v="1.9073486328125E-3"/>
    <n v="7.62939453125E-2"/>
  </r>
  <r>
    <x v="2"/>
    <n v="1767073656"/>
    <x v="3"/>
    <s v="4.4GB / 250MB"/>
    <n v="4196.1669921875"/>
    <n v="238.4185791015625"/>
    <n v="4434.5855712890625"/>
    <x v="7"/>
    <n v="57.220458984375"/>
    <n v="0.95367431640625"/>
    <n v="58.17413330078125"/>
    <n v="221.25244140625"/>
  </r>
  <r>
    <x v="2"/>
    <n v="1767073662"/>
    <x v="0"/>
    <s v="22.6MB / 5.01GB"/>
    <n v="21.55303955078125"/>
    <n v="4777.9083251953125"/>
    <n v="4799.4613647460938"/>
    <x v="8"/>
    <n v="0"/>
    <n v="0"/>
    <n v="0"/>
    <n v="9.5367431640625E-2"/>
  </r>
  <r>
    <x v="2"/>
    <n v="1767073662"/>
    <x v="1"/>
    <s v="5.26GB / 4.47GB"/>
    <n v="5016.326904296875"/>
    <n v="4262.9241943359375"/>
    <n v="9279.2510986328125"/>
    <x v="8"/>
    <n v="0"/>
    <n v="47.6837158203125"/>
    <n v="47.6837158203125"/>
    <n v="276.5655517578125"/>
  </r>
  <r>
    <x v="2"/>
    <n v="1767073662"/>
    <x v="2"/>
    <s v="1.57MB / 793kB"/>
    <n v="1.4972686767578125"/>
    <n v="0.75626373291015625"/>
    <n v="2.2535324096679688"/>
    <x v="8"/>
    <n v="9.5367431640625E-3"/>
    <n v="9.5367431640625E-4"/>
    <n v="1.049041748046875E-2"/>
    <n v="8.678436279296875E-2"/>
  </r>
  <r>
    <x v="2"/>
    <n v="1767073662"/>
    <x v="3"/>
    <s v="4.45GB / 250MB"/>
    <n v="4243.8507080078125"/>
    <n v="238.4185791015625"/>
    <n v="4482.269287109375"/>
    <x v="8"/>
    <n v="47.6837158203125"/>
    <n v="0"/>
    <n v="47.6837158203125"/>
    <n v="268.9361572265625"/>
  </r>
  <r>
    <x v="2"/>
    <n v="1767073670"/>
    <x v="0"/>
    <s v="22.6MB / 5.01GB"/>
    <n v="21.55303955078125"/>
    <n v="4777.9083251953125"/>
    <n v="4799.4613647460938"/>
    <x v="9"/>
    <n v="0"/>
    <n v="0"/>
    <n v="0"/>
    <n v="9.5367431640625E-2"/>
  </r>
  <r>
    <x v="2"/>
    <n v="1767073670"/>
    <x v="1"/>
    <s v="5.26GB / 4.47GB"/>
    <n v="5016.326904296875"/>
    <n v="4262.9241943359375"/>
    <n v="9279.2510986328125"/>
    <x v="9"/>
    <n v="0"/>
    <n v="0"/>
    <n v="0"/>
    <n v="276.5655517578125"/>
  </r>
  <r>
    <x v="2"/>
    <n v="1767073670"/>
    <x v="2"/>
    <s v="1.57MB / 795kB"/>
    <n v="1.4972686767578125"/>
    <n v="0.75817108154296875"/>
    <n v="2.2554397583007812"/>
    <x v="9"/>
    <n v="0"/>
    <n v="1.9073486328125E-3"/>
    <n v="1.9073486328125E-3"/>
    <n v="8.869171142578125E-2"/>
  </r>
  <r>
    <x v="2"/>
    <n v="1767073670"/>
    <x v="3"/>
    <s v="4.45GB / 250MB"/>
    <n v="4243.8507080078125"/>
    <n v="238.4185791015625"/>
    <n v="4482.269287109375"/>
    <x v="9"/>
    <n v="0"/>
    <n v="0"/>
    <n v="0"/>
    <n v="268.9361572265625"/>
  </r>
  <r>
    <x v="2"/>
    <n v="1767073677"/>
    <x v="0"/>
    <s v="22.6MB / 5.01GB"/>
    <n v="21.55303955078125"/>
    <n v="4777.9083251953125"/>
    <n v="4799.4613647460938"/>
    <x v="10"/>
    <n v="0"/>
    <n v="0"/>
    <n v="0"/>
    <n v="9.5367431640625E-2"/>
  </r>
  <r>
    <x v="2"/>
    <n v="1767073677"/>
    <x v="1"/>
    <s v="5.26GB / 4.49GB"/>
    <n v="5016.326904296875"/>
    <n v="4281.9976806640625"/>
    <n v="9298.3245849609375"/>
    <x v="10"/>
    <n v="0"/>
    <n v="19.073486328125"/>
    <n v="19.073486328125"/>
    <n v="295.6390380859375"/>
  </r>
  <r>
    <x v="2"/>
    <n v="1767073677"/>
    <x v="2"/>
    <s v="1.58MB / 798kB"/>
    <n v="1.506805419921875"/>
    <n v="0.7610321044921875"/>
    <n v="2.2678375244140625"/>
    <x v="10"/>
    <n v="9.5367431640625E-3"/>
    <n v="2.86102294921875E-3"/>
    <n v="1.239776611328125E-2"/>
    <n v="0.1010894775390625"/>
  </r>
  <r>
    <x v="2"/>
    <n v="1767073677"/>
    <x v="3"/>
    <s v="4.49GB / 250MB"/>
    <n v="4281.9976806640625"/>
    <n v="238.4185791015625"/>
    <n v="4520.416259765625"/>
    <x v="10"/>
    <n v="38.14697265625"/>
    <n v="0"/>
    <n v="38.14697265625"/>
    <n v="307.0831298828125"/>
  </r>
  <r>
    <x v="2"/>
    <n v="1767073684"/>
    <x v="0"/>
    <s v="22.6MB / 5.01GB"/>
    <n v="21.55303955078125"/>
    <n v="4777.9083251953125"/>
    <n v="4799.4613647460938"/>
    <x v="11"/>
    <n v="0"/>
    <n v="0"/>
    <n v="0"/>
    <n v="9.5367431640625E-2"/>
  </r>
  <r>
    <x v="2"/>
    <n v="1767073684"/>
    <x v="1"/>
    <s v="5.26GB / 4.58GB"/>
    <n v="5016.326904296875"/>
    <n v="4367.828369140625"/>
    <n v="9384.1552734375"/>
    <x v="11"/>
    <n v="0"/>
    <n v="85.8306884765625"/>
    <n v="85.8306884765625"/>
    <n v="381.4697265625"/>
  </r>
  <r>
    <x v="2"/>
    <n v="1767073684"/>
    <x v="2"/>
    <s v="1.59MB / 800kB"/>
    <n v="1.5163421630859375"/>
    <n v="0.762939453125"/>
    <n v="2.2792816162109375"/>
    <x v="11"/>
    <n v="9.5367431640625E-3"/>
    <n v="1.9073486328125E-3"/>
    <n v="1.1444091796875E-2"/>
    <n v="0.1125335693359375"/>
  </r>
  <r>
    <x v="2"/>
    <n v="1767073684"/>
    <x v="3"/>
    <s v="4.54GB / 250MB"/>
    <n v="4329.681396484375"/>
    <n v="238.4185791015625"/>
    <n v="4568.0999755859375"/>
    <x v="11"/>
    <n v="47.6837158203125"/>
    <n v="0"/>
    <n v="47.6837158203125"/>
    <n v="354.766845703125"/>
  </r>
  <r>
    <x v="2"/>
    <n v="1767073692"/>
    <x v="0"/>
    <s v="22.7MB / 5.01GB"/>
    <n v="21.648406982421875"/>
    <n v="4777.9083251953125"/>
    <n v="4799.5567321777344"/>
    <x v="12"/>
    <n v="9.5367431640625E-2"/>
    <n v="0"/>
    <n v="9.5367431640625E-2"/>
    <n v="0.19073486328125"/>
  </r>
  <r>
    <x v="2"/>
    <n v="1767073692"/>
    <x v="1"/>
    <s v="5.26GB / 4.61GB"/>
    <n v="5016.326904296875"/>
    <n v="4396.4385986328125"/>
    <n v="9412.7655029296875"/>
    <x v="12"/>
    <n v="0"/>
    <n v="28.6102294921875"/>
    <n v="28.6102294921875"/>
    <n v="410.0799560546875"/>
  </r>
  <r>
    <x v="2"/>
    <n v="1767073692"/>
    <x v="2"/>
    <s v="1.6MB / 801kB"/>
    <n v="1.52587890625"/>
    <n v="0.76389312744140625"/>
    <n v="2.2897720336914062"/>
    <x v="12"/>
    <n v="9.5367431640625E-3"/>
    <n v="9.5367431640625E-4"/>
    <n v="1.049041748046875E-2"/>
    <n v="0.12302398681640625"/>
  </r>
  <r>
    <x v="2"/>
    <n v="1767073692"/>
    <x v="3"/>
    <s v="4.59GB / 250MB"/>
    <n v="4377.3651123046875"/>
    <n v="238.4185791015625"/>
    <n v="4615.78369140625"/>
    <x v="12"/>
    <n v="47.6837158203125"/>
    <n v="0"/>
    <n v="47.6837158203125"/>
    <n v="402.4505615234375"/>
  </r>
  <r>
    <x v="2"/>
    <n v="1767073699"/>
    <x v="0"/>
    <s v="22.7MB / 5.01GB"/>
    <n v="21.648406982421875"/>
    <n v="4777.9083251953125"/>
    <n v="4799.5567321777344"/>
    <x v="13"/>
    <n v="0"/>
    <n v="0"/>
    <n v="0"/>
    <n v="0.19073486328125"/>
  </r>
  <r>
    <x v="2"/>
    <n v="1767073699"/>
    <x v="1"/>
    <s v="5.26GB / 4.61GB"/>
    <n v="5016.326904296875"/>
    <n v="4396.4385986328125"/>
    <n v="9412.7655029296875"/>
    <x v="13"/>
    <n v="0"/>
    <n v="0"/>
    <n v="0"/>
    <n v="410.0799560546875"/>
  </r>
  <r>
    <x v="2"/>
    <n v="1767073699"/>
    <x v="2"/>
    <s v="1.6MB / 804kB"/>
    <n v="1.52587890625"/>
    <n v="0.766754150390625"/>
    <n v="2.292633056640625"/>
    <x v="13"/>
    <n v="0"/>
    <n v="2.86102294921875E-3"/>
    <n v="2.86102294921875E-3"/>
    <n v="0.125885009765625"/>
  </r>
  <r>
    <x v="2"/>
    <n v="1767073699"/>
    <x v="3"/>
    <s v="4.59GB / 250MB"/>
    <n v="4377.3651123046875"/>
    <n v="238.4185791015625"/>
    <n v="4615.78369140625"/>
    <x v="13"/>
    <n v="0"/>
    <n v="0"/>
    <n v="0"/>
    <n v="402.4505615234375"/>
  </r>
  <r>
    <x v="2"/>
    <n v="1767073706"/>
    <x v="0"/>
    <s v="22.7MB / 5.01GB"/>
    <n v="21.648406982421875"/>
    <n v="4777.9083251953125"/>
    <n v="4799.5567321777344"/>
    <x v="14"/>
    <n v="0"/>
    <n v="0"/>
    <n v="0"/>
    <n v="0.19073486328125"/>
  </r>
  <r>
    <x v="2"/>
    <n v="1767073706"/>
    <x v="1"/>
    <s v="5.26GB / 4.66GB"/>
    <n v="5016.326904296875"/>
    <n v="4444.122314453125"/>
    <n v="9460.44921875"/>
    <x v="14"/>
    <n v="0"/>
    <n v="47.6837158203125"/>
    <n v="47.6837158203125"/>
    <n v="457.763671875"/>
  </r>
  <r>
    <x v="2"/>
    <n v="1767073706"/>
    <x v="2"/>
    <s v="1.61MB / 806kB"/>
    <n v="1.5354156494140625"/>
    <n v="0.7686614990234375"/>
    <n v="2.3040771484375"/>
    <x v="14"/>
    <n v="9.5367431640625E-3"/>
    <n v="1.9073486328125E-3"/>
    <n v="1.1444091796875E-2"/>
    <n v="0.1373291015625"/>
  </r>
  <r>
    <x v="2"/>
    <n v="1767073706"/>
    <x v="3"/>
    <s v="4.64GB / 250MB"/>
    <n v="4425.048828125"/>
    <n v="238.4185791015625"/>
    <n v="4663.4674072265625"/>
    <x v="14"/>
    <n v="47.6837158203125"/>
    <n v="0"/>
    <n v="47.6837158203125"/>
    <n v="450.13427734375"/>
  </r>
  <r>
    <x v="2"/>
    <n v="1767073712"/>
    <x v="0"/>
    <s v="22.7MB / 5.01GB"/>
    <n v="21.648406982421875"/>
    <n v="4777.9083251953125"/>
    <n v="4799.5567321777344"/>
    <x v="15"/>
    <n v="0"/>
    <n v="0"/>
    <n v="0"/>
    <n v="0.19073486328125"/>
  </r>
  <r>
    <x v="2"/>
    <n v="1767073712"/>
    <x v="1"/>
    <s v="5.26GB / 4.71GB"/>
    <n v="5016.326904296875"/>
    <n v="4491.8060302734375"/>
    <n v="9508.1329345703125"/>
    <x v="15"/>
    <n v="0"/>
    <n v="47.6837158203125"/>
    <n v="47.6837158203125"/>
    <n v="505.4473876953125"/>
  </r>
  <r>
    <x v="2"/>
    <n v="1767073712"/>
    <x v="2"/>
    <s v="1.61MB / 807kB"/>
    <n v="1.5354156494140625"/>
    <n v="0.76961517333984375"/>
    <n v="2.3050308227539062"/>
    <x v="15"/>
    <n v="0"/>
    <n v="9.5367431640625E-4"/>
    <n v="9.5367431640625E-4"/>
    <n v="0.13828277587890625"/>
  </r>
  <r>
    <x v="2"/>
    <n v="1767073712"/>
    <x v="3"/>
    <s v="4.69GB / 250MB"/>
    <n v="4472.7325439453125"/>
    <n v="238.4185791015625"/>
    <n v="4711.151123046875"/>
    <x v="15"/>
    <n v="47.6837158203125"/>
    <n v="0"/>
    <n v="47.6837158203125"/>
    <n v="497.8179931640625"/>
  </r>
  <r>
    <x v="2"/>
    <n v="1767073720"/>
    <x v="0"/>
    <s v="22.7MB / 5.01GB"/>
    <n v="21.648406982421875"/>
    <n v="4777.9083251953125"/>
    <n v="4799.5567321777344"/>
    <x v="16"/>
    <n v="0"/>
    <n v="0"/>
    <n v="0"/>
    <n v="0.19073486328125"/>
  </r>
  <r>
    <x v="2"/>
    <n v="1767073720"/>
    <x v="1"/>
    <s v="5.26GB / 4.74GB"/>
    <n v="5016.326904296875"/>
    <n v="4520.416259765625"/>
    <n v="9536.7431640625"/>
    <x v="16"/>
    <n v="0"/>
    <n v="28.6102294921875"/>
    <n v="28.6102294921875"/>
    <n v="534.0576171875"/>
  </r>
  <r>
    <x v="2"/>
    <n v="1767073720"/>
    <x v="2"/>
    <s v="1.62MB / 809kB"/>
    <n v="1.544952392578125"/>
    <n v="0.77152252197265625"/>
    <n v="2.3164749145507812"/>
    <x v="16"/>
    <n v="9.5367431640625E-3"/>
    <n v="1.9073486328125E-3"/>
    <n v="1.1444091796875E-2"/>
    <n v="0.14972686767578125"/>
  </r>
  <r>
    <x v="2"/>
    <n v="1767073720"/>
    <x v="3"/>
    <s v="4.72GB / 251MB"/>
    <n v="4501.3427734375"/>
    <n v="239.37225341796875"/>
    <n v="4740.7150268554688"/>
    <x v="16"/>
    <n v="28.6102294921875"/>
    <n v="0.95367431640625"/>
    <n v="29.56390380859375"/>
    <n v="527.38189697265625"/>
  </r>
  <r>
    <x v="2"/>
    <n v="1767073727"/>
    <x v="0"/>
    <s v="22.7MB / 5.01GB"/>
    <n v="21.648406982421875"/>
    <n v="4777.9083251953125"/>
    <n v="4799.5567321777344"/>
    <x v="17"/>
    <n v="0"/>
    <n v="0"/>
    <n v="0"/>
    <n v="0.19073486328125"/>
  </r>
  <r>
    <x v="2"/>
    <n v="1767073727"/>
    <x v="1"/>
    <s v="5.26GB / 4.74GB"/>
    <n v="5016.326904296875"/>
    <n v="4520.416259765625"/>
    <n v="9536.7431640625"/>
    <x v="17"/>
    <n v="0"/>
    <n v="0"/>
    <n v="0"/>
    <n v="534.0576171875"/>
  </r>
  <r>
    <x v="2"/>
    <n v="1767073727"/>
    <x v="2"/>
    <s v="1.63MB / 811kB"/>
    <n v="1.5544891357421875"/>
    <n v="0.77342987060546875"/>
    <n v="2.3279190063476562"/>
    <x v="17"/>
    <n v="9.5367431640625E-3"/>
    <n v="1.9073486328125E-3"/>
    <n v="1.1444091796875E-2"/>
    <n v="0.16117095947265625"/>
  </r>
  <r>
    <x v="2"/>
    <n v="1767073727"/>
    <x v="3"/>
    <s v="4.72GB / 251MB"/>
    <n v="4501.3427734375"/>
    <n v="239.37225341796875"/>
    <n v="4740.7150268554688"/>
    <x v="17"/>
    <n v="0"/>
    <n v="0"/>
    <n v="0"/>
    <n v="527.38189697265625"/>
  </r>
  <r>
    <x v="2"/>
    <n v="1767073734"/>
    <x v="0"/>
    <s v="22.7MB / 5.01GB"/>
    <n v="21.648406982421875"/>
    <n v="4777.9083251953125"/>
    <n v="4799.5567321777344"/>
    <x v="18"/>
    <n v="0"/>
    <n v="0"/>
    <n v="0"/>
    <n v="0.19073486328125"/>
  </r>
  <r>
    <x v="2"/>
    <n v="1767073734"/>
    <x v="1"/>
    <s v="5.26GB / 4.8GB"/>
    <n v="5016.326904296875"/>
    <n v="4577.63671875"/>
    <n v="9593.963623046875"/>
    <x v="18"/>
    <n v="0"/>
    <n v="57.220458984375"/>
    <n v="57.220458984375"/>
    <n v="591.278076171875"/>
  </r>
  <r>
    <x v="2"/>
    <n v="1767073734"/>
    <x v="2"/>
    <s v="1.64MB / 814kB"/>
    <n v="1.56402587890625"/>
    <n v="0.7762908935546875"/>
    <n v="2.3403167724609375"/>
    <x v="18"/>
    <n v="9.5367431640625E-3"/>
    <n v="2.86102294921875E-3"/>
    <n v="1.239776611328125E-2"/>
    <n v="0.1735687255859375"/>
  </r>
  <r>
    <x v="2"/>
    <n v="1767073734"/>
    <x v="3"/>
    <s v="4.78GB / 251MB"/>
    <n v="4558.563232421875"/>
    <n v="239.37225341796875"/>
    <n v="4797.9354858398438"/>
    <x v="18"/>
    <n v="57.220458984375"/>
    <n v="0"/>
    <n v="57.220458984375"/>
    <n v="584.60235595703125"/>
  </r>
  <r>
    <x v="2"/>
    <n v="1767073742"/>
    <x v="0"/>
    <s v="22.7MB / 5.01GB"/>
    <n v="21.648406982421875"/>
    <n v="4777.9083251953125"/>
    <n v="4799.5567321777344"/>
    <x v="19"/>
    <n v="0"/>
    <n v="0"/>
    <n v="0"/>
    <n v="0.19073486328125"/>
  </r>
  <r>
    <x v="2"/>
    <n v="1767073742"/>
    <x v="1"/>
    <s v="5.26GB / 4.85GB"/>
    <n v="5016.326904296875"/>
    <n v="4625.3204345703125"/>
    <n v="9641.6473388671875"/>
    <x v="19"/>
    <n v="0"/>
    <n v="47.6837158203125"/>
    <n v="47.6837158203125"/>
    <n v="638.9617919921875"/>
  </r>
  <r>
    <x v="2"/>
    <n v="1767073742"/>
    <x v="2"/>
    <s v="1.64MB / 816kB"/>
    <n v="1.56402587890625"/>
    <n v="0.7781982421875"/>
    <n v="2.34222412109375"/>
    <x v="19"/>
    <n v="0"/>
    <n v="1.9073486328125E-3"/>
    <n v="1.9073486328125E-3"/>
    <n v="0.17547607421875"/>
  </r>
  <r>
    <x v="2"/>
    <n v="1767073742"/>
    <x v="3"/>
    <s v="4.83GB / 251MB"/>
    <n v="4606.2469482421875"/>
    <n v="239.37225341796875"/>
    <n v="4845.6192016601562"/>
    <x v="19"/>
    <n v="47.6837158203125"/>
    <n v="0"/>
    <n v="47.6837158203125"/>
    <n v="632.28607177734375"/>
  </r>
  <r>
    <x v="2"/>
    <n v="1767073750"/>
    <x v="0"/>
    <s v="22.7MB / 5.01GB"/>
    <n v="21.648406982421875"/>
    <n v="4777.9083251953125"/>
    <n v="4799.5567321777344"/>
    <x v="20"/>
    <n v="0"/>
    <n v="0"/>
    <n v="0"/>
    <n v="0.19073486328125"/>
  </r>
  <r>
    <x v="2"/>
    <n v="1767073750"/>
    <x v="1"/>
    <s v="5.26GB / 4.88GB"/>
    <n v="5016.326904296875"/>
    <n v="4653.9306640625"/>
    <n v="9670.257568359375"/>
    <x v="20"/>
    <n v="0"/>
    <n v="28.6102294921875"/>
    <n v="28.6102294921875"/>
    <n v="667.572021484375"/>
  </r>
  <r>
    <x v="2"/>
    <n v="1767073750"/>
    <x v="2"/>
    <s v="1.65MB / 817kB"/>
    <n v="1.5735626220703125"/>
    <n v="0.77915191650390625"/>
    <n v="2.3527145385742188"/>
    <x v="20"/>
    <n v="9.5367431640625E-3"/>
    <n v="9.5367431640625E-4"/>
    <n v="1.049041748046875E-2"/>
    <n v="0.18596649169921875"/>
  </r>
  <r>
    <x v="2"/>
    <n v="1767073750"/>
    <x v="3"/>
    <s v="4.86GB / 251MB"/>
    <n v="4634.857177734375"/>
    <n v="239.37225341796875"/>
    <n v="4874.2294311523438"/>
    <x v="20"/>
    <n v="28.6102294921875"/>
    <n v="0"/>
    <n v="28.6102294921875"/>
    <n v="660.89630126953125"/>
  </r>
  <r>
    <x v="2"/>
    <n v="1767073757"/>
    <x v="0"/>
    <s v="22.7MB / 5.01GB"/>
    <n v="21.648406982421875"/>
    <n v="4777.9083251953125"/>
    <n v="4799.5567321777344"/>
    <x v="21"/>
    <n v="0"/>
    <n v="0"/>
    <n v="0"/>
    <n v="0.19073486328125"/>
  </r>
  <r>
    <x v="2"/>
    <n v="1767073757"/>
    <x v="1"/>
    <s v="5.26GB / 4.88GB"/>
    <n v="5016.326904296875"/>
    <n v="4653.9306640625"/>
    <n v="9670.257568359375"/>
    <x v="21"/>
    <n v="0"/>
    <n v="0"/>
    <n v="0"/>
    <n v="667.572021484375"/>
  </r>
  <r>
    <x v="2"/>
    <n v="1767073757"/>
    <x v="2"/>
    <s v="1.66MB / 820kB"/>
    <n v="1.583099365234375"/>
    <n v="0.782012939453125"/>
    <n v="2.3651123046875"/>
    <x v="21"/>
    <n v="9.5367431640625E-3"/>
    <n v="2.86102294921875E-3"/>
    <n v="1.239776611328125E-2"/>
    <n v="0.1983642578125"/>
  </r>
  <r>
    <x v="2"/>
    <n v="1767073757"/>
    <x v="3"/>
    <s v="4.86GB / 251MB"/>
    <n v="4634.857177734375"/>
    <n v="239.37225341796875"/>
    <n v="4874.2294311523438"/>
    <x v="21"/>
    <n v="0"/>
    <n v="0"/>
    <n v="0"/>
    <n v="660.89630126953125"/>
  </r>
  <r>
    <x v="2"/>
    <n v="1767073764"/>
    <x v="0"/>
    <s v="22.7MB / 5.01GB"/>
    <n v="21.648406982421875"/>
    <n v="4777.9083251953125"/>
    <n v="4799.5567321777344"/>
    <x v="22"/>
    <n v="0"/>
    <n v="0"/>
    <n v="0"/>
    <n v="0.19073486328125"/>
  </r>
  <r>
    <x v="2"/>
    <n v="1767073764"/>
    <x v="1"/>
    <s v="5.26GB / 4.95GB"/>
    <n v="5016.326904296875"/>
    <n v="4720.6878662109375"/>
    <n v="9737.0147705078125"/>
    <x v="22"/>
    <n v="0"/>
    <n v="66.7572021484375"/>
    <n v="66.7572021484375"/>
    <n v="734.3292236328125"/>
  </r>
  <r>
    <x v="2"/>
    <n v="1767073764"/>
    <x v="2"/>
    <s v="1.66MB / 822kB"/>
    <n v="1.583099365234375"/>
    <n v="0.7839202880859375"/>
    <n v="2.3670196533203125"/>
    <x v="22"/>
    <n v="0"/>
    <n v="1.9073486328125E-3"/>
    <n v="1.9073486328125E-3"/>
    <n v="0.2002716064453125"/>
  </r>
  <r>
    <x v="2"/>
    <n v="1767073764"/>
    <x v="3"/>
    <s v="4.92GB / 251MB"/>
    <n v="4692.07763671875"/>
    <n v="239.37225341796875"/>
    <n v="4931.4498901367188"/>
    <x v="22"/>
    <n v="57.220458984375"/>
    <n v="0"/>
    <n v="57.220458984375"/>
    <n v="718.11676025390625"/>
  </r>
  <r>
    <x v="2"/>
    <n v="1767073772"/>
    <x v="0"/>
    <s v="22.7MB / 5.01GB"/>
    <n v="21.648406982421875"/>
    <n v="4777.9083251953125"/>
    <n v="4799.5567321777344"/>
    <x v="23"/>
    <n v="0"/>
    <n v="0"/>
    <n v="0"/>
    <n v="0.19073486328125"/>
  </r>
  <r>
    <x v="2"/>
    <n v="1767073772"/>
    <x v="1"/>
    <s v="5.26GB / 5.02GB"/>
    <n v="5016.326904296875"/>
    <n v="4787.445068359375"/>
    <n v="9803.77197265625"/>
    <x v="23"/>
    <n v="0"/>
    <n v="66.7572021484375"/>
    <n v="66.7572021484375"/>
    <n v="801.08642578125"/>
  </r>
  <r>
    <x v="2"/>
    <n v="1767073772"/>
    <x v="2"/>
    <s v="1.67MB / 824kB"/>
    <n v="1.5926361083984375"/>
    <n v="0.78582763671875"/>
    <n v="2.3784637451171875"/>
    <x v="23"/>
    <n v="9.5367431640625E-3"/>
    <n v="1.9073486328125E-3"/>
    <n v="1.1444091796875E-2"/>
    <n v="0.2117156982421875"/>
  </r>
  <r>
    <x v="2"/>
    <n v="1767073772"/>
    <x v="3"/>
    <s v="4.99GB / 252MB"/>
    <n v="4758.8348388671875"/>
    <n v="240.325927734375"/>
    <n v="4999.1607666015625"/>
    <x v="23"/>
    <n v="66.7572021484375"/>
    <n v="0.95367431640625"/>
    <n v="67.71087646484375"/>
    <n v="785.82763671875"/>
  </r>
  <r>
    <x v="2"/>
    <n v="1767073779"/>
    <x v="0"/>
    <s v="22.8MB / 5.01GB"/>
    <n v="21.7437744140625"/>
    <n v="4777.9083251953125"/>
    <n v="4799.652099609375"/>
    <x v="24"/>
    <n v="9.5367431640625E-2"/>
    <n v="0"/>
    <n v="9.5367431640625E-2"/>
    <n v="0.286102294921875"/>
  </r>
  <r>
    <x v="2"/>
    <n v="1767073779"/>
    <x v="1"/>
    <s v="5.26GB / 5.02GB"/>
    <n v="5016.326904296875"/>
    <n v="4787.445068359375"/>
    <n v="9803.77197265625"/>
    <x v="24"/>
    <n v="0"/>
    <n v="0"/>
    <n v="0"/>
    <n v="801.08642578125"/>
  </r>
  <r>
    <x v="2"/>
    <n v="1767073779"/>
    <x v="2"/>
    <s v="1.68MB / 827kB"/>
    <n v="1.6021728515625"/>
    <n v="0.78868865966796875"/>
    <n v="2.3908615112304688"/>
    <x v="24"/>
    <n v="9.5367431640625E-3"/>
    <n v="2.86102294921875E-3"/>
    <n v="1.239776611328125E-2"/>
    <n v="0.22411346435546875"/>
  </r>
  <r>
    <x v="2"/>
    <n v="1767073779"/>
    <x v="3"/>
    <s v="5GB / 252MB"/>
    <n v="4768.37158203125"/>
    <n v="240.325927734375"/>
    <n v="5008.697509765625"/>
    <x v="24"/>
    <n v="9.5367431640625"/>
    <n v="0"/>
    <n v="9.5367431640625"/>
    <n v="795.3643798828125"/>
  </r>
  <r>
    <x v="2"/>
    <n v="1767073787"/>
    <x v="0"/>
    <s v="22.8MB / 5.01GB"/>
    <n v="21.7437744140625"/>
    <n v="4777.9083251953125"/>
    <n v="4799.652099609375"/>
    <x v="25"/>
    <n v="0"/>
    <n v="0"/>
    <n v="0"/>
    <n v="0.286102294921875"/>
  </r>
  <r>
    <x v="2"/>
    <n v="1767073787"/>
    <x v="1"/>
    <s v="5.26GB / 5.08GB"/>
    <n v="5016.326904296875"/>
    <n v="4844.66552734375"/>
    <n v="9860.992431640625"/>
    <x v="25"/>
    <n v="0"/>
    <n v="57.220458984375"/>
    <n v="57.220458984375"/>
    <n v="858.306884765625"/>
  </r>
  <r>
    <x v="2"/>
    <n v="1767073787"/>
    <x v="2"/>
    <s v="1.68MB / 828kB"/>
    <n v="1.6021728515625"/>
    <n v="0.789642333984375"/>
    <n v="2.391815185546875"/>
    <x v="25"/>
    <n v="0"/>
    <n v="9.5367431640625E-4"/>
    <n v="9.5367431640625E-4"/>
    <n v="0.225067138671875"/>
  </r>
  <r>
    <x v="2"/>
    <n v="1767073787"/>
    <x v="3"/>
    <s v="5.06GB / 252MB"/>
    <n v="4825.592041015625"/>
    <n v="240.325927734375"/>
    <n v="5065.91796875"/>
    <x v="25"/>
    <n v="57.220458984375"/>
    <n v="0"/>
    <n v="57.220458984375"/>
    <n v="852.5848388671875"/>
  </r>
  <r>
    <x v="2"/>
    <n v="1767073794"/>
    <x v="0"/>
    <s v="22.8MB / 5.01GB"/>
    <n v="21.7437744140625"/>
    <n v="4777.9083251953125"/>
    <n v="4799.652099609375"/>
    <x v="26"/>
    <n v="0"/>
    <n v="0"/>
    <n v="0"/>
    <n v="0.286102294921875"/>
  </r>
  <r>
    <x v="2"/>
    <n v="1767073794"/>
    <x v="1"/>
    <s v="5.26GB / 5.13GB"/>
    <n v="5016.326904296875"/>
    <n v="4892.3492431640625"/>
    <n v="9908.6761474609375"/>
    <x v="26"/>
    <n v="0"/>
    <n v="47.6837158203125"/>
    <n v="47.6837158203125"/>
    <n v="905.9906005859375"/>
  </r>
  <r>
    <x v="2"/>
    <n v="1767073794"/>
    <x v="2"/>
    <s v="1.69MB / 830kB"/>
    <n v="1.6117095947265625"/>
    <n v="0.7915496826171875"/>
    <n v="2.40325927734375"/>
    <x v="26"/>
    <n v="9.5367431640625E-3"/>
    <n v="1.9073486328125E-3"/>
    <n v="1.1444091796875E-2"/>
    <n v="0.23651123046875"/>
  </r>
  <r>
    <x v="2"/>
    <n v="1767073794"/>
    <x v="3"/>
    <s v="5.11GB / 252MB"/>
    <n v="4873.2757568359375"/>
    <n v="240.325927734375"/>
    <n v="5113.6016845703125"/>
    <x v="26"/>
    <n v="47.6837158203125"/>
    <n v="0"/>
    <n v="47.6837158203125"/>
    <n v="900.2685546875"/>
  </r>
  <r>
    <x v="2"/>
    <n v="1767073802"/>
    <x v="0"/>
    <s v="22.8MB / 5.01GB"/>
    <n v="21.7437744140625"/>
    <n v="4777.9083251953125"/>
    <n v="4799.652099609375"/>
    <x v="27"/>
    <n v="0"/>
    <n v="0"/>
    <n v="0"/>
    <n v="0.286102294921875"/>
  </r>
  <r>
    <x v="2"/>
    <n v="1767073802"/>
    <x v="1"/>
    <s v="5.26GB / 5.15GB"/>
    <n v="5016.326904296875"/>
    <n v="4911.4227294921875"/>
    <n v="9927.7496337890625"/>
    <x v="27"/>
    <n v="0"/>
    <n v="19.073486328125"/>
    <n v="19.073486328125"/>
    <n v="925.0640869140625"/>
  </r>
  <r>
    <x v="2"/>
    <n v="1767073802"/>
    <x v="2"/>
    <s v="1.7MB / 832kB"/>
    <n v="1.621246337890625"/>
    <n v="0.79345703125"/>
    <n v="2.414703369140625"/>
    <x v="27"/>
    <n v="9.5367431640625E-3"/>
    <n v="1.9073486328125E-3"/>
    <n v="1.1444091796875E-2"/>
    <n v="0.247955322265625"/>
  </r>
  <r>
    <x v="2"/>
    <n v="1767073802"/>
    <x v="3"/>
    <s v="5.14GB / 253MB"/>
    <n v="4901.885986328125"/>
    <n v="241.27960205078125"/>
    <n v="5143.1655883789062"/>
    <x v="27"/>
    <n v="28.6102294921875"/>
    <n v="0.95367431640625"/>
    <n v="29.56390380859375"/>
    <n v="929.83245849609375"/>
  </r>
  <r>
    <x v="2"/>
    <n v="1767073810"/>
    <x v="0"/>
    <s v="22.8MB / 5.01GB"/>
    <n v="21.7437744140625"/>
    <n v="4777.9083251953125"/>
    <n v="4799.652099609375"/>
    <x v="28"/>
    <n v="0"/>
    <n v="0"/>
    <n v="0"/>
    <n v="0.286102294921875"/>
  </r>
  <r>
    <x v="2"/>
    <n v="1767073810"/>
    <x v="1"/>
    <s v="5.26GB / 5.15GB"/>
    <n v="5016.326904296875"/>
    <n v="4911.4227294921875"/>
    <n v="9927.7496337890625"/>
    <x v="28"/>
    <n v="0"/>
    <n v="0"/>
    <n v="0"/>
    <n v="925.0640869140625"/>
  </r>
  <r>
    <x v="2"/>
    <n v="1767073810"/>
    <x v="2"/>
    <s v="1.71MB / 835kB"/>
    <n v="1.6307830810546875"/>
    <n v="0.79631805419921875"/>
    <n v="2.4271011352539062"/>
    <x v="28"/>
    <n v="9.5367431640625E-3"/>
    <n v="2.86102294921875E-3"/>
    <n v="1.239776611328125E-2"/>
    <n v="0.26035308837890625"/>
  </r>
  <r>
    <x v="2"/>
    <n v="1767073810"/>
    <x v="3"/>
    <s v="5.14GB / 253MB"/>
    <n v="4901.885986328125"/>
    <n v="241.27960205078125"/>
    <n v="5143.1655883789062"/>
    <x v="28"/>
    <n v="0"/>
    <n v="0"/>
    <n v="0"/>
    <n v="929.83245849609375"/>
  </r>
  <r>
    <x v="2"/>
    <n v="1767073817"/>
    <x v="0"/>
    <s v="22.8MB / 5.01GB"/>
    <n v="21.7437744140625"/>
    <n v="4777.9083251953125"/>
    <n v="4799.652099609375"/>
    <x v="29"/>
    <n v="0"/>
    <n v="0"/>
    <n v="0"/>
    <n v="0.286102294921875"/>
  </r>
  <r>
    <x v="2"/>
    <n v="1767073817"/>
    <x v="1"/>
    <s v="5.26GB / 5.22GB"/>
    <n v="5016.326904296875"/>
    <n v="4978.179931640625"/>
    <n v="9994.5068359375"/>
    <x v="29"/>
    <n v="0"/>
    <n v="66.7572021484375"/>
    <n v="66.7572021484375"/>
    <n v="991.8212890625"/>
  </r>
  <r>
    <x v="2"/>
    <n v="1767073817"/>
    <x v="2"/>
    <s v="1.71MB / 836kB"/>
    <n v="1.6307830810546875"/>
    <n v="0.797271728515625"/>
    <n v="2.4280548095703125"/>
    <x v="29"/>
    <n v="0"/>
    <n v="9.5367431640625E-4"/>
    <n v="9.5367431640625E-4"/>
    <n v="0.2613067626953125"/>
  </r>
  <r>
    <x v="2"/>
    <n v="1767073817"/>
    <x v="3"/>
    <s v="5.2GB / 253MB"/>
    <n v="4959.1064453125"/>
    <n v="241.27960205078125"/>
    <n v="5200.3860473632812"/>
    <x v="29"/>
    <n v="57.220458984375"/>
    <n v="0"/>
    <n v="57.220458984375"/>
    <n v="987.05291748046875"/>
  </r>
  <r>
    <x v="2"/>
    <n v="1767073824"/>
    <x v="0"/>
    <s v="22.8MB / 5.01GB"/>
    <n v="21.7437744140625"/>
    <n v="4777.9083251953125"/>
    <n v="4799.652099609375"/>
    <x v="30"/>
    <n v="0"/>
    <n v="0"/>
    <n v="0"/>
    <n v="0.286102294921875"/>
  </r>
  <r>
    <x v="2"/>
    <n v="1767073824"/>
    <x v="1"/>
    <s v="5.26GB / 5.28GB"/>
    <n v="5016.326904296875"/>
    <n v="5035.400390625"/>
    <n v="10051.727294921875"/>
    <x v="30"/>
    <n v="0"/>
    <n v="57.220458984375"/>
    <n v="57.220458984375"/>
    <n v="1049.041748046875"/>
  </r>
  <r>
    <x v="2"/>
    <n v="1767073824"/>
    <x v="2"/>
    <s v="1.72MB / 839kB"/>
    <n v="1.64031982421875"/>
    <n v="0.80013275146484375"/>
    <n v="2.4404525756835938"/>
    <x v="30"/>
    <n v="9.5367431640625E-3"/>
    <n v="2.86102294921875E-3"/>
    <n v="1.239776611328125E-2"/>
    <n v="0.27370452880859375"/>
  </r>
  <r>
    <x v="2"/>
    <n v="1767073824"/>
    <x v="3"/>
    <s v="5.26GB / 253MB"/>
    <n v="5016.326904296875"/>
    <n v="241.27960205078125"/>
    <n v="5257.6065063476562"/>
    <x v="30"/>
    <n v="57.220458984375"/>
    <n v="0"/>
    <n v="57.220458984375"/>
    <n v="1044.2733764648438"/>
  </r>
  <r>
    <x v="2"/>
    <n v="1767073832"/>
    <x v="0"/>
    <s v="22.8MB / 5.01GB"/>
    <n v="21.7437744140625"/>
    <n v="4777.9083251953125"/>
    <n v="4799.652099609375"/>
    <x v="31"/>
    <n v="0"/>
    <n v="0"/>
    <n v="0"/>
    <n v="0.286102294921875"/>
  </r>
  <r>
    <x v="2"/>
    <n v="1767073832"/>
    <x v="1"/>
    <s v="5.26GB / 5.29GB"/>
    <n v="5016.326904296875"/>
    <n v="5044.9371337890625"/>
    <n v="10061.264038085938"/>
    <x v="31"/>
    <n v="0"/>
    <n v="9.5367431640625"/>
    <n v="9.5367431640625"/>
    <n v="1058.5784912109375"/>
  </r>
  <r>
    <x v="2"/>
    <n v="1767073832"/>
    <x v="2"/>
    <s v="1.73MB / 840kB"/>
    <n v="1.6498565673828125"/>
    <n v="0.80108642578125"/>
    <n v="2.4509429931640625"/>
    <x v="31"/>
    <n v="9.5367431640625E-3"/>
    <n v="9.5367431640625E-4"/>
    <n v="1.049041748046875E-2"/>
    <n v="0.2841949462890625"/>
  </r>
  <r>
    <x v="2"/>
    <n v="1767073832"/>
    <x v="3"/>
    <s v="5.27GB / 253MB"/>
    <n v="5025.8636474609375"/>
    <n v="241.27960205078125"/>
    <n v="5267.1432495117188"/>
    <x v="31"/>
    <n v="9.5367431640625"/>
    <n v="0"/>
    <n v="9.5367431640625"/>
    <n v="1053.8101196289062"/>
  </r>
  <r>
    <x v="2"/>
    <n v="1767073839"/>
    <x v="0"/>
    <s v="22.8MB / 5.01GB"/>
    <n v="21.7437744140625"/>
    <n v="4777.9083251953125"/>
    <n v="4799.652099609375"/>
    <x v="32"/>
    <n v="0"/>
    <n v="0"/>
    <n v="0"/>
    <n v="0.286102294921875"/>
  </r>
  <r>
    <x v="2"/>
    <n v="1767073839"/>
    <x v="1"/>
    <s v="5.26GB / 5.29GB"/>
    <n v="5016.326904296875"/>
    <n v="5044.9371337890625"/>
    <n v="10061.264038085938"/>
    <x v="32"/>
    <n v="0"/>
    <n v="0"/>
    <n v="0"/>
    <n v="1058.5784912109375"/>
  </r>
  <r>
    <x v="2"/>
    <n v="1767073839"/>
    <x v="2"/>
    <s v="1.73MB / 843kB"/>
    <n v="1.6498565673828125"/>
    <n v="0.80394744873046875"/>
    <n v="2.4538040161132812"/>
    <x v="32"/>
    <n v="0"/>
    <n v="2.86102294921875E-3"/>
    <n v="2.86102294921875E-3"/>
    <n v="0.28705596923828125"/>
  </r>
  <r>
    <x v="2"/>
    <n v="1767073839"/>
    <x v="3"/>
    <s v="5.27GB / 255MB"/>
    <n v="5025.8636474609375"/>
    <n v="243.18695068359375"/>
    <n v="5269.0505981445312"/>
    <x v="32"/>
    <n v="0"/>
    <n v="1.9073486328125"/>
    <n v="1.9073486328125"/>
    <n v="1055.7174682617188"/>
  </r>
  <r>
    <x v="2"/>
    <n v="1767073847"/>
    <x v="0"/>
    <s v="22.8MB / 5.01GB"/>
    <n v="21.7437744140625"/>
    <n v="4777.9083251953125"/>
    <n v="4799.652099609375"/>
    <x v="33"/>
    <n v="0"/>
    <n v="0"/>
    <n v="0"/>
    <n v="0.286102294921875"/>
  </r>
  <r>
    <x v="2"/>
    <n v="1767073847"/>
    <x v="1"/>
    <s v="5.27GB / 5.29GB"/>
    <n v="5025.8636474609375"/>
    <n v="5044.9371337890625"/>
    <n v="10070.80078125"/>
    <x v="33"/>
    <n v="9.5367431640625"/>
    <n v="0"/>
    <n v="9.5367431640625"/>
    <n v="1068.115234375"/>
  </r>
  <r>
    <x v="2"/>
    <n v="1767073847"/>
    <x v="2"/>
    <s v="1.74MB / 845kB"/>
    <n v="1.659393310546875"/>
    <n v="0.80585479736328125"/>
    <n v="2.4652481079101562"/>
    <x v="33"/>
    <n v="9.5367431640625E-3"/>
    <n v="1.9073486328125E-3"/>
    <n v="1.1444091796875E-2"/>
    <n v="0.29850006103515625"/>
  </r>
  <r>
    <x v="2"/>
    <n v="1767073847"/>
    <x v="3"/>
    <s v="5.27GB / 266MB"/>
    <n v="5025.8636474609375"/>
    <n v="253.6773681640625"/>
    <n v="5279.541015625"/>
    <x v="33"/>
    <n v="0"/>
    <n v="10.49041748046875"/>
    <n v="10.49041748046875"/>
    <n v="1066.2078857421875"/>
  </r>
  <r>
    <x v="2"/>
    <n v="1767073854"/>
    <x v="0"/>
    <s v="22.8MB / 5.01GB"/>
    <n v="21.7437744140625"/>
    <n v="4777.9083251953125"/>
    <n v="4799.652099609375"/>
    <x v="34"/>
    <n v="0"/>
    <n v="0"/>
    <n v="0"/>
    <n v="0.286102294921875"/>
  </r>
  <r>
    <x v="2"/>
    <n v="1767073854"/>
    <x v="1"/>
    <s v="5.29GB / 5.29GB"/>
    <n v="5044.9371337890625"/>
    <n v="5044.9371337890625"/>
    <n v="10089.874267578125"/>
    <x v="34"/>
    <n v="19.073486328125"/>
    <n v="0"/>
    <n v="19.073486328125"/>
    <n v="1087.188720703125"/>
  </r>
  <r>
    <x v="2"/>
    <n v="1767073854"/>
    <x v="2"/>
    <s v="1.75MB / 847kB"/>
    <n v="1.6689300537109375"/>
    <n v="0.80776214599609375"/>
    <n v="2.4766921997070312"/>
    <x v="34"/>
    <n v="9.5367431640625E-3"/>
    <n v="1.9073486328125E-3"/>
    <n v="1.1444091796875E-2"/>
    <n v="0.30994415283203125"/>
  </r>
  <r>
    <x v="2"/>
    <n v="1767073854"/>
    <x v="3"/>
    <s v="5.27GB / 286MB"/>
    <n v="5025.8636474609375"/>
    <n v="272.7508544921875"/>
    <n v="5298.614501953125"/>
    <x v="34"/>
    <n v="0"/>
    <n v="19.073486328125"/>
    <n v="19.073486328125"/>
    <n v="1085.2813720703125"/>
  </r>
  <r>
    <x v="2"/>
    <n v="1767073862"/>
    <x v="0"/>
    <s v="22.8MB / 5.01GB"/>
    <n v="21.7437744140625"/>
    <n v="4777.9083251953125"/>
    <n v="4799.652099609375"/>
    <x v="35"/>
    <n v="0"/>
    <n v="0"/>
    <n v="0"/>
    <n v="0.286102294921875"/>
  </r>
  <r>
    <x v="2"/>
    <n v="1767073862"/>
    <x v="1"/>
    <s v="5.3GB / 5.29GB"/>
    <n v="5054.473876953125"/>
    <n v="5044.9371337890625"/>
    <n v="10099.411010742188"/>
    <x v="35"/>
    <n v="9.5367431640625"/>
    <n v="0"/>
    <n v="9.5367431640625"/>
    <n v="1096.7254638671875"/>
  </r>
  <r>
    <x v="2"/>
    <n v="1767073862"/>
    <x v="2"/>
    <s v="1.75MB / 849kB"/>
    <n v="1.6689300537109375"/>
    <n v="0.80966949462890625"/>
    <n v="2.4785995483398438"/>
    <x v="35"/>
    <n v="0"/>
    <n v="1.9073486328125E-3"/>
    <n v="1.9073486328125E-3"/>
    <n v="0.31185150146484375"/>
  </r>
  <r>
    <x v="2"/>
    <n v="1767073862"/>
    <x v="3"/>
    <s v="5.27GB / 297MB"/>
    <n v="5025.8636474609375"/>
    <n v="283.24127197265625"/>
    <n v="5309.1049194335938"/>
    <x v="35"/>
    <n v="0"/>
    <n v="10.49041748046875"/>
    <n v="10.49041748046875"/>
    <n v="1095.7717895507812"/>
  </r>
  <r>
    <x v="2"/>
    <n v="1767073869"/>
    <x v="0"/>
    <s v="22.9MB / 5.01GB"/>
    <n v="21.839141845703125"/>
    <n v="4777.9083251953125"/>
    <n v="4799.7474670410156"/>
    <x v="36"/>
    <n v="9.5367431640625E-2"/>
    <n v="0"/>
    <n v="9.5367431640625E-2"/>
    <n v="0.3814697265625"/>
  </r>
  <r>
    <x v="2"/>
    <n v="1767073869"/>
    <x v="1"/>
    <s v="5.31GB / 5.29GB"/>
    <n v="5064.0106201171875"/>
    <n v="5044.9371337890625"/>
    <n v="10108.94775390625"/>
    <x v="36"/>
    <n v="9.5367431640625"/>
    <n v="0"/>
    <n v="9.5367431640625"/>
    <n v="1106.26220703125"/>
  </r>
  <r>
    <x v="2"/>
    <n v="1767073869"/>
    <x v="2"/>
    <s v="1.76MB / 854kB"/>
    <n v="1.678466796875"/>
    <n v="0.8144378662109375"/>
    <n v="2.4929046630859375"/>
    <x v="36"/>
    <n v="9.5367431640625E-3"/>
    <n v="4.76837158203125E-3"/>
    <n v="1.430511474609375E-2"/>
    <n v="0.3261566162109375"/>
  </r>
  <r>
    <x v="2"/>
    <n v="1767073869"/>
    <x v="3"/>
    <s v="5.27GB / 300MB"/>
    <n v="5025.8636474609375"/>
    <n v="286.102294921875"/>
    <n v="5311.9659423828125"/>
    <x v="36"/>
    <n v="0"/>
    <n v="2.86102294921875"/>
    <n v="2.86102294921875"/>
    <n v="1098.6328125"/>
  </r>
  <r>
    <x v="2"/>
    <n v="1767073876"/>
    <x v="0"/>
    <s v="22.9MB / 5.01GB"/>
    <n v="21.839141845703125"/>
    <n v="4777.9083251953125"/>
    <n v="4799.7474670410156"/>
    <x v="37"/>
    <n v="0"/>
    <n v="0"/>
    <n v="0"/>
    <n v="0.3814697265625"/>
  </r>
  <r>
    <x v="2"/>
    <n v="1767073876"/>
    <x v="1"/>
    <s v="5.31GB / 5.29GB"/>
    <n v="5064.0106201171875"/>
    <n v="5044.9371337890625"/>
    <n v="10108.94775390625"/>
    <x v="37"/>
    <n v="0"/>
    <n v="0"/>
    <n v="0"/>
    <n v="1106.26220703125"/>
  </r>
  <r>
    <x v="2"/>
    <n v="1767073876"/>
    <x v="2"/>
    <s v="1.77MB / 868kB"/>
    <n v="1.6880035400390625"/>
    <n v="0.827789306640625"/>
    <n v="2.5157928466796875"/>
    <x v="37"/>
    <n v="9.5367431640625E-3"/>
    <n v="1.33514404296875E-2"/>
    <n v="2.288818359375E-2"/>
    <n v="0.3490447998046875"/>
  </r>
  <r>
    <x v="2"/>
    <n v="1767073876"/>
    <x v="3"/>
    <s v="5.27GB / 300MB"/>
    <n v="5025.8636474609375"/>
    <n v="286.102294921875"/>
    <n v="5311.9659423828125"/>
    <x v="37"/>
    <n v="0"/>
    <n v="0"/>
    <n v="0"/>
    <n v="1098.6328125"/>
  </r>
  <r>
    <x v="2"/>
    <n v="1767073883"/>
    <x v="0"/>
    <s v="22.9MB / 5.01GB"/>
    <n v="21.839141845703125"/>
    <n v="4777.9083251953125"/>
    <n v="4799.7474670410156"/>
    <x v="38"/>
    <n v="0"/>
    <n v="0"/>
    <n v="0"/>
    <n v="0.3814697265625"/>
  </r>
  <r>
    <x v="2"/>
    <n v="1767073883"/>
    <x v="1"/>
    <s v="5.31GB / 5.3GB"/>
    <n v="5064.0106201171875"/>
    <n v="5054.473876953125"/>
    <n v="10118.484497070312"/>
    <x v="38"/>
    <n v="0"/>
    <n v="9.5367431640625"/>
    <n v="9.5367431640625"/>
    <n v="1115.7989501953125"/>
  </r>
  <r>
    <x v="2"/>
    <n v="1767073883"/>
    <x v="2"/>
    <s v="1.78MB / 872kB"/>
    <n v="1.697540283203125"/>
    <n v="0.83160400390625"/>
    <n v="2.529144287109375"/>
    <x v="38"/>
    <n v="9.5367431640625E-3"/>
    <n v="3.814697265625E-3"/>
    <n v="1.33514404296875E-2"/>
    <n v="0.362396240234375"/>
  </r>
  <r>
    <x v="2"/>
    <n v="1767073883"/>
    <x v="3"/>
    <s v="5.27GB / 300MB"/>
    <n v="5025.8636474609375"/>
    <n v="286.102294921875"/>
    <n v="5311.9659423828125"/>
    <x v="38"/>
    <n v="0"/>
    <n v="0"/>
    <n v="0"/>
    <n v="1098.6328125"/>
  </r>
  <r>
    <x v="2"/>
    <n v="1767073891"/>
    <x v="0"/>
    <s v="22.9MB / 5.01GB"/>
    <n v="21.839141845703125"/>
    <n v="4777.9083251953125"/>
    <n v="4799.7474670410156"/>
    <x v="39"/>
    <n v="0"/>
    <n v="0"/>
    <n v="0"/>
    <n v="0.3814697265625"/>
  </r>
  <r>
    <x v="2"/>
    <n v="1767073891"/>
    <x v="1"/>
    <s v="5.31GB / 5.34GB"/>
    <n v="5064.0106201171875"/>
    <n v="5092.620849609375"/>
    <n v="10156.631469726562"/>
    <x v="39"/>
    <n v="0"/>
    <n v="38.14697265625"/>
    <n v="38.14697265625"/>
    <n v="1153.9459228515625"/>
  </r>
  <r>
    <x v="2"/>
    <n v="1767073891"/>
    <x v="2"/>
    <s v="1.79MB / 874kB"/>
    <n v="1.7070770263671875"/>
    <n v="0.8335113525390625"/>
    <n v="2.54058837890625"/>
    <x v="39"/>
    <n v="9.5367431640625E-3"/>
    <n v="1.9073486328125E-3"/>
    <n v="1.1444091796875E-2"/>
    <n v="0.37384033203125"/>
  </r>
  <r>
    <x v="2"/>
    <n v="1767073891"/>
    <x v="3"/>
    <s v="5.32GB / 300MB"/>
    <n v="5073.54736328125"/>
    <n v="286.102294921875"/>
    <n v="5359.649658203125"/>
    <x v="39"/>
    <n v="47.6837158203125"/>
    <n v="0"/>
    <n v="47.6837158203125"/>
    <n v="1146.3165283203125"/>
  </r>
  <r>
    <x v="2"/>
    <n v="1767073898"/>
    <x v="0"/>
    <s v="22.9MB / 5.01GB"/>
    <n v="21.839141845703125"/>
    <n v="4777.9083251953125"/>
    <n v="4799.7474670410156"/>
    <x v="40"/>
    <n v="0"/>
    <n v="0"/>
    <n v="0"/>
    <n v="0.3814697265625"/>
  </r>
  <r>
    <x v="2"/>
    <n v="1767073898"/>
    <x v="1"/>
    <s v="5.31GB / 5.34GB"/>
    <n v="5064.0106201171875"/>
    <n v="5092.620849609375"/>
    <n v="10156.631469726562"/>
    <x v="40"/>
    <n v="0"/>
    <n v="0"/>
    <n v="0"/>
    <n v="1153.9459228515625"/>
  </r>
  <r>
    <x v="2"/>
    <n v="1767073898"/>
    <x v="2"/>
    <s v="1.8MB / 877kB"/>
    <n v="1.71661376953125"/>
    <n v="0.83637237548828125"/>
    <n v="2.5529861450195312"/>
    <x v="40"/>
    <n v="9.5367431640625E-3"/>
    <n v="2.86102294921875E-3"/>
    <n v="1.239776611328125E-2"/>
    <n v="0.38623809814453125"/>
  </r>
  <r>
    <x v="2"/>
    <n v="1767073898"/>
    <x v="3"/>
    <s v="5.32GB / 300MB"/>
    <n v="5073.54736328125"/>
    <n v="286.102294921875"/>
    <n v="5359.649658203125"/>
    <x v="40"/>
    <n v="0"/>
    <n v="0"/>
    <n v="0"/>
    <n v="1146.3165283203125"/>
  </r>
  <r>
    <x v="3"/>
    <n v="1767073918"/>
    <x v="0"/>
    <s v="23.7MB / 5.44GB"/>
    <n v="22.602081298828125"/>
    <n v="5187.98828125"/>
    <n v="5210.5903625488281"/>
    <x v="0"/>
    <n v="0"/>
    <n v="0"/>
    <n v="0"/>
    <n v="0"/>
  </r>
  <r>
    <x v="3"/>
    <n v="1767073918"/>
    <x v="1"/>
    <s v="5.73GB / 5.34GB"/>
    <n v="5464.5538330078125"/>
    <n v="5092.620849609375"/>
    <n v="10557.174682617188"/>
    <x v="0"/>
    <n v="0"/>
    <n v="0"/>
    <n v="0"/>
    <n v="0"/>
  </r>
  <r>
    <x v="3"/>
    <n v="1767073918"/>
    <x v="2"/>
    <s v="1.81MB / 881kB"/>
    <n v="1.7261505126953125"/>
    <n v="0.84018707275390625"/>
    <n v="2.5663375854492188"/>
    <x v="0"/>
    <n v="0"/>
    <n v="0"/>
    <n v="0"/>
    <n v="0"/>
  </r>
  <r>
    <x v="3"/>
    <n v="1767073918"/>
    <x v="3"/>
    <s v="5.32GB / 301MB"/>
    <n v="5073.54736328125"/>
    <n v="287.05596923828125"/>
    <n v="5360.6033325195312"/>
    <x v="0"/>
    <n v="0"/>
    <n v="0"/>
    <n v="0"/>
    <n v="0"/>
  </r>
  <r>
    <x v="3"/>
    <n v="1767073926"/>
    <x v="0"/>
    <s v="23.7MB / 5.44GB"/>
    <n v="22.602081298828125"/>
    <n v="5187.98828125"/>
    <n v="5210.5903625488281"/>
    <x v="1"/>
    <n v="0"/>
    <n v="0"/>
    <n v="0"/>
    <n v="0"/>
  </r>
  <r>
    <x v="3"/>
    <n v="1767073926"/>
    <x v="1"/>
    <s v="5.73GB / 5.34GB"/>
    <n v="5464.5538330078125"/>
    <n v="5092.620849609375"/>
    <n v="10557.174682617188"/>
    <x v="1"/>
    <n v="0"/>
    <n v="0"/>
    <n v="0"/>
    <n v="0"/>
  </r>
  <r>
    <x v="3"/>
    <n v="1767073926"/>
    <x v="2"/>
    <s v="1.82MB / 893kB"/>
    <n v="1.735687255859375"/>
    <n v="0.85163116455078125"/>
    <n v="2.5873184204101562"/>
    <x v="1"/>
    <n v="9.5367431640625E-3"/>
    <n v="1.1444091796875E-2"/>
    <n v="2.09808349609375E-2"/>
    <n v="2.09808349609375E-2"/>
  </r>
  <r>
    <x v="3"/>
    <n v="1767073926"/>
    <x v="3"/>
    <s v="5.32GB / 301MB"/>
    <n v="5073.54736328125"/>
    <n v="287.05596923828125"/>
    <n v="5360.6033325195312"/>
    <x v="1"/>
    <n v="0"/>
    <n v="0"/>
    <n v="0"/>
    <n v="0"/>
  </r>
  <r>
    <x v="3"/>
    <n v="1767073933"/>
    <x v="0"/>
    <s v="23.7MB / 5.44GB"/>
    <n v="22.602081298828125"/>
    <n v="5187.98828125"/>
    <n v="5210.5903625488281"/>
    <x v="2"/>
    <n v="0"/>
    <n v="0"/>
    <n v="0"/>
    <n v="0"/>
  </r>
  <r>
    <x v="3"/>
    <n v="1767073933"/>
    <x v="1"/>
    <s v="5.74GB / 5.34GB"/>
    <n v="5474.090576171875"/>
    <n v="5092.620849609375"/>
    <n v="10566.71142578125"/>
    <x v="2"/>
    <n v="9.5367431640625"/>
    <n v="0"/>
    <n v="9.5367431640625"/>
    <n v="9.5367431640625"/>
  </r>
  <r>
    <x v="3"/>
    <n v="1767073933"/>
    <x v="2"/>
    <s v="1.82MB / 900kB"/>
    <n v="1.735687255859375"/>
    <n v="0.858306884765625"/>
    <n v="2.593994140625"/>
    <x v="2"/>
    <n v="0"/>
    <n v="6.67572021484375E-3"/>
    <n v="6.67572021484375E-3"/>
    <n v="2.765655517578125E-2"/>
  </r>
  <r>
    <x v="3"/>
    <n v="1767073933"/>
    <x v="3"/>
    <s v="5.32GB / 301MB"/>
    <n v="5073.54736328125"/>
    <n v="287.05596923828125"/>
    <n v="5360.6033325195312"/>
    <x v="2"/>
    <n v="0"/>
    <n v="0"/>
    <n v="0"/>
    <n v="0"/>
  </r>
  <r>
    <x v="3"/>
    <n v="1767073941"/>
    <x v="0"/>
    <s v="23.7MB / 5.44GB"/>
    <n v="22.602081298828125"/>
    <n v="5187.98828125"/>
    <n v="5210.5903625488281"/>
    <x v="3"/>
    <n v="0"/>
    <n v="0"/>
    <n v="0"/>
    <n v="0"/>
  </r>
  <r>
    <x v="3"/>
    <n v="1767073941"/>
    <x v="1"/>
    <s v="5.74GB / 5.39GB"/>
    <n v="5474.090576171875"/>
    <n v="5140.3045654296875"/>
    <n v="10614.395141601562"/>
    <x v="3"/>
    <n v="0"/>
    <n v="47.6837158203125"/>
    <n v="47.6837158203125"/>
    <n v="57.220458984375"/>
  </r>
  <r>
    <x v="3"/>
    <n v="1767073941"/>
    <x v="2"/>
    <s v="1.83MB / 902kB"/>
    <n v="1.7452239990234375"/>
    <n v="0.8602142333984375"/>
    <n v="2.605438232421875"/>
    <x v="3"/>
    <n v="9.5367431640625E-3"/>
    <n v="1.9073486328125E-3"/>
    <n v="1.1444091796875E-2"/>
    <n v="3.910064697265625E-2"/>
  </r>
  <r>
    <x v="3"/>
    <n v="1767073941"/>
    <x v="3"/>
    <s v="5.37GB / 301MB"/>
    <n v="5121.2310791015625"/>
    <n v="287.05596923828125"/>
    <n v="5408.2870483398438"/>
    <x v="3"/>
    <n v="47.6837158203125"/>
    <n v="0"/>
    <n v="47.6837158203125"/>
    <n v="47.6837158203125"/>
  </r>
  <r>
    <x v="3"/>
    <n v="1767073949"/>
    <x v="0"/>
    <s v="23.8MB / 5.44GB"/>
    <n v="22.69744873046875"/>
    <n v="5187.98828125"/>
    <n v="5210.6857299804688"/>
    <x v="4"/>
    <n v="9.5367431640625E-2"/>
    <n v="0"/>
    <n v="9.5367431640625E-2"/>
    <n v="9.5367431640625E-2"/>
  </r>
  <r>
    <x v="3"/>
    <n v="1767073949"/>
    <x v="1"/>
    <s v="5.74GB / 5.43GB"/>
    <n v="5474.090576171875"/>
    <n v="5178.4515380859375"/>
    <n v="10652.542114257812"/>
    <x v="4"/>
    <n v="0"/>
    <n v="38.14697265625"/>
    <n v="38.14697265625"/>
    <n v="95.367431640625"/>
  </r>
  <r>
    <x v="3"/>
    <n v="1767073949"/>
    <x v="2"/>
    <s v="1.84MB / 904kB"/>
    <n v="1.7547607421875"/>
    <n v="0.86212158203125"/>
    <n v="2.61688232421875"/>
    <x v="4"/>
    <n v="9.5367431640625E-3"/>
    <n v="1.9073486328125E-3"/>
    <n v="1.1444091796875E-2"/>
    <n v="5.054473876953125E-2"/>
  </r>
  <r>
    <x v="3"/>
    <n v="1767073949"/>
    <x v="3"/>
    <s v="5.41GB / 301MB"/>
    <n v="5159.3780517578125"/>
    <n v="287.05596923828125"/>
    <n v="5446.4340209960938"/>
    <x v="4"/>
    <n v="38.14697265625"/>
    <n v="0"/>
    <n v="38.14697265625"/>
    <n v="85.8306884765625"/>
  </r>
  <r>
    <x v="3"/>
    <n v="1767073956"/>
    <x v="0"/>
    <s v="23.8MB / 5.44GB"/>
    <n v="22.69744873046875"/>
    <n v="5187.98828125"/>
    <n v="5210.6857299804688"/>
    <x v="5"/>
    <n v="0"/>
    <n v="0"/>
    <n v="0"/>
    <n v="9.5367431640625E-2"/>
  </r>
  <r>
    <x v="3"/>
    <n v="1767073956"/>
    <x v="1"/>
    <s v="5.74GB / 5.48GB"/>
    <n v="5474.090576171875"/>
    <n v="5226.13525390625"/>
    <n v="10700.225830078125"/>
    <x v="5"/>
    <n v="0"/>
    <n v="47.6837158203125"/>
    <n v="47.6837158203125"/>
    <n v="143.0511474609375"/>
  </r>
  <r>
    <x v="3"/>
    <n v="1767073956"/>
    <x v="2"/>
    <s v="1.84MB / 906kB"/>
    <n v="1.7547607421875"/>
    <n v="0.8640289306640625"/>
    <n v="2.6187896728515625"/>
    <x v="5"/>
    <n v="0"/>
    <n v="1.9073486328125E-3"/>
    <n v="1.9073486328125E-3"/>
    <n v="5.245208740234375E-2"/>
  </r>
  <r>
    <x v="3"/>
    <n v="1767073956"/>
    <x v="3"/>
    <s v="5.46GB / 302MB"/>
    <n v="5207.061767578125"/>
    <n v="288.0096435546875"/>
    <n v="5495.0714111328125"/>
    <x v="5"/>
    <n v="47.6837158203125"/>
    <n v="0.95367431640625"/>
    <n v="48.63739013671875"/>
    <n v="134.46807861328125"/>
  </r>
  <r>
    <x v="3"/>
    <n v="1767073963"/>
    <x v="0"/>
    <s v="23.8MB / 5.44GB"/>
    <n v="22.69744873046875"/>
    <n v="5187.98828125"/>
    <n v="5210.6857299804688"/>
    <x v="6"/>
    <n v="0"/>
    <n v="0"/>
    <n v="0"/>
    <n v="9.5367431640625E-2"/>
  </r>
  <r>
    <x v="3"/>
    <n v="1767073963"/>
    <x v="1"/>
    <s v="5.74GB / 5.48GB"/>
    <n v="5474.090576171875"/>
    <n v="5226.13525390625"/>
    <n v="10700.225830078125"/>
    <x v="6"/>
    <n v="0"/>
    <n v="0"/>
    <n v="0"/>
    <n v="143.0511474609375"/>
  </r>
  <r>
    <x v="3"/>
    <n v="1767073963"/>
    <x v="2"/>
    <s v="1.85MB / 909kB"/>
    <n v="1.7642974853515625"/>
    <n v="0.86688995361328125"/>
    <n v="2.6311874389648438"/>
    <x v="6"/>
    <n v="9.5367431640625E-3"/>
    <n v="2.86102294921875E-3"/>
    <n v="1.239776611328125E-2"/>
    <n v="6.4849853515625E-2"/>
  </r>
  <r>
    <x v="3"/>
    <n v="1767073963"/>
    <x v="3"/>
    <s v="5.46GB / 302MB"/>
    <n v="5207.061767578125"/>
    <n v="288.0096435546875"/>
    <n v="5495.0714111328125"/>
    <x v="6"/>
    <n v="0"/>
    <n v="0"/>
    <n v="0"/>
    <n v="134.46807861328125"/>
  </r>
  <r>
    <x v="3"/>
    <n v="1767073971"/>
    <x v="0"/>
    <s v="23.8MB / 5.44GB"/>
    <n v="22.69744873046875"/>
    <n v="5187.98828125"/>
    <n v="5210.6857299804688"/>
    <x v="7"/>
    <n v="0"/>
    <n v="0"/>
    <n v="0"/>
    <n v="9.5367431640625E-2"/>
  </r>
  <r>
    <x v="3"/>
    <n v="1767073971"/>
    <x v="1"/>
    <s v="5.74GB / 5.53GB"/>
    <n v="5474.090576171875"/>
    <n v="5273.8189697265625"/>
    <n v="10747.909545898438"/>
    <x v="7"/>
    <n v="0"/>
    <n v="47.6837158203125"/>
    <n v="47.6837158203125"/>
    <n v="190.73486328125"/>
  </r>
  <r>
    <x v="3"/>
    <n v="1767073971"/>
    <x v="2"/>
    <s v="1.86MB / 910kB"/>
    <n v="1.773834228515625"/>
    <n v="0.8678436279296875"/>
    <n v="2.6416778564453125"/>
    <x v="7"/>
    <n v="9.5367431640625E-3"/>
    <n v="9.5367431640625E-4"/>
    <n v="1.049041748046875E-2"/>
    <n v="7.534027099609375E-2"/>
  </r>
  <r>
    <x v="3"/>
    <n v="1767073971"/>
    <x v="3"/>
    <s v="5.51GB / 302MB"/>
    <n v="5254.7454833984375"/>
    <n v="288.0096435546875"/>
    <n v="5542.755126953125"/>
    <x v="7"/>
    <n v="47.6837158203125"/>
    <n v="0"/>
    <n v="47.6837158203125"/>
    <n v="182.15179443359375"/>
  </r>
  <r>
    <x v="3"/>
    <n v="1767073978"/>
    <x v="0"/>
    <s v="23.8MB / 5.44GB"/>
    <n v="22.69744873046875"/>
    <n v="5187.98828125"/>
    <n v="5210.6857299804688"/>
    <x v="8"/>
    <n v="0"/>
    <n v="0"/>
    <n v="0"/>
    <n v="9.5367431640625E-2"/>
  </r>
  <r>
    <x v="3"/>
    <n v="1767073978"/>
    <x v="1"/>
    <s v="5.74GB / 5.57GB"/>
    <n v="5474.090576171875"/>
    <n v="5311.9659423828125"/>
    <n v="10786.056518554688"/>
    <x v="8"/>
    <n v="0"/>
    <n v="38.14697265625"/>
    <n v="38.14697265625"/>
    <n v="228.8818359375"/>
  </r>
  <r>
    <x v="3"/>
    <n v="1767073978"/>
    <x v="2"/>
    <s v="1.87MB / 912kB"/>
    <n v="1.7833709716796875"/>
    <n v="0.8697509765625"/>
    <n v="2.6531219482421875"/>
    <x v="8"/>
    <n v="9.5367431640625E-3"/>
    <n v="1.9073486328125E-3"/>
    <n v="1.1444091796875E-2"/>
    <n v="8.678436279296875E-2"/>
  </r>
  <r>
    <x v="3"/>
    <n v="1767073978"/>
    <x v="3"/>
    <s v="5.56GB / 302MB"/>
    <n v="5302.42919921875"/>
    <n v="288.0096435546875"/>
    <n v="5590.4388427734375"/>
    <x v="8"/>
    <n v="47.6837158203125"/>
    <n v="0"/>
    <n v="47.6837158203125"/>
    <n v="229.83551025390625"/>
  </r>
  <r>
    <x v="3"/>
    <n v="1767073986"/>
    <x v="0"/>
    <s v="23.8MB / 5.44GB"/>
    <n v="22.69744873046875"/>
    <n v="5187.98828125"/>
    <n v="5210.6857299804688"/>
    <x v="9"/>
    <n v="0"/>
    <n v="0"/>
    <n v="0"/>
    <n v="9.5367431640625E-2"/>
  </r>
  <r>
    <x v="3"/>
    <n v="1767073986"/>
    <x v="1"/>
    <s v="5.74GB / 5.61GB"/>
    <n v="5474.090576171875"/>
    <n v="5350.1129150390625"/>
    <n v="10824.203491210938"/>
    <x v="9"/>
    <n v="0"/>
    <n v="38.14697265625"/>
    <n v="38.14697265625"/>
    <n v="267.02880859375"/>
  </r>
  <r>
    <x v="3"/>
    <n v="1767073986"/>
    <x v="2"/>
    <s v="1.87MB / 914kB"/>
    <n v="1.7833709716796875"/>
    <n v="0.8716583251953125"/>
    <n v="2.655029296875"/>
    <x v="9"/>
    <n v="0"/>
    <n v="1.9073486328125E-3"/>
    <n v="1.9073486328125E-3"/>
    <n v="8.869171142578125E-2"/>
  </r>
  <r>
    <x v="3"/>
    <n v="1767073986"/>
    <x v="3"/>
    <s v="5.59GB / 303MB"/>
    <n v="5331.0394287109375"/>
    <n v="288.96331787109375"/>
    <n v="5620.0027465820312"/>
    <x v="9"/>
    <n v="28.6102294921875"/>
    <n v="0.95367431640625"/>
    <n v="29.56390380859375"/>
    <n v="259.3994140625"/>
  </r>
  <r>
    <x v="3"/>
    <n v="1767073993"/>
    <x v="0"/>
    <s v="23.8MB / 5.44GB"/>
    <n v="22.69744873046875"/>
    <n v="5187.98828125"/>
    <n v="5210.6857299804688"/>
    <x v="10"/>
    <n v="0"/>
    <n v="0"/>
    <n v="0"/>
    <n v="9.5367431640625E-2"/>
  </r>
  <r>
    <x v="3"/>
    <n v="1767073993"/>
    <x v="1"/>
    <s v="5.74GB / 5.61GB"/>
    <n v="5474.090576171875"/>
    <n v="5350.1129150390625"/>
    <n v="10824.203491210938"/>
    <x v="10"/>
    <n v="0"/>
    <n v="0"/>
    <n v="0"/>
    <n v="267.02880859375"/>
  </r>
  <r>
    <x v="3"/>
    <n v="1767073993"/>
    <x v="2"/>
    <s v="1.88MB / 917kB"/>
    <n v="1.79290771484375"/>
    <n v="0.87451934814453125"/>
    <n v="2.6674270629882812"/>
    <x v="10"/>
    <n v="9.5367431640625E-3"/>
    <n v="2.86102294921875E-3"/>
    <n v="1.239776611328125E-2"/>
    <n v="0.1010894775390625"/>
  </r>
  <r>
    <x v="3"/>
    <n v="1767073993"/>
    <x v="3"/>
    <s v="5.59GB / 303MB"/>
    <n v="5331.0394287109375"/>
    <n v="288.96331787109375"/>
    <n v="5620.0027465820312"/>
    <x v="10"/>
    <n v="0"/>
    <n v="0"/>
    <n v="0"/>
    <n v="259.3994140625"/>
  </r>
  <r>
    <x v="3"/>
    <n v="1767074001"/>
    <x v="0"/>
    <s v="23.8MB / 5.44GB"/>
    <n v="22.69744873046875"/>
    <n v="5187.98828125"/>
    <n v="5210.6857299804688"/>
    <x v="11"/>
    <n v="0"/>
    <n v="0"/>
    <n v="0"/>
    <n v="9.5367431640625E-2"/>
  </r>
  <r>
    <x v="3"/>
    <n v="1767074001"/>
    <x v="1"/>
    <s v="5.74GB / 5.67GB"/>
    <n v="5474.090576171875"/>
    <n v="5407.3333740234375"/>
    <n v="10881.423950195312"/>
    <x v="11"/>
    <n v="0"/>
    <n v="57.220458984375"/>
    <n v="57.220458984375"/>
    <n v="324.249267578125"/>
  </r>
  <r>
    <x v="3"/>
    <n v="1767074001"/>
    <x v="2"/>
    <s v="1.89MB / 918kB"/>
    <n v="1.8024444580078125"/>
    <n v="0.8754730224609375"/>
    <n v="2.67791748046875"/>
    <x v="11"/>
    <n v="9.5367431640625E-3"/>
    <n v="9.5367431640625E-4"/>
    <n v="1.049041748046875E-2"/>
    <n v="0.11157989501953125"/>
  </r>
  <r>
    <x v="3"/>
    <n v="1767074001"/>
    <x v="3"/>
    <s v="5.65GB / 303MB"/>
    <n v="5388.2598876953125"/>
    <n v="288.96331787109375"/>
    <n v="5677.2232055664062"/>
    <x v="11"/>
    <n v="57.220458984375"/>
    <n v="0"/>
    <n v="57.220458984375"/>
    <n v="316.619873046875"/>
  </r>
  <r>
    <x v="3"/>
    <n v="1767074008"/>
    <x v="0"/>
    <s v="23.8MB / 5.44GB"/>
    <n v="22.69744873046875"/>
    <n v="5187.98828125"/>
    <n v="5210.6857299804688"/>
    <x v="12"/>
    <n v="0"/>
    <n v="0"/>
    <n v="0"/>
    <n v="9.5367431640625E-2"/>
  </r>
  <r>
    <x v="3"/>
    <n v="1767074008"/>
    <x v="1"/>
    <s v="5.74GB / 5.72GB"/>
    <n v="5474.090576171875"/>
    <n v="5455.01708984375"/>
    <n v="10929.107666015625"/>
    <x v="12"/>
    <n v="0"/>
    <n v="47.6837158203125"/>
    <n v="47.6837158203125"/>
    <n v="371.9329833984375"/>
  </r>
  <r>
    <x v="3"/>
    <n v="1767074008"/>
    <x v="2"/>
    <s v="1.89MB / 921kB"/>
    <n v="1.8024444580078125"/>
    <n v="0.87833404541015625"/>
    <n v="2.6807785034179688"/>
    <x v="12"/>
    <n v="0"/>
    <n v="2.86102294921875E-3"/>
    <n v="2.86102294921875E-3"/>
    <n v="0.11444091796875"/>
  </r>
  <r>
    <x v="3"/>
    <n v="1767074008"/>
    <x v="3"/>
    <s v="5.7GB / 303MB"/>
    <n v="5435.943603515625"/>
    <n v="288.96331787109375"/>
    <n v="5724.9069213867188"/>
    <x v="12"/>
    <n v="47.6837158203125"/>
    <n v="0"/>
    <n v="47.6837158203125"/>
    <n v="364.3035888671875"/>
  </r>
  <r>
    <x v="3"/>
    <n v="1767074016"/>
    <x v="0"/>
    <s v="23.8MB / 5.44GB"/>
    <n v="22.69744873046875"/>
    <n v="5187.98828125"/>
    <n v="5210.6857299804688"/>
    <x v="13"/>
    <n v="0"/>
    <n v="0"/>
    <n v="0"/>
    <n v="9.5367431640625E-2"/>
  </r>
  <r>
    <x v="3"/>
    <n v="1767074016"/>
    <x v="1"/>
    <s v="5.74GB / 5.75GB"/>
    <n v="5474.090576171875"/>
    <n v="5483.6273193359375"/>
    <n v="10957.717895507812"/>
    <x v="13"/>
    <n v="0"/>
    <n v="28.6102294921875"/>
    <n v="28.6102294921875"/>
    <n v="400.543212890625"/>
  </r>
  <r>
    <x v="3"/>
    <n v="1767074016"/>
    <x v="2"/>
    <s v="1.9MB / 923kB"/>
    <n v="1.811981201171875"/>
    <n v="0.88024139404296875"/>
    <n v="2.6922225952148438"/>
    <x v="13"/>
    <n v="9.5367431640625E-3"/>
    <n v="1.9073486328125E-3"/>
    <n v="1.1444091796875E-2"/>
    <n v="0.125885009765625"/>
  </r>
  <r>
    <x v="3"/>
    <n v="1767074016"/>
    <x v="3"/>
    <s v="5.73GB / 303MB"/>
    <n v="5464.5538330078125"/>
    <n v="288.96331787109375"/>
    <n v="5753.5171508789062"/>
    <x v="13"/>
    <n v="28.6102294921875"/>
    <n v="0"/>
    <n v="28.6102294921875"/>
    <n v="392.913818359375"/>
  </r>
  <r>
    <x v="3"/>
    <n v="1767074023"/>
    <x v="0"/>
    <s v="23.8MB / 5.44GB"/>
    <n v="22.69744873046875"/>
    <n v="5187.98828125"/>
    <n v="5210.6857299804688"/>
    <x v="14"/>
    <n v="0"/>
    <n v="0"/>
    <n v="0"/>
    <n v="9.5367431640625E-2"/>
  </r>
  <r>
    <x v="3"/>
    <n v="1767074023"/>
    <x v="1"/>
    <s v="5.74GB / 5.75GB"/>
    <n v="5474.090576171875"/>
    <n v="5483.6273193359375"/>
    <n v="10957.717895507812"/>
    <x v="14"/>
    <n v="0"/>
    <n v="0"/>
    <n v="0"/>
    <n v="400.543212890625"/>
  </r>
  <r>
    <x v="3"/>
    <n v="1767074023"/>
    <x v="2"/>
    <s v="1.91MB / 925kB"/>
    <n v="1.8215179443359375"/>
    <n v="0.88214874267578125"/>
    <n v="2.7036666870117188"/>
    <x v="14"/>
    <n v="9.5367431640625E-3"/>
    <n v="1.9073486328125E-3"/>
    <n v="1.1444091796875E-2"/>
    <n v="0.1373291015625"/>
  </r>
  <r>
    <x v="3"/>
    <n v="1767074023"/>
    <x v="3"/>
    <s v="5.73GB / 303MB"/>
    <n v="5464.5538330078125"/>
    <n v="288.96331787109375"/>
    <n v="5753.5171508789062"/>
    <x v="14"/>
    <n v="0"/>
    <n v="0"/>
    <n v="0"/>
    <n v="392.913818359375"/>
  </r>
  <r>
    <x v="3"/>
    <n v="1767074031"/>
    <x v="0"/>
    <s v="23.8MB / 5.44GB"/>
    <n v="22.69744873046875"/>
    <n v="5187.98828125"/>
    <n v="5210.6857299804688"/>
    <x v="15"/>
    <n v="0"/>
    <n v="0"/>
    <n v="0"/>
    <n v="9.5367431640625E-2"/>
  </r>
  <r>
    <x v="3"/>
    <n v="1767074031"/>
    <x v="1"/>
    <s v="5.74GB / 5.77GB"/>
    <n v="5474.090576171875"/>
    <n v="5502.7008056640625"/>
    <n v="10976.791381835938"/>
    <x v="15"/>
    <n v="0"/>
    <n v="19.073486328125"/>
    <n v="19.073486328125"/>
    <n v="419.61669921875"/>
  </r>
  <r>
    <x v="3"/>
    <n v="1767074031"/>
    <x v="2"/>
    <s v="1.92MB / 927kB"/>
    <n v="1.8310546875"/>
    <n v="0.88405609130859375"/>
    <n v="2.7151107788085938"/>
    <x v="15"/>
    <n v="9.5367431640625E-3"/>
    <n v="1.9073486328125E-3"/>
    <n v="1.1444091796875E-2"/>
    <n v="0.148773193359375"/>
  </r>
  <r>
    <x v="3"/>
    <n v="1767074031"/>
    <x v="3"/>
    <s v="5.75GB / 303MB"/>
    <n v="5483.6273193359375"/>
    <n v="288.96331787109375"/>
    <n v="5772.5906372070312"/>
    <x v="15"/>
    <n v="19.073486328125"/>
    <n v="0"/>
    <n v="19.073486328125"/>
    <n v="411.9873046875"/>
  </r>
  <r>
    <x v="3"/>
    <n v="1767074038"/>
    <x v="0"/>
    <s v="23.9MB / 5.44GB"/>
    <n v="22.792816162109375"/>
    <n v="5187.98828125"/>
    <n v="5210.7810974121094"/>
    <x v="16"/>
    <n v="9.5367431640625E-2"/>
    <n v="0"/>
    <n v="9.5367431640625E-2"/>
    <n v="0.19073486328125"/>
  </r>
  <r>
    <x v="3"/>
    <n v="1767074038"/>
    <x v="1"/>
    <s v="5.75GB / 5.77GB"/>
    <n v="5483.6273193359375"/>
    <n v="5502.7008056640625"/>
    <n v="10986.328125"/>
    <x v="16"/>
    <n v="9.5367431640625"/>
    <n v="0"/>
    <n v="9.5367431640625"/>
    <n v="429.1534423828125"/>
  </r>
  <r>
    <x v="3"/>
    <n v="1767074038"/>
    <x v="2"/>
    <s v="1.92MB / 929kB"/>
    <n v="1.8310546875"/>
    <n v="0.88596343994140625"/>
    <n v="2.7170181274414062"/>
    <x v="16"/>
    <n v="0"/>
    <n v="1.9073486328125E-3"/>
    <n v="1.9073486328125E-3"/>
    <n v="0.1506805419921875"/>
  </r>
  <r>
    <x v="3"/>
    <n v="1767074038"/>
    <x v="3"/>
    <s v="5.75GB / 312MB"/>
    <n v="5483.6273193359375"/>
    <n v="297.54638671875"/>
    <n v="5781.1737060546875"/>
    <x v="16"/>
    <n v="0"/>
    <n v="8.58306884765625"/>
    <n v="8.58306884765625"/>
    <n v="420.57037353515625"/>
  </r>
  <r>
    <x v="3"/>
    <n v="1767074046"/>
    <x v="0"/>
    <s v="23.9MB / 5.44GB"/>
    <n v="22.792816162109375"/>
    <n v="5187.98828125"/>
    <n v="5210.7810974121094"/>
    <x v="17"/>
    <n v="0"/>
    <n v="0"/>
    <n v="0"/>
    <n v="0.19073486328125"/>
  </r>
  <r>
    <x v="3"/>
    <n v="1767074046"/>
    <x v="1"/>
    <s v="5.75GB / 5.77GB"/>
    <n v="5483.6273193359375"/>
    <n v="5502.7008056640625"/>
    <n v="10986.328125"/>
    <x v="17"/>
    <n v="0"/>
    <n v="0"/>
    <n v="0"/>
    <n v="429.1534423828125"/>
  </r>
  <r>
    <x v="3"/>
    <n v="1767074046"/>
    <x v="2"/>
    <s v="1.93MB / 931kB"/>
    <n v="1.8405914306640625"/>
    <n v="0.88787078857421875"/>
    <n v="2.7284622192382812"/>
    <x v="17"/>
    <n v="9.5367431640625E-3"/>
    <n v="1.9073486328125E-3"/>
    <n v="1.1444091796875E-2"/>
    <n v="0.1621246337890625"/>
  </r>
  <r>
    <x v="3"/>
    <n v="1767074046"/>
    <x v="3"/>
    <s v="5.75GB / 319MB"/>
    <n v="5483.6273193359375"/>
    <n v="304.22210693359375"/>
    <n v="5787.8494262695312"/>
    <x v="17"/>
    <n v="0"/>
    <n v="6.67572021484375"/>
    <n v="6.67572021484375"/>
    <n v="427.24609375"/>
  </r>
  <r>
    <x v="3"/>
    <n v="1767074054"/>
    <x v="0"/>
    <s v="23.9MB / 5.44GB"/>
    <n v="22.792816162109375"/>
    <n v="5187.98828125"/>
    <n v="5210.7810974121094"/>
    <x v="18"/>
    <n v="0"/>
    <n v="0"/>
    <n v="0"/>
    <n v="0.19073486328125"/>
  </r>
  <r>
    <x v="3"/>
    <n v="1767074054"/>
    <x v="1"/>
    <s v="5.75GB / 5.77GB"/>
    <n v="5483.6273193359375"/>
    <n v="5502.7008056640625"/>
    <n v="10986.328125"/>
    <x v="18"/>
    <n v="0"/>
    <n v="0"/>
    <n v="0"/>
    <n v="429.1534423828125"/>
  </r>
  <r>
    <x v="3"/>
    <n v="1767074054"/>
    <x v="2"/>
    <s v="1.94MB / 948kB"/>
    <n v="1.850128173828125"/>
    <n v="0.904083251953125"/>
    <n v="2.75421142578125"/>
    <x v="18"/>
    <n v="9.5367431640625E-3"/>
    <n v="1.621246337890625E-2"/>
    <n v="2.574920654296875E-2"/>
    <n v="0.18787384033203125"/>
  </r>
  <r>
    <x v="3"/>
    <n v="1767074054"/>
    <x v="3"/>
    <s v="5.75GB / 319MB"/>
    <n v="5483.6273193359375"/>
    <n v="304.22210693359375"/>
    <n v="5787.8494262695312"/>
    <x v="18"/>
    <n v="0"/>
    <n v="0"/>
    <n v="0"/>
    <n v="427.24609375"/>
  </r>
  <r>
    <x v="3"/>
    <n v="1767074061"/>
    <x v="0"/>
    <s v="23.9MB / 5.44GB"/>
    <n v="22.792816162109375"/>
    <n v="5187.98828125"/>
    <n v="5210.7810974121094"/>
    <x v="19"/>
    <n v="0"/>
    <n v="0"/>
    <n v="0"/>
    <n v="0.19073486328125"/>
  </r>
  <r>
    <x v="3"/>
    <n v="1767074061"/>
    <x v="1"/>
    <s v="5.75GB / 5.77GB"/>
    <n v="5483.6273193359375"/>
    <n v="5502.7008056640625"/>
    <n v="10986.328125"/>
    <x v="19"/>
    <n v="0"/>
    <n v="0"/>
    <n v="0"/>
    <n v="429.1534423828125"/>
  </r>
  <r>
    <x v="3"/>
    <n v="1767074061"/>
    <x v="2"/>
    <s v="1.95MB / 954kB"/>
    <n v="1.8596649169921875"/>
    <n v="0.9098052978515625"/>
    <n v="2.76947021484375"/>
    <x v="19"/>
    <n v="9.5367431640625E-3"/>
    <n v="5.7220458984375E-3"/>
    <n v="1.52587890625E-2"/>
    <n v="0.20313262939453125"/>
  </r>
  <r>
    <x v="3"/>
    <n v="1767074061"/>
    <x v="3"/>
    <s v="5.75GB / 319MB"/>
    <n v="5483.6273193359375"/>
    <n v="304.22210693359375"/>
    <n v="5787.8494262695312"/>
    <x v="19"/>
    <n v="0"/>
    <n v="0"/>
    <n v="0"/>
    <n v="427.24609375"/>
  </r>
  <r>
    <x v="3"/>
    <n v="1767074069"/>
    <x v="0"/>
    <s v="23.9MB / 5.44GB"/>
    <n v="22.792816162109375"/>
    <n v="5187.98828125"/>
    <n v="5210.7810974121094"/>
    <x v="20"/>
    <n v="0"/>
    <n v="0"/>
    <n v="0"/>
    <n v="0.19073486328125"/>
  </r>
  <r>
    <x v="3"/>
    <n v="1767074069"/>
    <x v="1"/>
    <s v="5.75GB / 5.79GB"/>
    <n v="5483.6273193359375"/>
    <n v="5521.7742919921875"/>
    <n v="11005.401611328125"/>
    <x v="20"/>
    <n v="0"/>
    <n v="19.073486328125"/>
    <n v="19.073486328125"/>
    <n v="448.2269287109375"/>
  </r>
  <r>
    <x v="3"/>
    <n v="1767074069"/>
    <x v="2"/>
    <s v="1.96MB / 956kB"/>
    <n v="1.86920166015625"/>
    <n v="0.911712646484375"/>
    <n v="2.780914306640625"/>
    <x v="20"/>
    <n v="9.5367431640625E-3"/>
    <n v="1.9073486328125E-3"/>
    <n v="1.1444091796875E-2"/>
    <n v="0.21457672119140625"/>
  </r>
  <r>
    <x v="3"/>
    <n v="1767074069"/>
    <x v="3"/>
    <s v="5.77GB / 319MB"/>
    <n v="5502.7008056640625"/>
    <n v="304.22210693359375"/>
    <n v="5806.9229125976562"/>
    <x v="20"/>
    <n v="19.073486328125"/>
    <n v="0"/>
    <n v="19.073486328125"/>
    <n v="446.319580078125"/>
  </r>
  <r>
    <x v="3"/>
    <n v="1767074076"/>
    <x v="0"/>
    <s v="24MB / 5.44GB"/>
    <n v="22.88818359375"/>
    <n v="5187.98828125"/>
    <n v="5210.87646484375"/>
    <x v="21"/>
    <n v="9.5367431640625E-2"/>
    <n v="0"/>
    <n v="9.5367431640625E-2"/>
    <n v="0.286102294921875"/>
  </r>
  <r>
    <x v="3"/>
    <n v="1767074076"/>
    <x v="1"/>
    <s v="5.75GB / 5.79GB"/>
    <n v="5483.6273193359375"/>
    <n v="5521.7742919921875"/>
    <n v="11005.401611328125"/>
    <x v="21"/>
    <n v="0"/>
    <n v="0"/>
    <n v="0"/>
    <n v="448.2269287109375"/>
  </r>
  <r>
    <x v="3"/>
    <n v="1767074076"/>
    <x v="2"/>
    <s v="1.96MB / 959kB"/>
    <n v="1.86920166015625"/>
    <n v="0.91457366943359375"/>
    <n v="2.7837753295898438"/>
    <x v="21"/>
    <n v="0"/>
    <n v="2.86102294921875E-3"/>
    <n v="2.86102294921875E-3"/>
    <n v="0.217437744140625"/>
  </r>
  <r>
    <x v="3"/>
    <n v="1767074076"/>
    <x v="3"/>
    <s v="5.77GB / 319MB"/>
    <n v="5502.7008056640625"/>
    <n v="304.22210693359375"/>
    <n v="5806.9229125976562"/>
    <x v="21"/>
    <n v="0"/>
    <n v="0"/>
    <n v="0"/>
    <n v="446.3195800781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DCB5B1-ED90-AE49-8A69-E46B61B0E3AE}" name="PivotTable9"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F21" firstHeaderRow="1" firstDataRow="2" firstDataCol="1" rowPageCount="1" colPageCount="1"/>
  <pivotFields count="12">
    <pivotField axis="axisPage" showAll="0">
      <items count="5">
        <item x="1"/>
        <item x="0"/>
        <item x="2"/>
        <item x="3"/>
        <item t="default"/>
      </items>
    </pivotField>
    <pivotField showAll="0"/>
    <pivotField axis="axisCol" showAll="0">
      <items count="5">
        <item x="1"/>
        <item x="0"/>
        <item x="3"/>
        <item x="2"/>
        <item t="default"/>
      </items>
    </pivotField>
    <pivotField showAll="0"/>
    <pivotField numFmtId="2" showAll="0"/>
    <pivotField numFmtId="2" showAll="0"/>
    <pivotField numFmtId="2" showAll="0"/>
    <pivotField axis="axisRow" numFmtId="1"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umFmtId="2" showAll="0"/>
    <pivotField numFmtId="2" showAll="0"/>
    <pivotField dataField="1" numFmtId="2" showAll="0"/>
    <pivotField numFmtId="2" showAll="0"/>
  </pivotFields>
  <rowFields count="1">
    <field x="7"/>
  </rowFields>
  <rowItems count="17">
    <i>
      <x/>
    </i>
    <i>
      <x v="1"/>
    </i>
    <i>
      <x v="2"/>
    </i>
    <i>
      <x v="3"/>
    </i>
    <i>
      <x v="4"/>
    </i>
    <i>
      <x v="5"/>
    </i>
    <i>
      <x v="6"/>
    </i>
    <i>
      <x v="7"/>
    </i>
    <i>
      <x v="8"/>
    </i>
    <i>
      <x v="9"/>
    </i>
    <i>
      <x v="10"/>
    </i>
    <i>
      <x v="11"/>
    </i>
    <i>
      <x v="12"/>
    </i>
    <i>
      <x v="13"/>
    </i>
    <i>
      <x v="14"/>
    </i>
    <i>
      <x v="15"/>
    </i>
    <i t="grand">
      <x/>
    </i>
  </rowItems>
  <colFields count="1">
    <field x="2"/>
  </colFields>
  <colItems count="5">
    <i>
      <x/>
    </i>
    <i>
      <x v="1"/>
    </i>
    <i>
      <x v="2"/>
    </i>
    <i>
      <x v="3"/>
    </i>
    <i t="grand">
      <x/>
    </i>
  </colItems>
  <pageFields count="1">
    <pageField fld="0" item="0" hier="-1"/>
  </pageFields>
  <dataFields count="1">
    <dataField name="Sum of net_total_mib_delta" fld="10" baseField="0" baseItem="0" numFmtId="2"/>
  </dataFields>
  <chartFormats count="8">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2" format="8" series="1">
      <pivotArea type="data" outline="0" fieldPosition="0">
        <references count="2">
          <reference field="4294967294" count="1" selected="0">
            <x v="0"/>
          </reference>
          <reference field="2" count="1" selected="0">
            <x v="0"/>
          </reference>
        </references>
      </pivotArea>
    </chartFormat>
    <chartFormat chart="2" format="9" series="1">
      <pivotArea type="data" outline="0" fieldPosition="0">
        <references count="2">
          <reference field="4294967294" count="1" selected="0">
            <x v="0"/>
          </reference>
          <reference field="2" count="1" selected="0">
            <x v="1"/>
          </reference>
        </references>
      </pivotArea>
    </chartFormat>
    <chartFormat chart="2" format="10" series="1">
      <pivotArea type="data" outline="0" fieldPosition="0">
        <references count="2">
          <reference field="4294967294" count="1" selected="0">
            <x v="0"/>
          </reference>
          <reference field="2" count="1" selected="0">
            <x v="2"/>
          </reference>
        </references>
      </pivotArea>
    </chartFormat>
    <chartFormat chart="2" format="11"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BF7565-7C4E-BC4E-98C0-D2B21420198F}" name="PivotTable9"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F13" firstHeaderRow="1" firstDataRow="2" firstDataCol="1" rowPageCount="1" colPageCount="1"/>
  <pivotFields count="12">
    <pivotField axis="axisPage" showAll="0">
      <items count="5">
        <item x="1"/>
        <item x="0"/>
        <item x="2"/>
        <item x="3"/>
        <item t="default"/>
      </items>
    </pivotField>
    <pivotField showAll="0"/>
    <pivotField axis="axisCol" showAll="0">
      <items count="5">
        <item x="1"/>
        <item x="0"/>
        <item x="3"/>
        <item x="2"/>
        <item t="default"/>
      </items>
    </pivotField>
    <pivotField showAll="0"/>
    <pivotField numFmtId="2" showAll="0"/>
    <pivotField numFmtId="2" showAll="0"/>
    <pivotField numFmtId="2" showAll="0"/>
    <pivotField axis="axisRow" numFmtId="1"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umFmtId="2" showAll="0"/>
    <pivotField numFmtId="2" showAll="0"/>
    <pivotField dataField="1" numFmtId="2" showAll="0"/>
    <pivotField numFmtId="2" showAll="0"/>
  </pivotFields>
  <rowFields count="1">
    <field x="7"/>
  </rowFields>
  <rowItems count="9">
    <i>
      <x/>
    </i>
    <i>
      <x v="1"/>
    </i>
    <i>
      <x v="2"/>
    </i>
    <i>
      <x v="3"/>
    </i>
    <i>
      <x v="4"/>
    </i>
    <i>
      <x v="5"/>
    </i>
    <i>
      <x v="6"/>
    </i>
    <i>
      <x v="7"/>
    </i>
    <i t="grand">
      <x/>
    </i>
  </rowItems>
  <colFields count="1">
    <field x="2"/>
  </colFields>
  <colItems count="5">
    <i>
      <x/>
    </i>
    <i>
      <x v="1"/>
    </i>
    <i>
      <x v="2"/>
    </i>
    <i>
      <x v="3"/>
    </i>
    <i t="grand">
      <x/>
    </i>
  </colItems>
  <pageFields count="1">
    <pageField fld="0" item="1" hier="-1"/>
  </pageFields>
  <dataFields count="1">
    <dataField name="Sum of net_total_mib_delta" fld="10" baseField="0" baseItem="0" numFmtId="2"/>
  </dataFields>
  <chartFormats count="1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2" format="8" series="1">
      <pivotArea type="data" outline="0" fieldPosition="0">
        <references count="2">
          <reference field="4294967294" count="1" selected="0">
            <x v="0"/>
          </reference>
          <reference field="2" count="1" selected="0">
            <x v="0"/>
          </reference>
        </references>
      </pivotArea>
    </chartFormat>
    <chartFormat chart="2" format="9" series="1">
      <pivotArea type="data" outline="0" fieldPosition="0">
        <references count="2">
          <reference field="4294967294" count="1" selected="0">
            <x v="0"/>
          </reference>
          <reference field="2" count="1" selected="0">
            <x v="1"/>
          </reference>
        </references>
      </pivotArea>
    </chartFormat>
    <chartFormat chart="2" format="10" series="1">
      <pivotArea type="data" outline="0" fieldPosition="0">
        <references count="2">
          <reference field="4294967294" count="1" selected="0">
            <x v="0"/>
          </reference>
          <reference field="2" count="1" selected="0">
            <x v="2"/>
          </reference>
        </references>
      </pivotArea>
    </chartFormat>
    <chartFormat chart="2" format="11" series="1">
      <pivotArea type="data" outline="0" fieldPosition="0">
        <references count="2">
          <reference field="4294967294" count="1" selected="0">
            <x v="0"/>
          </reference>
          <reference field="2" count="1" selected="0">
            <x v="3"/>
          </reference>
        </references>
      </pivotArea>
    </chartFormat>
    <chartFormat chart="4" format="16" series="1">
      <pivotArea type="data" outline="0" fieldPosition="0">
        <references count="2">
          <reference field="4294967294" count="1" selected="0">
            <x v="0"/>
          </reference>
          <reference field="2" count="1" selected="0">
            <x v="0"/>
          </reference>
        </references>
      </pivotArea>
    </chartFormat>
    <chartFormat chart="4" format="17" series="1">
      <pivotArea type="data" outline="0" fieldPosition="0">
        <references count="2">
          <reference field="4294967294" count="1" selected="0">
            <x v="0"/>
          </reference>
          <reference field="2" count="1" selected="0">
            <x v="1"/>
          </reference>
        </references>
      </pivotArea>
    </chartFormat>
    <chartFormat chart="4" format="18" series="1">
      <pivotArea type="data" outline="0" fieldPosition="0">
        <references count="2">
          <reference field="4294967294" count="1" selected="0">
            <x v="0"/>
          </reference>
          <reference field="2" count="1" selected="0">
            <x v="2"/>
          </reference>
        </references>
      </pivotArea>
    </chartFormat>
    <chartFormat chart="4" format="19" series="1">
      <pivotArea type="data" outline="0" fieldPosition="0">
        <references count="2">
          <reference field="4294967294" count="1" selected="0">
            <x v="0"/>
          </reference>
          <reference field="2" count="1" selected="0">
            <x v="3"/>
          </reference>
        </references>
      </pivotArea>
    </chartFormat>
    <chartFormat chart="7" format="16" series="1">
      <pivotArea type="data" outline="0" fieldPosition="0">
        <references count="2">
          <reference field="4294967294" count="1" selected="0">
            <x v="0"/>
          </reference>
          <reference field="2" count="1" selected="0">
            <x v="0"/>
          </reference>
        </references>
      </pivotArea>
    </chartFormat>
    <chartFormat chart="7" format="17" series="1">
      <pivotArea type="data" outline="0" fieldPosition="0">
        <references count="2">
          <reference field="4294967294" count="1" selected="0">
            <x v="0"/>
          </reference>
          <reference field="2" count="1" selected="0">
            <x v="1"/>
          </reference>
        </references>
      </pivotArea>
    </chartFormat>
    <chartFormat chart="7" format="18" series="1">
      <pivotArea type="data" outline="0" fieldPosition="0">
        <references count="2">
          <reference field="4294967294" count="1" selected="0">
            <x v="0"/>
          </reference>
          <reference field="2" count="1" selected="0">
            <x v="2"/>
          </reference>
        </references>
      </pivotArea>
    </chartFormat>
    <chartFormat chart="7" format="19"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7DDD97-3BFE-A142-B008-9729A2E3EF5A}" name="PivotTable9"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F21" firstHeaderRow="1" firstDataRow="2" firstDataCol="1" rowPageCount="1" colPageCount="1"/>
  <pivotFields count="12">
    <pivotField axis="axisPage" showAll="0">
      <items count="5">
        <item x="1"/>
        <item x="0"/>
        <item x="2"/>
        <item x="3"/>
        <item t="default"/>
      </items>
    </pivotField>
    <pivotField showAll="0"/>
    <pivotField axis="axisCol" showAll="0">
      <items count="5">
        <item x="1"/>
        <item x="0"/>
        <item x="3"/>
        <item x="2"/>
        <item t="default"/>
      </items>
    </pivotField>
    <pivotField showAll="0"/>
    <pivotField numFmtId="2" showAll="0"/>
    <pivotField numFmtId="2" showAll="0"/>
    <pivotField numFmtId="2" showAll="0"/>
    <pivotField axis="axisRow" numFmtId="1"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umFmtId="2" showAll="0"/>
    <pivotField numFmtId="2" showAll="0"/>
    <pivotField dataField="1" numFmtId="2" showAll="0"/>
    <pivotField numFmtId="2" showAll="0"/>
  </pivotFields>
  <rowFields count="1">
    <field x="7"/>
  </rowFields>
  <rowItems count="17">
    <i>
      <x/>
    </i>
    <i>
      <x v="1"/>
    </i>
    <i>
      <x v="2"/>
    </i>
    <i>
      <x v="3"/>
    </i>
    <i>
      <x v="4"/>
    </i>
    <i>
      <x v="5"/>
    </i>
    <i>
      <x v="6"/>
    </i>
    <i>
      <x v="7"/>
    </i>
    <i>
      <x v="8"/>
    </i>
    <i>
      <x v="9"/>
    </i>
    <i>
      <x v="10"/>
    </i>
    <i>
      <x v="11"/>
    </i>
    <i>
      <x v="12"/>
    </i>
    <i>
      <x v="13"/>
    </i>
    <i>
      <x v="14"/>
    </i>
    <i>
      <x v="15"/>
    </i>
    <i t="grand">
      <x/>
    </i>
  </rowItems>
  <colFields count="1">
    <field x="2"/>
  </colFields>
  <colItems count="5">
    <i>
      <x/>
    </i>
    <i>
      <x v="1"/>
    </i>
    <i>
      <x v="2"/>
    </i>
    <i>
      <x v="3"/>
    </i>
    <i t="grand">
      <x/>
    </i>
  </colItems>
  <pageFields count="1">
    <pageField fld="0" item="0" hier="-1"/>
  </pageFields>
  <dataFields count="1">
    <dataField name="Sum of net_total_mib_delta" fld="10" baseField="0" baseItem="0" numFmtId="2"/>
  </dataFields>
  <chartFormats count="2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2" format="8" series="1">
      <pivotArea type="data" outline="0" fieldPosition="0">
        <references count="2">
          <reference field="4294967294" count="1" selected="0">
            <x v="0"/>
          </reference>
          <reference field="2" count="1" selected="0">
            <x v="0"/>
          </reference>
        </references>
      </pivotArea>
    </chartFormat>
    <chartFormat chart="2" format="9" series="1">
      <pivotArea type="data" outline="0" fieldPosition="0">
        <references count="2">
          <reference field="4294967294" count="1" selected="0">
            <x v="0"/>
          </reference>
          <reference field="2" count="1" selected="0">
            <x v="1"/>
          </reference>
        </references>
      </pivotArea>
    </chartFormat>
    <chartFormat chart="2" format="10" series="1">
      <pivotArea type="data" outline="0" fieldPosition="0">
        <references count="2">
          <reference field="4294967294" count="1" selected="0">
            <x v="0"/>
          </reference>
          <reference field="2" count="1" selected="0">
            <x v="2"/>
          </reference>
        </references>
      </pivotArea>
    </chartFormat>
    <chartFormat chart="2" format="11" series="1">
      <pivotArea type="data" outline="0" fieldPosition="0">
        <references count="2">
          <reference field="4294967294" count="1" selected="0">
            <x v="0"/>
          </reference>
          <reference field="2" count="1" selected="0">
            <x v="3"/>
          </reference>
        </references>
      </pivotArea>
    </chartFormat>
    <chartFormat chart="4" format="16" series="1">
      <pivotArea type="data" outline="0" fieldPosition="0">
        <references count="2">
          <reference field="4294967294" count="1" selected="0">
            <x v="0"/>
          </reference>
          <reference field="2" count="1" selected="0">
            <x v="0"/>
          </reference>
        </references>
      </pivotArea>
    </chartFormat>
    <chartFormat chart="4" format="17" series="1">
      <pivotArea type="data" outline="0" fieldPosition="0">
        <references count="2">
          <reference field="4294967294" count="1" selected="0">
            <x v="0"/>
          </reference>
          <reference field="2" count="1" selected="0">
            <x v="1"/>
          </reference>
        </references>
      </pivotArea>
    </chartFormat>
    <chartFormat chart="4" format="18" series="1">
      <pivotArea type="data" outline="0" fieldPosition="0">
        <references count="2">
          <reference field="4294967294" count="1" selected="0">
            <x v="0"/>
          </reference>
          <reference field="2" count="1" selected="0">
            <x v="2"/>
          </reference>
        </references>
      </pivotArea>
    </chartFormat>
    <chartFormat chart="4" format="19" series="1">
      <pivotArea type="data" outline="0" fieldPosition="0">
        <references count="2">
          <reference field="4294967294" count="1" selected="0">
            <x v="0"/>
          </reference>
          <reference field="2" count="1" selected="0">
            <x v="3"/>
          </reference>
        </references>
      </pivotArea>
    </chartFormat>
    <chartFormat chart="6" format="24" series="1">
      <pivotArea type="data" outline="0" fieldPosition="0">
        <references count="2">
          <reference field="4294967294" count="1" selected="0">
            <x v="0"/>
          </reference>
          <reference field="2" count="1" selected="0">
            <x v="0"/>
          </reference>
        </references>
      </pivotArea>
    </chartFormat>
    <chartFormat chart="6" format="25" series="1">
      <pivotArea type="data" outline="0" fieldPosition="0">
        <references count="2">
          <reference field="4294967294" count="1" selected="0">
            <x v="0"/>
          </reference>
          <reference field="2" count="1" selected="0">
            <x v="1"/>
          </reference>
        </references>
      </pivotArea>
    </chartFormat>
    <chartFormat chart="6" format="26" series="1">
      <pivotArea type="data" outline="0" fieldPosition="0">
        <references count="2">
          <reference field="4294967294" count="1" selected="0">
            <x v="0"/>
          </reference>
          <reference field="2" count="1" selected="0">
            <x v="2"/>
          </reference>
        </references>
      </pivotArea>
    </chartFormat>
    <chartFormat chart="6" format="27" series="1">
      <pivotArea type="data" outline="0" fieldPosition="0">
        <references count="2">
          <reference field="4294967294" count="1" selected="0">
            <x v="0"/>
          </reference>
          <reference field="2" count="1" selected="0">
            <x v="3"/>
          </reference>
        </references>
      </pivotArea>
    </chartFormat>
    <chartFormat chart="8" format="24" series="1">
      <pivotArea type="data" outline="0" fieldPosition="0">
        <references count="2">
          <reference field="4294967294" count="1" selected="0">
            <x v="0"/>
          </reference>
          <reference field="2" count="1" selected="0">
            <x v="0"/>
          </reference>
        </references>
      </pivotArea>
    </chartFormat>
    <chartFormat chart="8" format="25" series="1">
      <pivotArea type="data" outline="0" fieldPosition="0">
        <references count="2">
          <reference field="4294967294" count="1" selected="0">
            <x v="0"/>
          </reference>
          <reference field="2" count="1" selected="0">
            <x v="1"/>
          </reference>
        </references>
      </pivotArea>
    </chartFormat>
    <chartFormat chart="8" format="26" series="1">
      <pivotArea type="data" outline="0" fieldPosition="0">
        <references count="2">
          <reference field="4294967294" count="1" selected="0">
            <x v="0"/>
          </reference>
          <reference field="2" count="1" selected="0">
            <x v="2"/>
          </reference>
        </references>
      </pivotArea>
    </chartFormat>
    <chartFormat chart="8" format="27"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02693F-6CF3-154A-A4CC-03709B946E9F}" name="PivotTable9"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F27" firstHeaderRow="1" firstDataRow="2" firstDataCol="1" rowPageCount="1" colPageCount="1"/>
  <pivotFields count="12">
    <pivotField axis="axisPage" showAll="0">
      <items count="5">
        <item x="1"/>
        <item x="0"/>
        <item x="2"/>
        <item x="3"/>
        <item t="default"/>
      </items>
    </pivotField>
    <pivotField showAll="0"/>
    <pivotField axis="axisCol" showAll="0">
      <items count="5">
        <item x="1"/>
        <item x="0"/>
        <item x="3"/>
        <item x="2"/>
        <item t="default"/>
      </items>
    </pivotField>
    <pivotField showAll="0"/>
    <pivotField numFmtId="2" showAll="0"/>
    <pivotField numFmtId="2" showAll="0"/>
    <pivotField numFmtId="2" showAll="0"/>
    <pivotField axis="axisRow" numFmtId="1"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umFmtId="2" showAll="0"/>
    <pivotField numFmtId="2" showAll="0"/>
    <pivotField dataField="1" numFmtId="2" showAll="0"/>
    <pivotField numFmtId="2" showAll="0"/>
  </pivotFields>
  <rowFields count="1">
    <field x="7"/>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5">
    <i>
      <x/>
    </i>
    <i>
      <x v="1"/>
    </i>
    <i>
      <x v="2"/>
    </i>
    <i>
      <x v="3"/>
    </i>
    <i t="grand">
      <x/>
    </i>
  </colItems>
  <pageFields count="1">
    <pageField fld="0" item="3" hier="-1"/>
  </pageFields>
  <dataFields count="1">
    <dataField name="Sum of net_total_mib_delta" fld="10" baseField="0" baseItem="0" numFmtId="2"/>
  </dataFields>
  <chartFormats count="2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2" format="8" series="1">
      <pivotArea type="data" outline="0" fieldPosition="0">
        <references count="2">
          <reference field="4294967294" count="1" selected="0">
            <x v="0"/>
          </reference>
          <reference field="2" count="1" selected="0">
            <x v="0"/>
          </reference>
        </references>
      </pivotArea>
    </chartFormat>
    <chartFormat chart="2" format="9" series="1">
      <pivotArea type="data" outline="0" fieldPosition="0">
        <references count="2">
          <reference field="4294967294" count="1" selected="0">
            <x v="0"/>
          </reference>
          <reference field="2" count="1" selected="0">
            <x v="1"/>
          </reference>
        </references>
      </pivotArea>
    </chartFormat>
    <chartFormat chart="2" format="10" series="1">
      <pivotArea type="data" outline="0" fieldPosition="0">
        <references count="2">
          <reference field="4294967294" count="1" selected="0">
            <x v="0"/>
          </reference>
          <reference field="2" count="1" selected="0">
            <x v="2"/>
          </reference>
        </references>
      </pivotArea>
    </chartFormat>
    <chartFormat chart="2" format="11" series="1">
      <pivotArea type="data" outline="0" fieldPosition="0">
        <references count="2">
          <reference field="4294967294" count="1" selected="0">
            <x v="0"/>
          </reference>
          <reference field="2" count="1" selected="0">
            <x v="3"/>
          </reference>
        </references>
      </pivotArea>
    </chartFormat>
    <chartFormat chart="4" format="16" series="1">
      <pivotArea type="data" outline="0" fieldPosition="0">
        <references count="2">
          <reference field="4294967294" count="1" selected="0">
            <x v="0"/>
          </reference>
          <reference field="2" count="1" selected="0">
            <x v="0"/>
          </reference>
        </references>
      </pivotArea>
    </chartFormat>
    <chartFormat chart="4" format="17" series="1">
      <pivotArea type="data" outline="0" fieldPosition="0">
        <references count="2">
          <reference field="4294967294" count="1" selected="0">
            <x v="0"/>
          </reference>
          <reference field="2" count="1" selected="0">
            <x v="1"/>
          </reference>
        </references>
      </pivotArea>
    </chartFormat>
    <chartFormat chart="4" format="18" series="1">
      <pivotArea type="data" outline="0" fieldPosition="0">
        <references count="2">
          <reference field="4294967294" count="1" selected="0">
            <x v="0"/>
          </reference>
          <reference field="2" count="1" selected="0">
            <x v="2"/>
          </reference>
        </references>
      </pivotArea>
    </chartFormat>
    <chartFormat chart="4" format="19" series="1">
      <pivotArea type="data" outline="0" fieldPosition="0">
        <references count="2">
          <reference field="4294967294" count="1" selected="0">
            <x v="0"/>
          </reference>
          <reference field="2" count="1" selected="0">
            <x v="3"/>
          </reference>
        </references>
      </pivotArea>
    </chartFormat>
    <chartFormat chart="6" format="24" series="1">
      <pivotArea type="data" outline="0" fieldPosition="0">
        <references count="2">
          <reference field="4294967294" count="1" selected="0">
            <x v="0"/>
          </reference>
          <reference field="2" count="1" selected="0">
            <x v="0"/>
          </reference>
        </references>
      </pivotArea>
    </chartFormat>
    <chartFormat chart="6" format="25" series="1">
      <pivotArea type="data" outline="0" fieldPosition="0">
        <references count="2">
          <reference field="4294967294" count="1" selected="0">
            <x v="0"/>
          </reference>
          <reference field="2" count="1" selected="0">
            <x v="1"/>
          </reference>
        </references>
      </pivotArea>
    </chartFormat>
    <chartFormat chart="6" format="26" series="1">
      <pivotArea type="data" outline="0" fieldPosition="0">
        <references count="2">
          <reference field="4294967294" count="1" selected="0">
            <x v="0"/>
          </reference>
          <reference field="2" count="1" selected="0">
            <x v="2"/>
          </reference>
        </references>
      </pivotArea>
    </chartFormat>
    <chartFormat chart="6" format="27" series="1">
      <pivotArea type="data" outline="0" fieldPosition="0">
        <references count="2">
          <reference field="4294967294" count="1" selected="0">
            <x v="0"/>
          </reference>
          <reference field="2" count="1" selected="0">
            <x v="3"/>
          </reference>
        </references>
      </pivotArea>
    </chartFormat>
    <chartFormat chart="8" format="32" series="1">
      <pivotArea type="data" outline="0" fieldPosition="0">
        <references count="2">
          <reference field="4294967294" count="1" selected="0">
            <x v="0"/>
          </reference>
          <reference field="2" count="1" selected="0">
            <x v="0"/>
          </reference>
        </references>
      </pivotArea>
    </chartFormat>
    <chartFormat chart="8" format="33" series="1">
      <pivotArea type="data" outline="0" fieldPosition="0">
        <references count="2">
          <reference field="4294967294" count="1" selected="0">
            <x v="0"/>
          </reference>
          <reference field="2" count="1" selected="0">
            <x v="1"/>
          </reference>
        </references>
      </pivotArea>
    </chartFormat>
    <chartFormat chart="8" format="34" series="1">
      <pivotArea type="data" outline="0" fieldPosition="0">
        <references count="2">
          <reference field="4294967294" count="1" selected="0">
            <x v="0"/>
          </reference>
          <reference field="2" count="1" selected="0">
            <x v="2"/>
          </reference>
        </references>
      </pivotArea>
    </chartFormat>
    <chartFormat chart="8" format="35" series="1">
      <pivotArea type="data" outline="0" fieldPosition="0">
        <references count="2">
          <reference field="4294967294" count="1" selected="0">
            <x v="0"/>
          </reference>
          <reference field="2" count="1" selected="0">
            <x v="3"/>
          </reference>
        </references>
      </pivotArea>
    </chartFormat>
    <chartFormat chart="10" format="32" series="1">
      <pivotArea type="data" outline="0" fieldPosition="0">
        <references count="2">
          <reference field="4294967294" count="1" selected="0">
            <x v="0"/>
          </reference>
          <reference field="2" count="1" selected="0">
            <x v="0"/>
          </reference>
        </references>
      </pivotArea>
    </chartFormat>
    <chartFormat chart="10" format="33" series="1">
      <pivotArea type="data" outline="0" fieldPosition="0">
        <references count="2">
          <reference field="4294967294" count="1" selected="0">
            <x v="0"/>
          </reference>
          <reference field="2" count="1" selected="0">
            <x v="1"/>
          </reference>
        </references>
      </pivotArea>
    </chartFormat>
    <chartFormat chart="10" format="34" series="1">
      <pivotArea type="data" outline="0" fieldPosition="0">
        <references count="2">
          <reference field="4294967294" count="1" selected="0">
            <x v="0"/>
          </reference>
          <reference field="2" count="1" selected="0">
            <x v="2"/>
          </reference>
        </references>
      </pivotArea>
    </chartFormat>
    <chartFormat chart="10" format="35"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5D45E0-2356-D04E-97C7-3E19AD00DF11}" name="PivotTable9"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F46" firstHeaderRow="1" firstDataRow="2" firstDataCol="1" rowPageCount="1" colPageCount="1"/>
  <pivotFields count="12">
    <pivotField axis="axisPage" showAll="0">
      <items count="5">
        <item x="1"/>
        <item x="0"/>
        <item x="2"/>
        <item x="3"/>
        <item t="default"/>
      </items>
    </pivotField>
    <pivotField showAll="0"/>
    <pivotField axis="axisCol" showAll="0">
      <items count="5">
        <item x="1"/>
        <item x="0"/>
        <item x="3"/>
        <item x="2"/>
        <item t="default"/>
      </items>
    </pivotField>
    <pivotField showAll="0"/>
    <pivotField numFmtId="2" showAll="0"/>
    <pivotField numFmtId="2" showAll="0"/>
    <pivotField numFmtId="2" showAll="0"/>
    <pivotField axis="axisRow" numFmtId="1"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umFmtId="2" showAll="0"/>
    <pivotField numFmtId="2" showAll="0"/>
    <pivotField dataField="1" numFmtId="2" showAll="0"/>
    <pivotField numFmtId="2" showAll="0"/>
  </pivotFields>
  <rowFields count="1">
    <field x="7"/>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Fields count="1">
    <field x="2"/>
  </colFields>
  <colItems count="5">
    <i>
      <x/>
    </i>
    <i>
      <x v="1"/>
    </i>
    <i>
      <x v="2"/>
    </i>
    <i>
      <x v="3"/>
    </i>
    <i t="grand">
      <x/>
    </i>
  </colItems>
  <pageFields count="1">
    <pageField fld="0" item="2" hier="-1"/>
  </pageFields>
  <dataFields count="1">
    <dataField name="Sum of net_total_mib_delta" fld="10" baseField="0" baseItem="0" numFmtId="2"/>
  </dataFields>
  <chartFormats count="3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2" format="8" series="1">
      <pivotArea type="data" outline="0" fieldPosition="0">
        <references count="2">
          <reference field="4294967294" count="1" selected="0">
            <x v="0"/>
          </reference>
          <reference field="2" count="1" selected="0">
            <x v="0"/>
          </reference>
        </references>
      </pivotArea>
    </chartFormat>
    <chartFormat chart="2" format="9" series="1">
      <pivotArea type="data" outline="0" fieldPosition="0">
        <references count="2">
          <reference field="4294967294" count="1" selected="0">
            <x v="0"/>
          </reference>
          <reference field="2" count="1" selected="0">
            <x v="1"/>
          </reference>
        </references>
      </pivotArea>
    </chartFormat>
    <chartFormat chart="2" format="10" series="1">
      <pivotArea type="data" outline="0" fieldPosition="0">
        <references count="2">
          <reference field="4294967294" count="1" selected="0">
            <x v="0"/>
          </reference>
          <reference field="2" count="1" selected="0">
            <x v="2"/>
          </reference>
        </references>
      </pivotArea>
    </chartFormat>
    <chartFormat chart="2" format="11" series="1">
      <pivotArea type="data" outline="0" fieldPosition="0">
        <references count="2">
          <reference field="4294967294" count="1" selected="0">
            <x v="0"/>
          </reference>
          <reference field="2" count="1" selected="0">
            <x v="3"/>
          </reference>
        </references>
      </pivotArea>
    </chartFormat>
    <chartFormat chart="4" format="16" series="1">
      <pivotArea type="data" outline="0" fieldPosition="0">
        <references count="2">
          <reference field="4294967294" count="1" selected="0">
            <x v="0"/>
          </reference>
          <reference field="2" count="1" selected="0">
            <x v="0"/>
          </reference>
        </references>
      </pivotArea>
    </chartFormat>
    <chartFormat chart="4" format="17" series="1">
      <pivotArea type="data" outline="0" fieldPosition="0">
        <references count="2">
          <reference field="4294967294" count="1" selected="0">
            <x v="0"/>
          </reference>
          <reference field="2" count="1" selected="0">
            <x v="1"/>
          </reference>
        </references>
      </pivotArea>
    </chartFormat>
    <chartFormat chart="4" format="18" series="1">
      <pivotArea type="data" outline="0" fieldPosition="0">
        <references count="2">
          <reference field="4294967294" count="1" selected="0">
            <x v="0"/>
          </reference>
          <reference field="2" count="1" selected="0">
            <x v="2"/>
          </reference>
        </references>
      </pivotArea>
    </chartFormat>
    <chartFormat chart="4" format="19" series="1">
      <pivotArea type="data" outline="0" fieldPosition="0">
        <references count="2">
          <reference field="4294967294" count="1" selected="0">
            <x v="0"/>
          </reference>
          <reference field="2" count="1" selected="0">
            <x v="3"/>
          </reference>
        </references>
      </pivotArea>
    </chartFormat>
    <chartFormat chart="6" format="24" series="1">
      <pivotArea type="data" outline="0" fieldPosition="0">
        <references count="2">
          <reference field="4294967294" count="1" selected="0">
            <x v="0"/>
          </reference>
          <reference field="2" count="1" selected="0">
            <x v="0"/>
          </reference>
        </references>
      </pivotArea>
    </chartFormat>
    <chartFormat chart="6" format="25" series="1">
      <pivotArea type="data" outline="0" fieldPosition="0">
        <references count="2">
          <reference field="4294967294" count="1" selected="0">
            <x v="0"/>
          </reference>
          <reference field="2" count="1" selected="0">
            <x v="1"/>
          </reference>
        </references>
      </pivotArea>
    </chartFormat>
    <chartFormat chart="6" format="26" series="1">
      <pivotArea type="data" outline="0" fieldPosition="0">
        <references count="2">
          <reference field="4294967294" count="1" selected="0">
            <x v="0"/>
          </reference>
          <reference field="2" count="1" selected="0">
            <x v="2"/>
          </reference>
        </references>
      </pivotArea>
    </chartFormat>
    <chartFormat chart="6" format="27" series="1">
      <pivotArea type="data" outline="0" fieldPosition="0">
        <references count="2">
          <reference field="4294967294" count="1" selected="0">
            <x v="0"/>
          </reference>
          <reference field="2" count="1" selected="0">
            <x v="3"/>
          </reference>
        </references>
      </pivotArea>
    </chartFormat>
    <chartFormat chart="8" format="32" series="1">
      <pivotArea type="data" outline="0" fieldPosition="0">
        <references count="2">
          <reference field="4294967294" count="1" selected="0">
            <x v="0"/>
          </reference>
          <reference field="2" count="1" selected="0">
            <x v="0"/>
          </reference>
        </references>
      </pivotArea>
    </chartFormat>
    <chartFormat chart="8" format="33" series="1">
      <pivotArea type="data" outline="0" fieldPosition="0">
        <references count="2">
          <reference field="4294967294" count="1" selected="0">
            <x v="0"/>
          </reference>
          <reference field="2" count="1" selected="0">
            <x v="1"/>
          </reference>
        </references>
      </pivotArea>
    </chartFormat>
    <chartFormat chart="8" format="34" series="1">
      <pivotArea type="data" outline="0" fieldPosition="0">
        <references count="2">
          <reference field="4294967294" count="1" selected="0">
            <x v="0"/>
          </reference>
          <reference field="2" count="1" selected="0">
            <x v="2"/>
          </reference>
        </references>
      </pivotArea>
    </chartFormat>
    <chartFormat chart="8" format="35" series="1">
      <pivotArea type="data" outline="0" fieldPosition="0">
        <references count="2">
          <reference field="4294967294" count="1" selected="0">
            <x v="0"/>
          </reference>
          <reference field="2" count="1" selected="0">
            <x v="3"/>
          </reference>
        </references>
      </pivotArea>
    </chartFormat>
    <chartFormat chart="10" format="36" series="1">
      <pivotArea type="data" outline="0" fieldPosition="0">
        <references count="2">
          <reference field="4294967294" count="1" selected="0">
            <x v="0"/>
          </reference>
          <reference field="2" count="1" selected="0">
            <x v="0"/>
          </reference>
        </references>
      </pivotArea>
    </chartFormat>
    <chartFormat chart="10" format="37" series="1">
      <pivotArea type="data" outline="0" fieldPosition="0">
        <references count="2">
          <reference field="4294967294" count="1" selected="0">
            <x v="0"/>
          </reference>
          <reference field="2" count="1" selected="0">
            <x v="1"/>
          </reference>
        </references>
      </pivotArea>
    </chartFormat>
    <chartFormat chart="10" format="38" series="1">
      <pivotArea type="data" outline="0" fieldPosition="0">
        <references count="2">
          <reference field="4294967294" count="1" selected="0">
            <x v="0"/>
          </reference>
          <reference field="2" count="1" selected="0">
            <x v="2"/>
          </reference>
        </references>
      </pivotArea>
    </chartFormat>
    <chartFormat chart="10" format="39" series="1">
      <pivotArea type="data" outline="0" fieldPosition="0">
        <references count="2">
          <reference field="4294967294" count="1" selected="0">
            <x v="0"/>
          </reference>
          <reference field="2" count="1" selected="0">
            <x v="3"/>
          </reference>
        </references>
      </pivotArea>
    </chartFormat>
    <chartFormat chart="11" format="40" series="1">
      <pivotArea type="data" outline="0" fieldPosition="0">
        <references count="2">
          <reference field="4294967294" count="1" selected="0">
            <x v="0"/>
          </reference>
          <reference field="2" count="1" selected="0">
            <x v="0"/>
          </reference>
        </references>
      </pivotArea>
    </chartFormat>
    <chartFormat chart="11" format="41" series="1">
      <pivotArea type="data" outline="0" fieldPosition="0">
        <references count="2">
          <reference field="4294967294" count="1" selected="0">
            <x v="0"/>
          </reference>
          <reference field="2" count="1" selected="0">
            <x v="1"/>
          </reference>
        </references>
      </pivotArea>
    </chartFormat>
    <chartFormat chart="11" format="42" series="1">
      <pivotArea type="data" outline="0" fieldPosition="0">
        <references count="2">
          <reference field="4294967294" count="1" selected="0">
            <x v="0"/>
          </reference>
          <reference field="2" count="1" selected="0">
            <x v="2"/>
          </reference>
        </references>
      </pivotArea>
    </chartFormat>
    <chartFormat chart="11" format="43" series="1">
      <pivotArea type="data" outline="0" fieldPosition="0">
        <references count="2">
          <reference field="4294967294" count="1" selected="0">
            <x v="0"/>
          </reference>
          <reference field="2" count="1" selected="0">
            <x v="3"/>
          </reference>
        </references>
      </pivotArea>
    </chartFormat>
    <chartFormat chart="16" format="40" series="1">
      <pivotArea type="data" outline="0" fieldPosition="0">
        <references count="2">
          <reference field="4294967294" count="1" selected="0">
            <x v="0"/>
          </reference>
          <reference field="2" count="1" selected="0">
            <x v="0"/>
          </reference>
        </references>
      </pivotArea>
    </chartFormat>
    <chartFormat chart="16" format="41" series="1">
      <pivotArea type="data" outline="0" fieldPosition="0">
        <references count="2">
          <reference field="4294967294" count="1" selected="0">
            <x v="0"/>
          </reference>
          <reference field="2" count="1" selected="0">
            <x v="1"/>
          </reference>
        </references>
      </pivotArea>
    </chartFormat>
    <chartFormat chart="16" format="42" series="1">
      <pivotArea type="data" outline="0" fieldPosition="0">
        <references count="2">
          <reference field="4294967294" count="1" selected="0">
            <x v="0"/>
          </reference>
          <reference field="2" count="1" selected="0">
            <x v="2"/>
          </reference>
        </references>
      </pivotArea>
    </chartFormat>
    <chartFormat chart="16" format="43"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959830-4903-0A4C-B020-D1A3C0AA023A}" name="PivotTable9"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F46" firstHeaderRow="1" firstDataRow="2" firstDataCol="1"/>
  <pivotFields count="12">
    <pivotField axis="axisCol" showAll="0">
      <items count="5">
        <item x="1"/>
        <item x="0"/>
        <item x="2"/>
        <item x="3"/>
        <item t="default"/>
      </items>
    </pivotField>
    <pivotField showAll="0"/>
    <pivotField showAll="0">
      <items count="5">
        <item x="1"/>
        <item x="0"/>
        <item x="3"/>
        <item x="2"/>
        <item t="default"/>
      </items>
    </pivotField>
    <pivotField showAll="0"/>
    <pivotField numFmtId="2" showAll="0"/>
    <pivotField numFmtId="2" showAll="0"/>
    <pivotField numFmtId="2" showAll="0"/>
    <pivotField axis="axisRow" numFmtId="1"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umFmtId="2" showAll="0"/>
    <pivotField numFmtId="2" showAll="0"/>
    <pivotField numFmtId="2" showAll="0"/>
    <pivotField dataField="1" numFmtId="2" showAll="0"/>
  </pivotFields>
  <rowFields count="1">
    <field x="7"/>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Fields count="1">
    <field x="0"/>
  </colFields>
  <colItems count="5">
    <i>
      <x/>
    </i>
    <i>
      <x v="1"/>
    </i>
    <i>
      <x v="2"/>
    </i>
    <i>
      <x v="3"/>
    </i>
    <i t="grand">
      <x/>
    </i>
  </colItems>
  <dataFields count="1">
    <dataField name="Sum of net_total_mib_job" fld="11" baseField="0" baseItem="0" numFmtId="2"/>
  </dataFields>
  <chartFormats count="8">
    <chartFormat chart="16" format="60" series="1">
      <pivotArea type="data" outline="0" fieldPosition="0">
        <references count="2">
          <reference field="4294967294" count="1" selected="0">
            <x v="0"/>
          </reference>
          <reference field="0" count="1" selected="0">
            <x v="2"/>
          </reference>
        </references>
      </pivotArea>
    </chartFormat>
    <chartFormat chart="16" format="61" series="1">
      <pivotArea type="data" outline="0" fieldPosition="0">
        <references count="2">
          <reference field="4294967294" count="1" selected="0">
            <x v="0"/>
          </reference>
          <reference field="0" count="1" selected="0">
            <x v="3"/>
          </reference>
        </references>
      </pivotArea>
    </chartFormat>
    <chartFormat chart="16" format="62" series="1">
      <pivotArea type="data" outline="0" fieldPosition="0">
        <references count="2">
          <reference field="4294967294" count="1" selected="0">
            <x v="0"/>
          </reference>
          <reference field="0" count="1" selected="0">
            <x v="0"/>
          </reference>
        </references>
      </pivotArea>
    </chartFormat>
    <chartFormat chart="16" format="63" series="1">
      <pivotArea type="data" outline="0" fieldPosition="0">
        <references count="2">
          <reference field="4294967294" count="1" selected="0">
            <x v="0"/>
          </reference>
          <reference field="0" count="1" selected="0">
            <x v="1"/>
          </reference>
        </references>
      </pivotArea>
    </chartFormat>
    <chartFormat chart="28" format="68" series="1">
      <pivotArea type="data" outline="0" fieldPosition="0">
        <references count="2">
          <reference field="4294967294" count="1" selected="0">
            <x v="0"/>
          </reference>
          <reference field="0" count="1" selected="0">
            <x v="0"/>
          </reference>
        </references>
      </pivotArea>
    </chartFormat>
    <chartFormat chart="28" format="69" series="1">
      <pivotArea type="data" outline="0" fieldPosition="0">
        <references count="2">
          <reference field="4294967294" count="1" selected="0">
            <x v="0"/>
          </reference>
          <reference field="0" count="1" selected="0">
            <x v="1"/>
          </reference>
        </references>
      </pivotArea>
    </chartFormat>
    <chartFormat chart="28" format="70" series="1">
      <pivotArea type="data" outline="0" fieldPosition="0">
        <references count="2">
          <reference field="4294967294" count="1" selected="0">
            <x v="0"/>
          </reference>
          <reference field="0" count="1" selected="0">
            <x v="2"/>
          </reference>
        </references>
      </pivotArea>
    </chartFormat>
    <chartFormat chart="28" format="71"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5807E1-8411-CF4F-BD81-8918B2FE3B2A}" name="PivotTable9"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3:F46" firstHeaderRow="1" firstDataRow="2" firstDataCol="1"/>
  <pivotFields count="12">
    <pivotField axis="axisCol" showAll="0">
      <items count="5">
        <item x="1"/>
        <item x="0"/>
        <item x="2"/>
        <item x="3"/>
        <item t="default"/>
      </items>
    </pivotField>
    <pivotField showAll="0"/>
    <pivotField showAll="0">
      <items count="5">
        <item x="1"/>
        <item x="0"/>
        <item x="3"/>
        <item x="2"/>
        <item t="default"/>
      </items>
    </pivotField>
    <pivotField showAll="0"/>
    <pivotField numFmtId="2" showAll="0"/>
    <pivotField numFmtId="2" showAll="0"/>
    <pivotField numFmtId="2" showAll="0"/>
    <pivotField axis="axisRow" numFmtId="1"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umFmtId="2" showAll="0"/>
    <pivotField numFmtId="2" showAll="0"/>
    <pivotField dataField="1" numFmtId="2" showAll="0"/>
    <pivotField numFmtId="2" showAll="0"/>
  </pivotFields>
  <rowFields count="1">
    <field x="7"/>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Fields count="1">
    <field x="0"/>
  </colFields>
  <colItems count="5">
    <i>
      <x/>
    </i>
    <i>
      <x v="1"/>
    </i>
    <i>
      <x v="2"/>
    </i>
    <i>
      <x v="3"/>
    </i>
    <i t="grand">
      <x/>
    </i>
  </colItems>
  <dataFields count="1">
    <dataField name="Sum of net_total_mib_delta" fld="10" baseField="0" baseItem="0" numFmtId="2"/>
  </dataFields>
  <chartFormats count="12">
    <chartFormat chart="28" format="72" series="1">
      <pivotArea type="data" outline="0" fieldPosition="0">
        <references count="2">
          <reference field="4294967294" count="1" selected="0">
            <x v="0"/>
          </reference>
          <reference field="0" count="1" selected="0">
            <x v="2"/>
          </reference>
        </references>
      </pivotArea>
    </chartFormat>
    <chartFormat chart="28" format="73" series="1">
      <pivotArea type="data" outline="0" fieldPosition="0">
        <references count="2">
          <reference field="4294967294" count="1" selected="0">
            <x v="0"/>
          </reference>
          <reference field="0" count="1" selected="0">
            <x v="3"/>
          </reference>
        </references>
      </pivotArea>
    </chartFormat>
    <chartFormat chart="28" format="74" series="1">
      <pivotArea type="data" outline="0" fieldPosition="0">
        <references count="2">
          <reference field="4294967294" count="1" selected="0">
            <x v="0"/>
          </reference>
          <reference field="0" count="1" selected="0">
            <x v="0"/>
          </reference>
        </references>
      </pivotArea>
    </chartFormat>
    <chartFormat chart="28" format="75" series="1">
      <pivotArea type="data" outline="0" fieldPosition="0">
        <references count="2">
          <reference field="4294967294" count="1" selected="0">
            <x v="0"/>
          </reference>
          <reference field="0" count="1" selected="0">
            <x v="1"/>
          </reference>
        </references>
      </pivotArea>
    </chartFormat>
    <chartFormat chart="33" format="76" series="1">
      <pivotArea type="data" outline="0" fieldPosition="0">
        <references count="2">
          <reference field="4294967294" count="1" selected="0">
            <x v="0"/>
          </reference>
          <reference field="0" count="1" selected="0">
            <x v="0"/>
          </reference>
        </references>
      </pivotArea>
    </chartFormat>
    <chartFormat chart="33" format="77" series="1">
      <pivotArea type="data" outline="0" fieldPosition="0">
        <references count="2">
          <reference field="4294967294" count="1" selected="0">
            <x v="0"/>
          </reference>
          <reference field="0" count="1" selected="0">
            <x v="1"/>
          </reference>
        </references>
      </pivotArea>
    </chartFormat>
    <chartFormat chart="33" format="78" series="1">
      <pivotArea type="data" outline="0" fieldPosition="0">
        <references count="2">
          <reference field="4294967294" count="1" selected="0">
            <x v="0"/>
          </reference>
          <reference field="0" count="1" selected="0">
            <x v="2"/>
          </reference>
        </references>
      </pivotArea>
    </chartFormat>
    <chartFormat chart="33" format="79" series="1">
      <pivotArea type="data" outline="0" fieldPosition="0">
        <references count="2">
          <reference field="4294967294" count="1" selected="0">
            <x v="0"/>
          </reference>
          <reference field="0" count="1" selected="0">
            <x v="3"/>
          </reference>
        </references>
      </pivotArea>
    </chartFormat>
    <chartFormat chart="34" format="80" series="1">
      <pivotArea type="data" outline="0" fieldPosition="0">
        <references count="2">
          <reference field="4294967294" count="1" selected="0">
            <x v="0"/>
          </reference>
          <reference field="0" count="1" selected="0">
            <x v="0"/>
          </reference>
        </references>
      </pivotArea>
    </chartFormat>
    <chartFormat chart="34" format="81" series="1">
      <pivotArea type="data" outline="0" fieldPosition="0">
        <references count="2">
          <reference field="4294967294" count="1" selected="0">
            <x v="0"/>
          </reference>
          <reference field="0" count="1" selected="0">
            <x v="1"/>
          </reference>
        </references>
      </pivotArea>
    </chartFormat>
    <chartFormat chart="34" format="82" series="1">
      <pivotArea type="data" outline="0" fieldPosition="0">
        <references count="2">
          <reference field="4294967294" count="1" selected="0">
            <x v="0"/>
          </reference>
          <reference field="0" count="1" selected="0">
            <x v="2"/>
          </reference>
        </references>
      </pivotArea>
    </chartFormat>
    <chartFormat chart="34" format="83"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set" xr10:uid="{ED2DB8A5-FE4C-A14E-A9E2-DDD5FC5CB330}" sourceName="dataset">
  <pivotTables>
    <pivotTable tabId="2" name="PivotTable9"/>
  </pivotTables>
  <data>
    <tabular pivotCacheId="165689865">
      <items count="4">
        <i x="1" s="1"/>
        <i x="0"/>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set1" xr10:uid="{B86F3749-E88A-A74A-961B-4F000C133025}" sourceName="dataset">
  <pivotTables>
    <pivotTable tabId="3" name="PivotTable9"/>
  </pivotTables>
  <data>
    <tabular pivotCacheId="165689865">
      <items count="4">
        <i x="1"/>
        <i x="0" s="1"/>
        <i x="2"/>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set11" xr10:uid="{101693A8-7F03-474B-81F8-5C4AE0B7C4B6}" sourceName="dataset">
  <pivotTables>
    <pivotTable tabId="4" name="PivotTable9"/>
  </pivotTables>
  <data>
    <tabular pivotCacheId="165689865">
      <items count="4">
        <i x="1" s="1"/>
        <i x="0"/>
        <i x="2"/>
        <i x="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set111" xr10:uid="{381493D1-1E2B-4041-AB77-011456490E09}" sourceName="dataset">
  <pivotTables>
    <pivotTable tabId="5" name="PivotTable9"/>
  </pivotTables>
  <data>
    <tabular pivotCacheId="165689865">
      <items count="4">
        <i x="1"/>
        <i x="0"/>
        <i x="2"/>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set1111" xr10:uid="{87D04889-AF4A-6E4A-9866-1DA0A961B0FD}" sourceName="dataset">
  <pivotTables>
    <pivotTable tabId="6" name="PivotTable9"/>
  </pivotTables>
  <data>
    <tabular pivotCacheId="165689865">
      <items count="4">
        <i x="1"/>
        <i x="0"/>
        <i x="2" s="1"/>
        <i x="3"/>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set11111" xr10:uid="{88F4E831-3AAF-8443-BB18-D96047BFF32D}" sourceName="dataset">
  <pivotTables>
    <pivotTable tabId="9" name="PivotTable9"/>
  </pivotTables>
  <data>
    <tabular pivotCacheId="165689865">
      <items count="4">
        <i x="1" s="1"/>
        <i x="0" s="1"/>
        <i x="2"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set111111" xr10:uid="{E7EA9373-9519-0540-B549-F2268CA858F8}" sourceName="dataset">
  <pivotTables>
    <pivotTable tabId="10" name="PivotTable9"/>
  </pivotTables>
  <data>
    <tabular pivotCacheId="165689865">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aset" xr10:uid="{F9AB84AD-3354-444F-9C54-22DE9AD8FD84}" cache="Slicer_dataset" caption="dataset"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aset 1" xr10:uid="{C74EFF80-FE95-0445-AD6C-31879030F5BD}" cache="Slicer_dataset1" caption="dataset"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aset 2" xr10:uid="{61F6CFD4-7313-7047-9D50-155AB397082E}" cache="Slicer_dataset11" caption="dataset"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aset 3" xr10:uid="{2FB362A5-D3EE-1642-AC50-A36E8A9B2B75}" cache="Slicer_dataset111" caption="dataset"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aset 4" xr10:uid="{105ADD6B-6DA0-D846-ADEA-AD62E4097E28}" cache="Slicer_dataset1111" caption="dataset" rowHeight="251883"/>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aset 5" xr10:uid="{4DAA5958-9DD5-A940-B012-26295CE5B71D}" cache="Slicer_dataset11111" caption="dataset" rowHeight="251883"/>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aset 6" xr10:uid="{8FAFCCF0-B93D-784A-BB72-35750EC4F5E8}" cache="Slicer_dataset111111" caption="dataset" rowHeight="251883"/>
</slicer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49"/>
  <sheetViews>
    <sheetView workbookViewId="0">
      <selection activeCell="A259" sqref="A259"/>
    </sheetView>
  </sheetViews>
  <sheetFormatPr baseColWidth="10" defaultColWidth="8.83203125" defaultRowHeight="16" x14ac:dyDescent="0.2"/>
  <cols>
    <col min="2" max="2" width="31.6640625" customWidth="1"/>
    <col min="4" max="4" width="22.83203125" customWidth="1"/>
    <col min="8" max="8" width="18.6640625" customWidth="1"/>
    <col min="9" max="9" width="16.5" customWidth="1"/>
    <col min="10" max="10" width="22" customWidth="1"/>
    <col min="11" max="11" width="20.5" customWidth="1"/>
    <col min="12" max="12" width="33" customWidth="1"/>
  </cols>
  <sheetData>
    <row r="1" spans="1:12" x14ac:dyDescent="0.2">
      <c r="A1" s="1" t="s">
        <v>0</v>
      </c>
      <c r="B1" s="1" t="s">
        <v>1</v>
      </c>
      <c r="C1" s="1" t="s">
        <v>2</v>
      </c>
      <c r="D1" s="1" t="s">
        <v>3</v>
      </c>
      <c r="E1" t="s">
        <v>4</v>
      </c>
      <c r="F1" t="s">
        <v>5</v>
      </c>
      <c r="G1" t="s">
        <v>6</v>
      </c>
      <c r="H1" t="s">
        <v>7</v>
      </c>
      <c r="I1" t="s">
        <v>8</v>
      </c>
      <c r="J1" t="s">
        <v>9</v>
      </c>
      <c r="K1" t="s">
        <v>10</v>
      </c>
      <c r="L1" t="s">
        <v>11</v>
      </c>
    </row>
    <row r="2" spans="1:12" x14ac:dyDescent="0.2">
      <c r="A2" s="2" t="s">
        <v>12</v>
      </c>
      <c r="B2" s="2">
        <v>1767073394</v>
      </c>
      <c r="C2" s="2" t="s">
        <v>13</v>
      </c>
      <c r="D2" s="2" t="s">
        <v>14</v>
      </c>
      <c r="E2" s="3">
        <f t="shared" ref="E2:E65" si="0">IF(RIGHT(TRIM(LEFT($D2,FIND("/",$D2)-1)),2)="kB",VALUE(LEFT(TRIM(LEFT($D2,FIND("/",$D2)-1)),LEN(TRIM(LEFT($D2,FIND("/",$D2)-1)))-2))*1000/1024/1024,IF(RIGHT(TRIM(LEFT($D2,FIND("/",$D2)-1)),2)="MB",VALUE(LEFT(TRIM(LEFT($D2,FIND("/",$D2)-1)),LEN(TRIM(LEFT($D2,FIND("/",$D2)-1)))-2))*1000*1000/1024/1024,IF(RIGHT(TRIM(LEFT($D2,FIND("/",$D2)-1)),2)="GB",VALUE(LEFT(TRIM(LEFT($D2,FIND("/",$D2)-1)),LEN(TRIM(LEFT($D2,FIND("/",$D2)-1)))-2))*1000*1000*1000/1024/1024,0)))</f>
        <v>11.539459228515625</v>
      </c>
      <c r="F2" s="3">
        <f t="shared" ref="F2:F65" si="1">IF(RIGHT(TRIM(MID($D2,FIND("/",$D2)+1,999)),2)="kB",VALUE(LEFT(TRIM(MID($D2,FIND("/",$D2)+1,999)),LEN(TRIM(MID($D2,FIND("/",$D2)+1,999)))-2))*1000/1024/1024,IF(RIGHT(TRIM(MID($D2,FIND("/",$D2)+1,999)),2)="MB",VALUE(LEFT(TRIM(MID($D2,FIND("/",$D2)+1,999)),LEN(TRIM(MID($D2,FIND("/",$D2)+1,999)))-2))*1000*1000/1024/1024,IF(RIGHT(TRIM(MID($D2,FIND("/",$D2)+1,999)),2)="GB",VALUE(LEFT(TRIM(MID($D2,FIND("/",$D2)+1,999)),LEN(TRIM(MID($D2,FIND("/",$D2)+1,999)))-2))*1000*1000*1000/1024/1024,0)))</f>
        <v>3461.8377685546875</v>
      </c>
      <c r="G2" s="3">
        <f t="shared" ref="G2:G65" si="2">$E2+$F2</f>
        <v>3473.3772277832031</v>
      </c>
      <c r="H2" s="4">
        <f>0</f>
        <v>0</v>
      </c>
      <c r="I2" s="3">
        <f t="shared" ref="I2:I65" si="3">IF($H2=0,0,MAX(0,$E2-SUMIFS($E$2:$E$349,$A$2:$A$349,$A2,$C$2:$C$349,$C2,$H$2:$H$349,$H2-5)))</f>
        <v>0</v>
      </c>
      <c r="J2" s="3">
        <f t="shared" ref="J2:J65" si="4">IF($H2=0,0,MAX(0,$F2-SUMIFS($F$2:$F$349,$A$2:$A$349,$A2,$C$2:$C$349,$C2,$H$2:$H$349,$H2-5)))</f>
        <v>0</v>
      </c>
      <c r="K2" s="3">
        <f t="shared" ref="K2:K65" si="5">IF($H2=0,0,MAX(0,$G2-SUMIFS($G$2:$G$349,$A$2:$A$349,$A2,$C$2:$C$349,$C2,$H$2:$H$349,$H2-5)))</f>
        <v>0</v>
      </c>
      <c r="L2" s="3">
        <f t="shared" ref="L2:L65" si="6">MAX(0,$G2-SUMIFS($G$2:$G$349,$A$2:$A$349,$A2,$C$2:$C$349,$C2,$H$2:$H$349,0))</f>
        <v>0</v>
      </c>
    </row>
    <row r="3" spans="1:12" x14ac:dyDescent="0.2">
      <c r="A3" s="2" t="s">
        <v>12</v>
      </c>
      <c r="B3" s="2">
        <v>1767073394</v>
      </c>
      <c r="C3" s="2" t="s">
        <v>15</v>
      </c>
      <c r="D3" s="2" t="s">
        <v>16</v>
      </c>
      <c r="E3" s="3">
        <f t="shared" si="0"/>
        <v>3652.5726318359375</v>
      </c>
      <c r="F3" s="3">
        <f t="shared" si="1"/>
        <v>3671.6461181640625</v>
      </c>
      <c r="G3" s="3">
        <f t="shared" si="2"/>
        <v>7324.21875</v>
      </c>
      <c r="H3" s="4">
        <f t="shared" ref="H3:H66" si="7">IF($A3&lt;&gt;$A2,0,IF($B3=$B2,$H2,$H2+5))</f>
        <v>0</v>
      </c>
      <c r="I3" s="3">
        <f t="shared" si="3"/>
        <v>0</v>
      </c>
      <c r="J3" s="3">
        <f t="shared" si="4"/>
        <v>0</v>
      </c>
      <c r="K3" s="3">
        <f t="shared" si="5"/>
        <v>0</v>
      </c>
      <c r="L3" s="3">
        <f t="shared" si="6"/>
        <v>0</v>
      </c>
    </row>
    <row r="4" spans="1:12" x14ac:dyDescent="0.2">
      <c r="A4" s="2" t="s">
        <v>12</v>
      </c>
      <c r="B4" s="2">
        <v>1767073394</v>
      </c>
      <c r="C4" s="2" t="s">
        <v>17</v>
      </c>
      <c r="D4" s="2" t="s">
        <v>18</v>
      </c>
      <c r="E4" s="3">
        <f t="shared" si="0"/>
        <v>1.2493133544921875</v>
      </c>
      <c r="F4" s="3">
        <f t="shared" si="1"/>
        <v>0.61130523681640625</v>
      </c>
      <c r="G4" s="3">
        <f t="shared" si="2"/>
        <v>1.8606185913085938</v>
      </c>
      <c r="H4" s="4">
        <f t="shared" si="7"/>
        <v>0</v>
      </c>
      <c r="I4" s="3">
        <f t="shared" si="3"/>
        <v>0</v>
      </c>
      <c r="J4" s="3">
        <f t="shared" si="4"/>
        <v>0</v>
      </c>
      <c r="K4" s="3">
        <f t="shared" si="5"/>
        <v>0</v>
      </c>
      <c r="L4" s="3">
        <f t="shared" si="6"/>
        <v>0</v>
      </c>
    </row>
    <row r="5" spans="1:12" x14ac:dyDescent="0.2">
      <c r="A5" s="2" t="s">
        <v>12</v>
      </c>
      <c r="B5" s="2">
        <v>1767073394</v>
      </c>
      <c r="C5" s="2" t="s">
        <v>19</v>
      </c>
      <c r="D5" s="2" t="s">
        <v>20</v>
      </c>
      <c r="E5" s="3">
        <f t="shared" si="0"/>
        <v>3662.109375</v>
      </c>
      <c r="F5" s="3">
        <f t="shared" si="1"/>
        <v>201.22528076171875</v>
      </c>
      <c r="G5" s="3">
        <f t="shared" si="2"/>
        <v>3863.3346557617188</v>
      </c>
      <c r="H5" s="4">
        <f t="shared" si="7"/>
        <v>0</v>
      </c>
      <c r="I5" s="3">
        <f t="shared" si="3"/>
        <v>0</v>
      </c>
      <c r="J5" s="3">
        <f t="shared" si="4"/>
        <v>0</v>
      </c>
      <c r="K5" s="3">
        <f t="shared" si="5"/>
        <v>0</v>
      </c>
      <c r="L5" s="3">
        <f t="shared" si="6"/>
        <v>0</v>
      </c>
    </row>
    <row r="6" spans="1:12" x14ac:dyDescent="0.2">
      <c r="A6" s="2" t="s">
        <v>12</v>
      </c>
      <c r="B6" s="2">
        <v>1767073401</v>
      </c>
      <c r="C6" s="2" t="s">
        <v>13</v>
      </c>
      <c r="D6" s="2" t="s">
        <v>14</v>
      </c>
      <c r="E6" s="3">
        <f t="shared" si="0"/>
        <v>11.539459228515625</v>
      </c>
      <c r="F6" s="3">
        <f t="shared" si="1"/>
        <v>3461.8377685546875</v>
      </c>
      <c r="G6" s="3">
        <f t="shared" si="2"/>
        <v>3473.3772277832031</v>
      </c>
      <c r="H6" s="4">
        <f t="shared" si="7"/>
        <v>5</v>
      </c>
      <c r="I6" s="3">
        <f t="shared" si="3"/>
        <v>0</v>
      </c>
      <c r="J6" s="3">
        <f t="shared" si="4"/>
        <v>0</v>
      </c>
      <c r="K6" s="3">
        <f t="shared" si="5"/>
        <v>0</v>
      </c>
      <c r="L6" s="3">
        <f t="shared" si="6"/>
        <v>0</v>
      </c>
    </row>
    <row r="7" spans="1:12" x14ac:dyDescent="0.2">
      <c r="A7" s="2" t="s">
        <v>12</v>
      </c>
      <c r="B7" s="2">
        <v>1767073401</v>
      </c>
      <c r="C7" s="2" t="s">
        <v>15</v>
      </c>
      <c r="D7" s="2" t="s">
        <v>21</v>
      </c>
      <c r="E7" s="3">
        <f t="shared" si="0"/>
        <v>3662.109375</v>
      </c>
      <c r="F7" s="3">
        <f t="shared" si="1"/>
        <v>3671.6461181640625</v>
      </c>
      <c r="G7" s="3">
        <f t="shared" si="2"/>
        <v>7333.7554931640625</v>
      </c>
      <c r="H7" s="4">
        <f t="shared" si="7"/>
        <v>5</v>
      </c>
      <c r="I7" s="3">
        <f t="shared" si="3"/>
        <v>9.5367431640625</v>
      </c>
      <c r="J7" s="3">
        <f t="shared" si="4"/>
        <v>0</v>
      </c>
      <c r="K7" s="3">
        <f t="shared" si="5"/>
        <v>9.5367431640625</v>
      </c>
      <c r="L7" s="3">
        <f t="shared" si="6"/>
        <v>9.5367431640625</v>
      </c>
    </row>
    <row r="8" spans="1:12" x14ac:dyDescent="0.2">
      <c r="A8" s="2" t="s">
        <v>12</v>
      </c>
      <c r="B8" s="2">
        <v>1767073401</v>
      </c>
      <c r="C8" s="2" t="s">
        <v>17</v>
      </c>
      <c r="D8" s="2" t="s">
        <v>22</v>
      </c>
      <c r="E8" s="3">
        <f t="shared" si="0"/>
        <v>1.25885009765625</v>
      </c>
      <c r="F8" s="3">
        <f t="shared" si="1"/>
        <v>0.62084197998046875</v>
      </c>
      <c r="G8" s="3">
        <f t="shared" si="2"/>
        <v>1.8796920776367188</v>
      </c>
      <c r="H8" s="4">
        <f t="shared" si="7"/>
        <v>5</v>
      </c>
      <c r="I8" s="3">
        <f t="shared" si="3"/>
        <v>9.5367431640625E-3</v>
      </c>
      <c r="J8" s="3">
        <f t="shared" si="4"/>
        <v>9.5367431640625E-3</v>
      </c>
      <c r="K8" s="3">
        <f t="shared" si="5"/>
        <v>1.9073486328125E-2</v>
      </c>
      <c r="L8" s="3">
        <f t="shared" si="6"/>
        <v>1.9073486328125E-2</v>
      </c>
    </row>
    <row r="9" spans="1:12" x14ac:dyDescent="0.2">
      <c r="A9" s="2" t="s">
        <v>12</v>
      </c>
      <c r="B9" s="2">
        <v>1767073401</v>
      </c>
      <c r="C9" s="2" t="s">
        <v>19</v>
      </c>
      <c r="D9" s="2" t="s">
        <v>20</v>
      </c>
      <c r="E9" s="3">
        <f t="shared" si="0"/>
        <v>3662.109375</v>
      </c>
      <c r="F9" s="3">
        <f t="shared" si="1"/>
        <v>201.22528076171875</v>
      </c>
      <c r="G9" s="3">
        <f t="shared" si="2"/>
        <v>3863.3346557617188</v>
      </c>
      <c r="H9" s="4">
        <f t="shared" si="7"/>
        <v>5</v>
      </c>
      <c r="I9" s="3">
        <f t="shared" si="3"/>
        <v>0</v>
      </c>
      <c r="J9" s="3">
        <f t="shared" si="4"/>
        <v>0</v>
      </c>
      <c r="K9" s="3">
        <f t="shared" si="5"/>
        <v>0</v>
      </c>
      <c r="L9" s="3">
        <f t="shared" si="6"/>
        <v>0</v>
      </c>
    </row>
    <row r="10" spans="1:12" x14ac:dyDescent="0.2">
      <c r="A10" s="2" t="s">
        <v>12</v>
      </c>
      <c r="B10" s="2">
        <v>1767073409</v>
      </c>
      <c r="C10" s="2" t="s">
        <v>13</v>
      </c>
      <c r="D10" s="2" t="s">
        <v>14</v>
      </c>
      <c r="E10" s="3">
        <f t="shared" si="0"/>
        <v>11.539459228515625</v>
      </c>
      <c r="F10" s="3">
        <f t="shared" si="1"/>
        <v>3461.8377685546875</v>
      </c>
      <c r="G10" s="3">
        <f t="shared" si="2"/>
        <v>3473.3772277832031</v>
      </c>
      <c r="H10" s="4">
        <f t="shared" si="7"/>
        <v>10</v>
      </c>
      <c r="I10" s="3">
        <f t="shared" si="3"/>
        <v>0</v>
      </c>
      <c r="J10" s="3">
        <f t="shared" si="4"/>
        <v>0</v>
      </c>
      <c r="K10" s="3">
        <f t="shared" si="5"/>
        <v>0</v>
      </c>
      <c r="L10" s="3">
        <f t="shared" si="6"/>
        <v>0</v>
      </c>
    </row>
    <row r="11" spans="1:12" x14ac:dyDescent="0.2">
      <c r="A11" s="2" t="s">
        <v>12</v>
      </c>
      <c r="B11" s="2">
        <v>1767073409</v>
      </c>
      <c r="C11" s="2" t="s">
        <v>15</v>
      </c>
      <c r="D11" s="2" t="s">
        <v>21</v>
      </c>
      <c r="E11" s="3">
        <f t="shared" si="0"/>
        <v>3662.109375</v>
      </c>
      <c r="F11" s="3">
        <f t="shared" si="1"/>
        <v>3671.6461181640625</v>
      </c>
      <c r="G11" s="3">
        <f t="shared" si="2"/>
        <v>7333.7554931640625</v>
      </c>
      <c r="H11" s="4">
        <f t="shared" si="7"/>
        <v>10</v>
      </c>
      <c r="I11" s="3">
        <f t="shared" si="3"/>
        <v>0</v>
      </c>
      <c r="J11" s="3">
        <f t="shared" si="4"/>
        <v>0</v>
      </c>
      <c r="K11" s="3">
        <f t="shared" si="5"/>
        <v>0</v>
      </c>
      <c r="L11" s="3">
        <f t="shared" si="6"/>
        <v>9.5367431640625</v>
      </c>
    </row>
    <row r="12" spans="1:12" x14ac:dyDescent="0.2">
      <c r="A12" s="2" t="s">
        <v>12</v>
      </c>
      <c r="B12" s="2">
        <v>1767073409</v>
      </c>
      <c r="C12" s="2" t="s">
        <v>17</v>
      </c>
      <c r="D12" s="2" t="s">
        <v>23</v>
      </c>
      <c r="E12" s="3">
        <f t="shared" si="0"/>
        <v>1.2683868408203125</v>
      </c>
      <c r="F12" s="3">
        <f t="shared" si="1"/>
        <v>0.629425048828125</v>
      </c>
      <c r="G12" s="3">
        <f t="shared" si="2"/>
        <v>1.8978118896484375</v>
      </c>
      <c r="H12" s="4">
        <f t="shared" si="7"/>
        <v>10</v>
      </c>
      <c r="I12" s="3">
        <f t="shared" si="3"/>
        <v>9.5367431640625E-3</v>
      </c>
      <c r="J12" s="3">
        <f t="shared" si="4"/>
        <v>8.58306884765625E-3</v>
      </c>
      <c r="K12" s="3">
        <f t="shared" si="5"/>
        <v>1.811981201171875E-2</v>
      </c>
      <c r="L12" s="3">
        <f t="shared" si="6"/>
        <v>3.719329833984375E-2</v>
      </c>
    </row>
    <row r="13" spans="1:12" x14ac:dyDescent="0.2">
      <c r="A13" s="2" t="s">
        <v>12</v>
      </c>
      <c r="B13" s="2">
        <v>1767073409</v>
      </c>
      <c r="C13" s="2" t="s">
        <v>19</v>
      </c>
      <c r="D13" s="2" t="s">
        <v>20</v>
      </c>
      <c r="E13" s="3">
        <f t="shared" si="0"/>
        <v>3662.109375</v>
      </c>
      <c r="F13" s="3">
        <f t="shared" si="1"/>
        <v>201.22528076171875</v>
      </c>
      <c r="G13" s="3">
        <f t="shared" si="2"/>
        <v>3863.3346557617188</v>
      </c>
      <c r="H13" s="4">
        <f t="shared" si="7"/>
        <v>10</v>
      </c>
      <c r="I13" s="3">
        <f t="shared" si="3"/>
        <v>0</v>
      </c>
      <c r="J13" s="3">
        <f t="shared" si="4"/>
        <v>0</v>
      </c>
      <c r="K13" s="3">
        <f t="shared" si="5"/>
        <v>0</v>
      </c>
      <c r="L13" s="3">
        <f t="shared" si="6"/>
        <v>0</v>
      </c>
    </row>
    <row r="14" spans="1:12" x14ac:dyDescent="0.2">
      <c r="A14" s="2" t="s">
        <v>12</v>
      </c>
      <c r="B14" s="2">
        <v>1767073416</v>
      </c>
      <c r="C14" s="2" t="s">
        <v>13</v>
      </c>
      <c r="D14" s="2" t="s">
        <v>14</v>
      </c>
      <c r="E14" s="3">
        <f t="shared" si="0"/>
        <v>11.539459228515625</v>
      </c>
      <c r="F14" s="3">
        <f t="shared" si="1"/>
        <v>3461.8377685546875</v>
      </c>
      <c r="G14" s="3">
        <f t="shared" si="2"/>
        <v>3473.3772277832031</v>
      </c>
      <c r="H14" s="4">
        <f t="shared" si="7"/>
        <v>15</v>
      </c>
      <c r="I14" s="3">
        <f t="shared" si="3"/>
        <v>0</v>
      </c>
      <c r="J14" s="3">
        <f t="shared" si="4"/>
        <v>0</v>
      </c>
      <c r="K14" s="3">
        <f t="shared" si="5"/>
        <v>0</v>
      </c>
      <c r="L14" s="3">
        <f t="shared" si="6"/>
        <v>0</v>
      </c>
    </row>
    <row r="15" spans="1:12" x14ac:dyDescent="0.2">
      <c r="A15" s="2" t="s">
        <v>12</v>
      </c>
      <c r="B15" s="2">
        <v>1767073416</v>
      </c>
      <c r="C15" s="2" t="s">
        <v>15</v>
      </c>
      <c r="D15" s="2" t="s">
        <v>24</v>
      </c>
      <c r="E15" s="3">
        <f t="shared" si="0"/>
        <v>3662.109375</v>
      </c>
      <c r="F15" s="3">
        <f t="shared" si="1"/>
        <v>3681.182861328125</v>
      </c>
      <c r="G15" s="3">
        <f t="shared" si="2"/>
        <v>7343.292236328125</v>
      </c>
      <c r="H15" s="4">
        <f t="shared" si="7"/>
        <v>15</v>
      </c>
      <c r="I15" s="3">
        <f t="shared" si="3"/>
        <v>0</v>
      </c>
      <c r="J15" s="3">
        <f t="shared" si="4"/>
        <v>9.5367431640625</v>
      </c>
      <c r="K15" s="3">
        <f t="shared" si="5"/>
        <v>9.5367431640625</v>
      </c>
      <c r="L15" s="3">
        <f t="shared" si="6"/>
        <v>19.073486328125</v>
      </c>
    </row>
    <row r="16" spans="1:12" x14ac:dyDescent="0.2">
      <c r="A16" s="2" t="s">
        <v>12</v>
      </c>
      <c r="B16" s="2">
        <v>1767073416</v>
      </c>
      <c r="C16" s="2" t="s">
        <v>17</v>
      </c>
      <c r="D16" s="2" t="s">
        <v>25</v>
      </c>
      <c r="E16" s="3">
        <f t="shared" si="0"/>
        <v>1.277923583984375</v>
      </c>
      <c r="F16" s="3">
        <f t="shared" si="1"/>
        <v>0.6313323974609375</v>
      </c>
      <c r="G16" s="3">
        <f t="shared" si="2"/>
        <v>1.9092559814453125</v>
      </c>
      <c r="H16" s="4">
        <f t="shared" si="7"/>
        <v>15</v>
      </c>
      <c r="I16" s="3">
        <f t="shared" si="3"/>
        <v>9.5367431640625E-3</v>
      </c>
      <c r="J16" s="3">
        <f t="shared" si="4"/>
        <v>1.9073486328125E-3</v>
      </c>
      <c r="K16" s="3">
        <f t="shared" si="5"/>
        <v>1.1444091796875E-2</v>
      </c>
      <c r="L16" s="3">
        <f t="shared" si="6"/>
        <v>4.863739013671875E-2</v>
      </c>
    </row>
    <row r="17" spans="1:12" x14ac:dyDescent="0.2">
      <c r="A17" s="2" t="s">
        <v>12</v>
      </c>
      <c r="B17" s="2">
        <v>1767073416</v>
      </c>
      <c r="C17" s="2" t="s">
        <v>19</v>
      </c>
      <c r="D17" s="2" t="s">
        <v>26</v>
      </c>
      <c r="E17" s="3">
        <f t="shared" si="0"/>
        <v>3671.6461181640625</v>
      </c>
      <c r="F17" s="3">
        <f t="shared" si="1"/>
        <v>201.22528076171875</v>
      </c>
      <c r="G17" s="3">
        <f t="shared" si="2"/>
        <v>3872.8713989257812</v>
      </c>
      <c r="H17" s="4">
        <f t="shared" si="7"/>
        <v>15</v>
      </c>
      <c r="I17" s="3">
        <f t="shared" si="3"/>
        <v>9.5367431640625</v>
      </c>
      <c r="J17" s="3">
        <f t="shared" si="4"/>
        <v>0</v>
      </c>
      <c r="K17" s="3">
        <f t="shared" si="5"/>
        <v>9.5367431640625</v>
      </c>
      <c r="L17" s="3">
        <f t="shared" si="6"/>
        <v>9.5367431640625</v>
      </c>
    </row>
    <row r="18" spans="1:12" x14ac:dyDescent="0.2">
      <c r="A18" s="2" t="s">
        <v>12</v>
      </c>
      <c r="B18" s="2">
        <v>1767073424</v>
      </c>
      <c r="C18" s="2" t="s">
        <v>13</v>
      </c>
      <c r="D18" s="2" t="s">
        <v>27</v>
      </c>
      <c r="E18" s="3">
        <f t="shared" si="0"/>
        <v>11.63482666015625</v>
      </c>
      <c r="F18" s="3">
        <f t="shared" si="1"/>
        <v>3461.8377685546875</v>
      </c>
      <c r="G18" s="3">
        <f t="shared" si="2"/>
        <v>3473.4725952148438</v>
      </c>
      <c r="H18" s="4">
        <f t="shared" si="7"/>
        <v>20</v>
      </c>
      <c r="I18" s="3">
        <f t="shared" si="3"/>
        <v>9.5367431640625E-2</v>
      </c>
      <c r="J18" s="3">
        <f t="shared" si="4"/>
        <v>0</v>
      </c>
      <c r="K18" s="3">
        <f t="shared" si="5"/>
        <v>9.5367431640625E-2</v>
      </c>
      <c r="L18" s="3">
        <f t="shared" si="6"/>
        <v>9.5367431640625E-2</v>
      </c>
    </row>
    <row r="19" spans="1:12" x14ac:dyDescent="0.2">
      <c r="A19" s="2" t="s">
        <v>12</v>
      </c>
      <c r="B19" s="2">
        <v>1767073424</v>
      </c>
      <c r="C19" s="2" t="s">
        <v>15</v>
      </c>
      <c r="D19" s="2" t="s">
        <v>24</v>
      </c>
      <c r="E19" s="3">
        <f t="shared" si="0"/>
        <v>3662.109375</v>
      </c>
      <c r="F19" s="3">
        <f t="shared" si="1"/>
        <v>3681.182861328125</v>
      </c>
      <c r="G19" s="3">
        <f t="shared" si="2"/>
        <v>7343.292236328125</v>
      </c>
      <c r="H19" s="4">
        <f t="shared" si="7"/>
        <v>20</v>
      </c>
      <c r="I19" s="3">
        <f t="shared" si="3"/>
        <v>0</v>
      </c>
      <c r="J19" s="3">
        <f t="shared" si="4"/>
        <v>0</v>
      </c>
      <c r="K19" s="3">
        <f t="shared" si="5"/>
        <v>0</v>
      </c>
      <c r="L19" s="3">
        <f t="shared" si="6"/>
        <v>19.073486328125</v>
      </c>
    </row>
    <row r="20" spans="1:12" x14ac:dyDescent="0.2">
      <c r="A20" s="2" t="s">
        <v>12</v>
      </c>
      <c r="B20" s="2">
        <v>1767073424</v>
      </c>
      <c r="C20" s="2" t="s">
        <v>17</v>
      </c>
      <c r="D20" s="2" t="s">
        <v>28</v>
      </c>
      <c r="E20" s="3">
        <f t="shared" si="0"/>
        <v>1.2874603271484375</v>
      </c>
      <c r="F20" s="3">
        <f t="shared" si="1"/>
        <v>0.637054443359375</v>
      </c>
      <c r="G20" s="3">
        <f t="shared" si="2"/>
        <v>1.9245147705078125</v>
      </c>
      <c r="H20" s="4">
        <f t="shared" si="7"/>
        <v>20</v>
      </c>
      <c r="I20" s="3">
        <f t="shared" si="3"/>
        <v>9.5367431640625E-3</v>
      </c>
      <c r="J20" s="3">
        <f t="shared" si="4"/>
        <v>5.7220458984375E-3</v>
      </c>
      <c r="K20" s="3">
        <f t="shared" si="5"/>
        <v>1.52587890625E-2</v>
      </c>
      <c r="L20" s="3">
        <f t="shared" si="6"/>
        <v>6.389617919921875E-2</v>
      </c>
    </row>
    <row r="21" spans="1:12" x14ac:dyDescent="0.2">
      <c r="A21" s="2" t="s">
        <v>12</v>
      </c>
      <c r="B21" s="2">
        <v>1767073424</v>
      </c>
      <c r="C21" s="2" t="s">
        <v>19</v>
      </c>
      <c r="D21" s="2" t="s">
        <v>29</v>
      </c>
      <c r="E21" s="3">
        <f t="shared" si="0"/>
        <v>3671.6461181640625</v>
      </c>
      <c r="F21" s="3">
        <f t="shared" si="1"/>
        <v>202.178955078125</v>
      </c>
      <c r="G21" s="3">
        <f t="shared" si="2"/>
        <v>3873.8250732421875</v>
      </c>
      <c r="H21" s="4">
        <f t="shared" si="7"/>
        <v>20</v>
      </c>
      <c r="I21" s="3">
        <f t="shared" si="3"/>
        <v>0</v>
      </c>
      <c r="J21" s="3">
        <f t="shared" si="4"/>
        <v>0.95367431640625</v>
      </c>
      <c r="K21" s="3">
        <f t="shared" si="5"/>
        <v>0.95367431640625</v>
      </c>
      <c r="L21" s="3">
        <f t="shared" si="6"/>
        <v>10.49041748046875</v>
      </c>
    </row>
    <row r="22" spans="1:12" x14ac:dyDescent="0.2">
      <c r="A22" s="2" t="s">
        <v>12</v>
      </c>
      <c r="B22" s="2">
        <v>1767073431</v>
      </c>
      <c r="C22" s="2" t="s">
        <v>13</v>
      </c>
      <c r="D22" s="2" t="s">
        <v>27</v>
      </c>
      <c r="E22" s="3">
        <f t="shared" si="0"/>
        <v>11.63482666015625</v>
      </c>
      <c r="F22" s="3">
        <f t="shared" si="1"/>
        <v>3461.8377685546875</v>
      </c>
      <c r="G22" s="3">
        <f t="shared" si="2"/>
        <v>3473.4725952148438</v>
      </c>
      <c r="H22" s="4">
        <f t="shared" si="7"/>
        <v>25</v>
      </c>
      <c r="I22" s="3">
        <f t="shared" si="3"/>
        <v>0</v>
      </c>
      <c r="J22" s="3">
        <f t="shared" si="4"/>
        <v>0</v>
      </c>
      <c r="K22" s="3">
        <f t="shared" si="5"/>
        <v>0</v>
      </c>
      <c r="L22" s="3">
        <f t="shared" si="6"/>
        <v>9.5367431640625E-2</v>
      </c>
    </row>
    <row r="23" spans="1:12" x14ac:dyDescent="0.2">
      <c r="A23" s="2" t="s">
        <v>12</v>
      </c>
      <c r="B23" s="2">
        <v>1767073431</v>
      </c>
      <c r="C23" s="2" t="s">
        <v>15</v>
      </c>
      <c r="D23" s="2" t="s">
        <v>24</v>
      </c>
      <c r="E23" s="3">
        <f t="shared" si="0"/>
        <v>3662.109375</v>
      </c>
      <c r="F23" s="3">
        <f t="shared" si="1"/>
        <v>3681.182861328125</v>
      </c>
      <c r="G23" s="3">
        <f t="shared" si="2"/>
        <v>7343.292236328125</v>
      </c>
      <c r="H23" s="4">
        <f t="shared" si="7"/>
        <v>25</v>
      </c>
      <c r="I23" s="3">
        <f t="shared" si="3"/>
        <v>0</v>
      </c>
      <c r="J23" s="3">
        <f t="shared" si="4"/>
        <v>0</v>
      </c>
      <c r="K23" s="3">
        <f t="shared" si="5"/>
        <v>0</v>
      </c>
      <c r="L23" s="3">
        <f t="shared" si="6"/>
        <v>19.073486328125</v>
      </c>
    </row>
    <row r="24" spans="1:12" x14ac:dyDescent="0.2">
      <c r="A24" s="2" t="s">
        <v>12</v>
      </c>
      <c r="B24" s="2">
        <v>1767073431</v>
      </c>
      <c r="C24" s="2" t="s">
        <v>17</v>
      </c>
      <c r="D24" s="2" t="s">
        <v>30</v>
      </c>
      <c r="E24" s="3">
        <f t="shared" si="0"/>
        <v>1.2969970703125</v>
      </c>
      <c r="F24" s="3">
        <f t="shared" si="1"/>
        <v>0.64945220947265625</v>
      </c>
      <c r="G24" s="3">
        <f t="shared" si="2"/>
        <v>1.9464492797851562</v>
      </c>
      <c r="H24" s="4">
        <f t="shared" si="7"/>
        <v>25</v>
      </c>
      <c r="I24" s="3">
        <f t="shared" si="3"/>
        <v>9.5367431640625E-3</v>
      </c>
      <c r="J24" s="3">
        <f t="shared" si="4"/>
        <v>1.239776611328125E-2</v>
      </c>
      <c r="K24" s="3">
        <f t="shared" si="5"/>
        <v>2.193450927734375E-2</v>
      </c>
      <c r="L24" s="3">
        <f t="shared" si="6"/>
        <v>8.58306884765625E-2</v>
      </c>
    </row>
    <row r="25" spans="1:12" x14ac:dyDescent="0.2">
      <c r="A25" s="2" t="s">
        <v>12</v>
      </c>
      <c r="B25" s="2">
        <v>1767073431</v>
      </c>
      <c r="C25" s="2" t="s">
        <v>19</v>
      </c>
      <c r="D25" s="2" t="s">
        <v>29</v>
      </c>
      <c r="E25" s="3">
        <f t="shared" si="0"/>
        <v>3671.6461181640625</v>
      </c>
      <c r="F25" s="3">
        <f t="shared" si="1"/>
        <v>202.178955078125</v>
      </c>
      <c r="G25" s="3">
        <f t="shared" si="2"/>
        <v>3873.8250732421875</v>
      </c>
      <c r="H25" s="4">
        <f t="shared" si="7"/>
        <v>25</v>
      </c>
      <c r="I25" s="3">
        <f t="shared" si="3"/>
        <v>0</v>
      </c>
      <c r="J25" s="3">
        <f t="shared" si="4"/>
        <v>0</v>
      </c>
      <c r="K25" s="3">
        <f t="shared" si="5"/>
        <v>0</v>
      </c>
      <c r="L25" s="3">
        <f t="shared" si="6"/>
        <v>10.49041748046875</v>
      </c>
    </row>
    <row r="26" spans="1:12" x14ac:dyDescent="0.2">
      <c r="A26" s="2" t="s">
        <v>12</v>
      </c>
      <c r="B26" s="2">
        <v>1767073439</v>
      </c>
      <c r="C26" s="2" t="s">
        <v>13</v>
      </c>
      <c r="D26" s="2" t="s">
        <v>27</v>
      </c>
      <c r="E26" s="3">
        <f t="shared" si="0"/>
        <v>11.63482666015625</v>
      </c>
      <c r="F26" s="3">
        <f t="shared" si="1"/>
        <v>3461.8377685546875</v>
      </c>
      <c r="G26" s="3">
        <f t="shared" si="2"/>
        <v>3473.4725952148438</v>
      </c>
      <c r="H26" s="4">
        <f t="shared" si="7"/>
        <v>30</v>
      </c>
      <c r="I26" s="3">
        <f t="shared" si="3"/>
        <v>0</v>
      </c>
      <c r="J26" s="3">
        <f t="shared" si="4"/>
        <v>0</v>
      </c>
      <c r="K26" s="3">
        <f t="shared" si="5"/>
        <v>0</v>
      </c>
      <c r="L26" s="3">
        <f t="shared" si="6"/>
        <v>9.5367431640625E-2</v>
      </c>
    </row>
    <row r="27" spans="1:12" x14ac:dyDescent="0.2">
      <c r="A27" s="2" t="s">
        <v>12</v>
      </c>
      <c r="B27" s="2">
        <v>1767073439</v>
      </c>
      <c r="C27" s="2" t="s">
        <v>15</v>
      </c>
      <c r="D27" s="2" t="s">
        <v>24</v>
      </c>
      <c r="E27" s="3">
        <f t="shared" si="0"/>
        <v>3662.109375</v>
      </c>
      <c r="F27" s="3">
        <f t="shared" si="1"/>
        <v>3681.182861328125</v>
      </c>
      <c r="G27" s="3">
        <f t="shared" si="2"/>
        <v>7343.292236328125</v>
      </c>
      <c r="H27" s="4">
        <f t="shared" si="7"/>
        <v>30</v>
      </c>
      <c r="I27" s="3">
        <f t="shared" si="3"/>
        <v>0</v>
      </c>
      <c r="J27" s="3">
        <f t="shared" si="4"/>
        <v>0</v>
      </c>
      <c r="K27" s="3">
        <f t="shared" si="5"/>
        <v>0</v>
      </c>
      <c r="L27" s="3">
        <f t="shared" si="6"/>
        <v>19.073486328125</v>
      </c>
    </row>
    <row r="28" spans="1:12" x14ac:dyDescent="0.2">
      <c r="A28" s="2" t="s">
        <v>12</v>
      </c>
      <c r="B28" s="2">
        <v>1767073439</v>
      </c>
      <c r="C28" s="2" t="s">
        <v>17</v>
      </c>
      <c r="D28" s="2" t="s">
        <v>31</v>
      </c>
      <c r="E28" s="3">
        <f t="shared" si="0"/>
        <v>1.3065338134765625</v>
      </c>
      <c r="F28" s="3">
        <f t="shared" si="1"/>
        <v>0.65517425537109375</v>
      </c>
      <c r="G28" s="3">
        <f t="shared" si="2"/>
        <v>1.9617080688476562</v>
      </c>
      <c r="H28" s="4">
        <f t="shared" si="7"/>
        <v>30</v>
      </c>
      <c r="I28" s="3">
        <f t="shared" si="3"/>
        <v>9.5367431640625E-3</v>
      </c>
      <c r="J28" s="3">
        <f t="shared" si="4"/>
        <v>5.7220458984375E-3</v>
      </c>
      <c r="K28" s="3">
        <f t="shared" si="5"/>
        <v>1.52587890625E-2</v>
      </c>
      <c r="L28" s="3">
        <f t="shared" si="6"/>
        <v>0.1010894775390625</v>
      </c>
    </row>
    <row r="29" spans="1:12" x14ac:dyDescent="0.2">
      <c r="A29" s="2" t="s">
        <v>12</v>
      </c>
      <c r="B29" s="2">
        <v>1767073439</v>
      </c>
      <c r="C29" s="2" t="s">
        <v>19</v>
      </c>
      <c r="D29" s="2" t="s">
        <v>29</v>
      </c>
      <c r="E29" s="3">
        <f t="shared" si="0"/>
        <v>3671.6461181640625</v>
      </c>
      <c r="F29" s="3">
        <f t="shared" si="1"/>
        <v>202.178955078125</v>
      </c>
      <c r="G29" s="3">
        <f t="shared" si="2"/>
        <v>3873.8250732421875</v>
      </c>
      <c r="H29" s="4">
        <f t="shared" si="7"/>
        <v>30</v>
      </c>
      <c r="I29" s="3">
        <f t="shared" si="3"/>
        <v>0</v>
      </c>
      <c r="J29" s="3">
        <f t="shared" si="4"/>
        <v>0</v>
      </c>
      <c r="K29" s="3">
        <f t="shared" si="5"/>
        <v>0</v>
      </c>
      <c r="L29" s="3">
        <f t="shared" si="6"/>
        <v>10.49041748046875</v>
      </c>
    </row>
    <row r="30" spans="1:12" x14ac:dyDescent="0.2">
      <c r="A30" s="2" t="s">
        <v>12</v>
      </c>
      <c r="B30" s="2">
        <v>1767073446</v>
      </c>
      <c r="C30" s="2" t="s">
        <v>13</v>
      </c>
      <c r="D30" s="2" t="s">
        <v>27</v>
      </c>
      <c r="E30" s="3">
        <f t="shared" si="0"/>
        <v>11.63482666015625</v>
      </c>
      <c r="F30" s="3">
        <f t="shared" si="1"/>
        <v>3461.8377685546875</v>
      </c>
      <c r="G30" s="3">
        <f t="shared" si="2"/>
        <v>3473.4725952148438</v>
      </c>
      <c r="H30" s="4">
        <f t="shared" si="7"/>
        <v>35</v>
      </c>
      <c r="I30" s="3">
        <f t="shared" si="3"/>
        <v>0</v>
      </c>
      <c r="J30" s="3">
        <f t="shared" si="4"/>
        <v>0</v>
      </c>
      <c r="K30" s="3">
        <f t="shared" si="5"/>
        <v>0</v>
      </c>
      <c r="L30" s="3">
        <f t="shared" si="6"/>
        <v>9.5367431640625E-2</v>
      </c>
    </row>
    <row r="31" spans="1:12" x14ac:dyDescent="0.2">
      <c r="A31" s="2" t="s">
        <v>12</v>
      </c>
      <c r="B31" s="2">
        <v>1767073446</v>
      </c>
      <c r="C31" s="2" t="s">
        <v>15</v>
      </c>
      <c r="D31" s="2" t="s">
        <v>24</v>
      </c>
      <c r="E31" s="3">
        <f t="shared" si="0"/>
        <v>3662.109375</v>
      </c>
      <c r="F31" s="3">
        <f t="shared" si="1"/>
        <v>3681.182861328125</v>
      </c>
      <c r="G31" s="3">
        <f t="shared" si="2"/>
        <v>7343.292236328125</v>
      </c>
      <c r="H31" s="4">
        <f t="shared" si="7"/>
        <v>35</v>
      </c>
      <c r="I31" s="3">
        <f t="shared" si="3"/>
        <v>0</v>
      </c>
      <c r="J31" s="3">
        <f t="shared" si="4"/>
        <v>0</v>
      </c>
      <c r="K31" s="3">
        <f t="shared" si="5"/>
        <v>0</v>
      </c>
      <c r="L31" s="3">
        <f t="shared" si="6"/>
        <v>19.073486328125</v>
      </c>
    </row>
    <row r="32" spans="1:12" x14ac:dyDescent="0.2">
      <c r="A32" s="2" t="s">
        <v>12</v>
      </c>
      <c r="B32" s="2">
        <v>1767073446</v>
      </c>
      <c r="C32" s="2" t="s">
        <v>17</v>
      </c>
      <c r="D32" s="2" t="s">
        <v>32</v>
      </c>
      <c r="E32" s="3">
        <f t="shared" si="0"/>
        <v>1.3065338134765625</v>
      </c>
      <c r="F32" s="3">
        <f t="shared" si="1"/>
        <v>0.65708160400390625</v>
      </c>
      <c r="G32" s="3">
        <f t="shared" si="2"/>
        <v>1.9636154174804688</v>
      </c>
      <c r="H32" s="4">
        <f t="shared" si="7"/>
        <v>35</v>
      </c>
      <c r="I32" s="3">
        <f t="shared" si="3"/>
        <v>0</v>
      </c>
      <c r="J32" s="3">
        <f t="shared" si="4"/>
        <v>1.9073486328125E-3</v>
      </c>
      <c r="K32" s="3">
        <f t="shared" si="5"/>
        <v>1.9073486328125E-3</v>
      </c>
      <c r="L32" s="3">
        <f t="shared" si="6"/>
        <v>0.102996826171875</v>
      </c>
    </row>
    <row r="33" spans="1:12" x14ac:dyDescent="0.2">
      <c r="A33" s="2" t="s">
        <v>12</v>
      </c>
      <c r="B33" s="2">
        <v>1767073446</v>
      </c>
      <c r="C33" s="2" t="s">
        <v>19</v>
      </c>
      <c r="D33" s="2" t="s">
        <v>33</v>
      </c>
      <c r="E33" s="3">
        <f t="shared" si="0"/>
        <v>3671.6461181640625</v>
      </c>
      <c r="F33" s="3">
        <f t="shared" si="1"/>
        <v>203.13262939453125</v>
      </c>
      <c r="G33" s="3">
        <f t="shared" si="2"/>
        <v>3874.7787475585938</v>
      </c>
      <c r="H33" s="4">
        <f t="shared" si="7"/>
        <v>35</v>
      </c>
      <c r="I33" s="3">
        <f t="shared" si="3"/>
        <v>0</v>
      </c>
      <c r="J33" s="3">
        <f t="shared" si="4"/>
        <v>0.95367431640625</v>
      </c>
      <c r="K33" s="3">
        <f t="shared" si="5"/>
        <v>0.95367431640625</v>
      </c>
      <c r="L33" s="3">
        <f t="shared" si="6"/>
        <v>11.444091796875</v>
      </c>
    </row>
    <row r="34" spans="1:12" x14ac:dyDescent="0.2">
      <c r="A34" t="s">
        <v>34</v>
      </c>
      <c r="B34">
        <v>1767073464</v>
      </c>
      <c r="C34" t="s">
        <v>13</v>
      </c>
      <c r="D34" t="s">
        <v>35</v>
      </c>
      <c r="E34" s="3">
        <f t="shared" si="0"/>
        <v>12.20703125</v>
      </c>
      <c r="F34" s="3">
        <f t="shared" si="1"/>
        <v>3728.8665771484375</v>
      </c>
      <c r="G34" s="3">
        <f t="shared" si="2"/>
        <v>3741.0736083984375</v>
      </c>
      <c r="H34" s="4">
        <f t="shared" si="7"/>
        <v>0</v>
      </c>
      <c r="I34" s="3">
        <f t="shared" si="3"/>
        <v>0</v>
      </c>
      <c r="J34" s="3">
        <f t="shared" si="4"/>
        <v>0</v>
      </c>
      <c r="K34" s="3">
        <f t="shared" si="5"/>
        <v>0</v>
      </c>
      <c r="L34" s="3">
        <f t="shared" si="6"/>
        <v>0</v>
      </c>
    </row>
    <row r="35" spans="1:12" x14ac:dyDescent="0.2">
      <c r="A35" t="s">
        <v>34</v>
      </c>
      <c r="B35">
        <v>1767073464</v>
      </c>
      <c r="C35" t="s">
        <v>15</v>
      </c>
      <c r="D35" t="s">
        <v>36</v>
      </c>
      <c r="E35" s="3">
        <f t="shared" si="0"/>
        <v>3929.13818359375</v>
      </c>
      <c r="F35" s="3">
        <f t="shared" si="1"/>
        <v>3681.182861328125</v>
      </c>
      <c r="G35" s="3">
        <f t="shared" si="2"/>
        <v>7610.321044921875</v>
      </c>
      <c r="H35" s="4">
        <f t="shared" si="7"/>
        <v>0</v>
      </c>
      <c r="I35" s="3">
        <f t="shared" si="3"/>
        <v>0</v>
      </c>
      <c r="J35" s="3">
        <f t="shared" si="4"/>
        <v>0</v>
      </c>
      <c r="K35" s="3">
        <f t="shared" si="5"/>
        <v>0</v>
      </c>
      <c r="L35" s="3">
        <f t="shared" si="6"/>
        <v>0</v>
      </c>
    </row>
    <row r="36" spans="1:12" x14ac:dyDescent="0.2">
      <c r="A36" t="s">
        <v>34</v>
      </c>
      <c r="B36">
        <v>1767073464</v>
      </c>
      <c r="C36" t="s">
        <v>17</v>
      </c>
      <c r="D36" t="s">
        <v>37</v>
      </c>
      <c r="E36" s="3">
        <f t="shared" si="0"/>
        <v>1.316070556640625</v>
      </c>
      <c r="F36" s="3">
        <f t="shared" si="1"/>
        <v>0.66089630126953125</v>
      </c>
      <c r="G36" s="3">
        <f t="shared" si="2"/>
        <v>1.9769668579101562</v>
      </c>
      <c r="H36" s="4">
        <f t="shared" si="7"/>
        <v>0</v>
      </c>
      <c r="I36" s="3">
        <f t="shared" si="3"/>
        <v>0</v>
      </c>
      <c r="J36" s="3">
        <f t="shared" si="4"/>
        <v>0</v>
      </c>
      <c r="K36" s="3">
        <f t="shared" si="5"/>
        <v>0</v>
      </c>
      <c r="L36" s="3">
        <f t="shared" si="6"/>
        <v>0</v>
      </c>
    </row>
    <row r="37" spans="1:12" x14ac:dyDescent="0.2">
      <c r="A37" t="s">
        <v>34</v>
      </c>
      <c r="B37">
        <v>1767073464</v>
      </c>
      <c r="C37" t="s">
        <v>19</v>
      </c>
      <c r="D37" t="s">
        <v>33</v>
      </c>
      <c r="E37" s="3">
        <f t="shared" si="0"/>
        <v>3671.6461181640625</v>
      </c>
      <c r="F37" s="3">
        <f t="shared" si="1"/>
        <v>203.13262939453125</v>
      </c>
      <c r="G37" s="3">
        <f t="shared" si="2"/>
        <v>3874.7787475585938</v>
      </c>
      <c r="H37" s="4">
        <f t="shared" si="7"/>
        <v>0</v>
      </c>
      <c r="I37" s="3">
        <f t="shared" si="3"/>
        <v>0</v>
      </c>
      <c r="J37" s="3">
        <f t="shared" si="4"/>
        <v>0</v>
      </c>
      <c r="K37" s="3">
        <f t="shared" si="5"/>
        <v>0</v>
      </c>
      <c r="L37" s="3">
        <f t="shared" si="6"/>
        <v>0</v>
      </c>
    </row>
    <row r="38" spans="1:12" x14ac:dyDescent="0.2">
      <c r="A38" t="s">
        <v>34</v>
      </c>
      <c r="B38">
        <v>1767073471</v>
      </c>
      <c r="C38" t="s">
        <v>13</v>
      </c>
      <c r="D38" t="s">
        <v>35</v>
      </c>
      <c r="E38" s="3">
        <f t="shared" si="0"/>
        <v>12.20703125</v>
      </c>
      <c r="F38" s="3">
        <f t="shared" si="1"/>
        <v>3728.8665771484375</v>
      </c>
      <c r="G38" s="3">
        <f t="shared" si="2"/>
        <v>3741.0736083984375</v>
      </c>
      <c r="H38" s="4">
        <f t="shared" si="7"/>
        <v>5</v>
      </c>
      <c r="I38" s="3">
        <f t="shared" si="3"/>
        <v>0</v>
      </c>
      <c r="J38" s="3">
        <f t="shared" si="4"/>
        <v>0</v>
      </c>
      <c r="K38" s="3">
        <f t="shared" si="5"/>
        <v>0</v>
      </c>
      <c r="L38" s="3">
        <f t="shared" si="6"/>
        <v>0</v>
      </c>
    </row>
    <row r="39" spans="1:12" x14ac:dyDescent="0.2">
      <c r="A39" t="s">
        <v>34</v>
      </c>
      <c r="B39">
        <v>1767073471</v>
      </c>
      <c r="C39" t="s">
        <v>15</v>
      </c>
      <c r="D39" t="s">
        <v>36</v>
      </c>
      <c r="E39" s="3">
        <f t="shared" si="0"/>
        <v>3929.13818359375</v>
      </c>
      <c r="F39" s="3">
        <f t="shared" si="1"/>
        <v>3681.182861328125</v>
      </c>
      <c r="G39" s="3">
        <f t="shared" si="2"/>
        <v>7610.321044921875</v>
      </c>
      <c r="H39" s="4">
        <f t="shared" si="7"/>
        <v>5</v>
      </c>
      <c r="I39" s="3">
        <f t="shared" si="3"/>
        <v>0</v>
      </c>
      <c r="J39" s="3">
        <f t="shared" si="4"/>
        <v>0</v>
      </c>
      <c r="K39" s="3">
        <f t="shared" si="5"/>
        <v>0</v>
      </c>
      <c r="L39" s="3">
        <f t="shared" si="6"/>
        <v>0</v>
      </c>
    </row>
    <row r="40" spans="1:12" x14ac:dyDescent="0.2">
      <c r="A40" t="s">
        <v>34</v>
      </c>
      <c r="B40">
        <v>1767073471</v>
      </c>
      <c r="C40" t="s">
        <v>17</v>
      </c>
      <c r="D40" t="s">
        <v>38</v>
      </c>
      <c r="E40" s="3">
        <f t="shared" si="0"/>
        <v>1.3256072998046875</v>
      </c>
      <c r="F40" s="3">
        <f t="shared" si="1"/>
        <v>0.67043304443359375</v>
      </c>
      <c r="G40" s="3">
        <f t="shared" si="2"/>
        <v>1.9960403442382812</v>
      </c>
      <c r="H40" s="4">
        <f t="shared" si="7"/>
        <v>5</v>
      </c>
      <c r="I40" s="3">
        <f t="shared" si="3"/>
        <v>9.5367431640625E-3</v>
      </c>
      <c r="J40" s="3">
        <f t="shared" si="4"/>
        <v>9.5367431640625E-3</v>
      </c>
      <c r="K40" s="3">
        <f t="shared" si="5"/>
        <v>1.9073486328125E-2</v>
      </c>
      <c r="L40" s="3">
        <f t="shared" si="6"/>
        <v>1.9073486328125E-2</v>
      </c>
    </row>
    <row r="41" spans="1:12" x14ac:dyDescent="0.2">
      <c r="A41" t="s">
        <v>34</v>
      </c>
      <c r="B41">
        <v>1767073471</v>
      </c>
      <c r="C41" t="s">
        <v>19</v>
      </c>
      <c r="D41" t="s">
        <v>33</v>
      </c>
      <c r="E41" s="3">
        <f t="shared" si="0"/>
        <v>3671.6461181640625</v>
      </c>
      <c r="F41" s="3">
        <f t="shared" si="1"/>
        <v>203.13262939453125</v>
      </c>
      <c r="G41" s="3">
        <f t="shared" si="2"/>
        <v>3874.7787475585938</v>
      </c>
      <c r="H41" s="4">
        <f t="shared" si="7"/>
        <v>5</v>
      </c>
      <c r="I41" s="3">
        <f t="shared" si="3"/>
        <v>0</v>
      </c>
      <c r="J41" s="3">
        <f t="shared" si="4"/>
        <v>0</v>
      </c>
      <c r="K41" s="3">
        <f t="shared" si="5"/>
        <v>0</v>
      </c>
      <c r="L41" s="3">
        <f t="shared" si="6"/>
        <v>0</v>
      </c>
    </row>
    <row r="42" spans="1:12" x14ac:dyDescent="0.2">
      <c r="A42" t="s">
        <v>34</v>
      </c>
      <c r="B42">
        <v>1767073479</v>
      </c>
      <c r="C42" t="s">
        <v>13</v>
      </c>
      <c r="D42" t="s">
        <v>35</v>
      </c>
      <c r="E42" s="3">
        <f t="shared" si="0"/>
        <v>12.20703125</v>
      </c>
      <c r="F42" s="3">
        <f t="shared" si="1"/>
        <v>3728.8665771484375</v>
      </c>
      <c r="G42" s="3">
        <f t="shared" si="2"/>
        <v>3741.0736083984375</v>
      </c>
      <c r="H42" s="4">
        <f t="shared" si="7"/>
        <v>10</v>
      </c>
      <c r="I42" s="3">
        <f t="shared" si="3"/>
        <v>0</v>
      </c>
      <c r="J42" s="3">
        <f t="shared" si="4"/>
        <v>0</v>
      </c>
      <c r="K42" s="3">
        <f t="shared" si="5"/>
        <v>0</v>
      </c>
      <c r="L42" s="3">
        <f t="shared" si="6"/>
        <v>0</v>
      </c>
    </row>
    <row r="43" spans="1:12" x14ac:dyDescent="0.2">
      <c r="A43" t="s">
        <v>34</v>
      </c>
      <c r="B43">
        <v>1767073479</v>
      </c>
      <c r="C43" t="s">
        <v>15</v>
      </c>
      <c r="D43" t="s">
        <v>36</v>
      </c>
      <c r="E43" s="3">
        <f t="shared" si="0"/>
        <v>3929.13818359375</v>
      </c>
      <c r="F43" s="3">
        <f t="shared" si="1"/>
        <v>3681.182861328125</v>
      </c>
      <c r="G43" s="3">
        <f t="shared" si="2"/>
        <v>7610.321044921875</v>
      </c>
      <c r="H43" s="4">
        <f t="shared" si="7"/>
        <v>10</v>
      </c>
      <c r="I43" s="3">
        <f t="shared" si="3"/>
        <v>0</v>
      </c>
      <c r="J43" s="3">
        <f t="shared" si="4"/>
        <v>0</v>
      </c>
      <c r="K43" s="3">
        <f t="shared" si="5"/>
        <v>0</v>
      </c>
      <c r="L43" s="3">
        <f t="shared" si="6"/>
        <v>0</v>
      </c>
    </row>
    <row r="44" spans="1:12" x14ac:dyDescent="0.2">
      <c r="A44" t="s">
        <v>34</v>
      </c>
      <c r="B44">
        <v>1767073479</v>
      </c>
      <c r="C44" t="s">
        <v>17</v>
      </c>
      <c r="D44" t="s">
        <v>39</v>
      </c>
      <c r="E44" s="3">
        <f t="shared" si="0"/>
        <v>1.33514404296875</v>
      </c>
      <c r="F44" s="3">
        <f t="shared" si="1"/>
        <v>0.67996978759765625</v>
      </c>
      <c r="G44" s="3">
        <f t="shared" si="2"/>
        <v>2.0151138305664062</v>
      </c>
      <c r="H44" s="4">
        <f t="shared" si="7"/>
        <v>10</v>
      </c>
      <c r="I44" s="3">
        <f t="shared" si="3"/>
        <v>9.5367431640625E-3</v>
      </c>
      <c r="J44" s="3">
        <f t="shared" si="4"/>
        <v>9.5367431640625E-3</v>
      </c>
      <c r="K44" s="3">
        <f t="shared" si="5"/>
        <v>1.9073486328125E-2</v>
      </c>
      <c r="L44" s="3">
        <f t="shared" si="6"/>
        <v>3.814697265625E-2</v>
      </c>
    </row>
    <row r="45" spans="1:12" x14ac:dyDescent="0.2">
      <c r="A45" t="s">
        <v>34</v>
      </c>
      <c r="B45">
        <v>1767073479</v>
      </c>
      <c r="C45" t="s">
        <v>19</v>
      </c>
      <c r="D45" t="s">
        <v>33</v>
      </c>
      <c r="E45" s="3">
        <f t="shared" si="0"/>
        <v>3671.6461181640625</v>
      </c>
      <c r="F45" s="3">
        <f t="shared" si="1"/>
        <v>203.13262939453125</v>
      </c>
      <c r="G45" s="3">
        <f t="shared" si="2"/>
        <v>3874.7787475585938</v>
      </c>
      <c r="H45" s="4">
        <f t="shared" si="7"/>
        <v>10</v>
      </c>
      <c r="I45" s="3">
        <f t="shared" si="3"/>
        <v>0</v>
      </c>
      <c r="J45" s="3">
        <f t="shared" si="4"/>
        <v>0</v>
      </c>
      <c r="K45" s="3">
        <f t="shared" si="5"/>
        <v>0</v>
      </c>
      <c r="L45" s="3">
        <f t="shared" si="6"/>
        <v>0</v>
      </c>
    </row>
    <row r="46" spans="1:12" x14ac:dyDescent="0.2">
      <c r="A46" t="s">
        <v>34</v>
      </c>
      <c r="B46">
        <v>1767073486</v>
      </c>
      <c r="C46" t="s">
        <v>13</v>
      </c>
      <c r="D46" t="s">
        <v>35</v>
      </c>
      <c r="E46" s="3">
        <f t="shared" si="0"/>
        <v>12.20703125</v>
      </c>
      <c r="F46" s="3">
        <f t="shared" si="1"/>
        <v>3728.8665771484375</v>
      </c>
      <c r="G46" s="3">
        <f t="shared" si="2"/>
        <v>3741.0736083984375</v>
      </c>
      <c r="H46" s="4">
        <f t="shared" si="7"/>
        <v>15</v>
      </c>
      <c r="I46" s="3">
        <f t="shared" si="3"/>
        <v>0</v>
      </c>
      <c r="J46" s="3">
        <f t="shared" si="4"/>
        <v>0</v>
      </c>
      <c r="K46" s="3">
        <f t="shared" si="5"/>
        <v>0</v>
      </c>
      <c r="L46" s="3">
        <f t="shared" si="6"/>
        <v>0</v>
      </c>
    </row>
    <row r="47" spans="1:12" x14ac:dyDescent="0.2">
      <c r="A47" t="s">
        <v>34</v>
      </c>
      <c r="B47">
        <v>1767073486</v>
      </c>
      <c r="C47" t="s">
        <v>15</v>
      </c>
      <c r="D47" t="s">
        <v>40</v>
      </c>
      <c r="E47" s="3">
        <f t="shared" si="0"/>
        <v>3929.13818359375</v>
      </c>
      <c r="F47" s="3">
        <f t="shared" si="1"/>
        <v>3747.9400634765625</v>
      </c>
      <c r="G47" s="3">
        <f t="shared" si="2"/>
        <v>7677.0782470703125</v>
      </c>
      <c r="H47" s="4">
        <f t="shared" si="7"/>
        <v>15</v>
      </c>
      <c r="I47" s="3">
        <f t="shared" si="3"/>
        <v>0</v>
      </c>
      <c r="J47" s="3">
        <f t="shared" si="4"/>
        <v>66.7572021484375</v>
      </c>
      <c r="K47" s="3">
        <f t="shared" si="5"/>
        <v>66.7572021484375</v>
      </c>
      <c r="L47" s="3">
        <f t="shared" si="6"/>
        <v>66.7572021484375</v>
      </c>
    </row>
    <row r="48" spans="1:12" x14ac:dyDescent="0.2">
      <c r="A48" t="s">
        <v>34</v>
      </c>
      <c r="B48">
        <v>1767073486</v>
      </c>
      <c r="C48" t="s">
        <v>17</v>
      </c>
      <c r="D48" t="s">
        <v>41</v>
      </c>
      <c r="E48" s="3">
        <f t="shared" si="0"/>
        <v>1.3446807861328125</v>
      </c>
      <c r="F48" s="3">
        <f t="shared" si="1"/>
        <v>0.68187713623046875</v>
      </c>
      <c r="G48" s="3">
        <f t="shared" si="2"/>
        <v>2.0265579223632812</v>
      </c>
      <c r="H48" s="4">
        <f t="shared" si="7"/>
        <v>15</v>
      </c>
      <c r="I48" s="3">
        <f t="shared" si="3"/>
        <v>9.5367431640625E-3</v>
      </c>
      <c r="J48" s="3">
        <f t="shared" si="4"/>
        <v>1.9073486328125E-3</v>
      </c>
      <c r="K48" s="3">
        <f t="shared" si="5"/>
        <v>1.1444091796875E-2</v>
      </c>
      <c r="L48" s="3">
        <f t="shared" si="6"/>
        <v>4.9591064453125E-2</v>
      </c>
    </row>
    <row r="49" spans="1:12" x14ac:dyDescent="0.2">
      <c r="A49" t="s">
        <v>34</v>
      </c>
      <c r="B49">
        <v>1767073486</v>
      </c>
      <c r="C49" t="s">
        <v>19</v>
      </c>
      <c r="D49" t="s">
        <v>42</v>
      </c>
      <c r="E49" s="3">
        <f t="shared" si="0"/>
        <v>3738.4033203125</v>
      </c>
      <c r="F49" s="3">
        <f t="shared" si="1"/>
        <v>203.13262939453125</v>
      </c>
      <c r="G49" s="3">
        <f t="shared" si="2"/>
        <v>3941.5359497070312</v>
      </c>
      <c r="H49" s="4">
        <f t="shared" si="7"/>
        <v>15</v>
      </c>
      <c r="I49" s="3">
        <f t="shared" si="3"/>
        <v>66.7572021484375</v>
      </c>
      <c r="J49" s="3">
        <f t="shared" si="4"/>
        <v>0</v>
      </c>
      <c r="K49" s="3">
        <f t="shared" si="5"/>
        <v>66.7572021484375</v>
      </c>
      <c r="L49" s="3">
        <f t="shared" si="6"/>
        <v>66.7572021484375</v>
      </c>
    </row>
    <row r="50" spans="1:12" x14ac:dyDescent="0.2">
      <c r="A50" t="s">
        <v>34</v>
      </c>
      <c r="B50">
        <v>1767073494</v>
      </c>
      <c r="C50" t="s">
        <v>13</v>
      </c>
      <c r="D50" t="s">
        <v>35</v>
      </c>
      <c r="E50" s="3">
        <f t="shared" si="0"/>
        <v>12.20703125</v>
      </c>
      <c r="F50" s="3">
        <f t="shared" si="1"/>
        <v>3728.8665771484375</v>
      </c>
      <c r="G50" s="3">
        <f t="shared" si="2"/>
        <v>3741.0736083984375</v>
      </c>
      <c r="H50" s="4">
        <f t="shared" si="7"/>
        <v>20</v>
      </c>
      <c r="I50" s="3">
        <f t="shared" si="3"/>
        <v>0</v>
      </c>
      <c r="J50" s="3">
        <f t="shared" si="4"/>
        <v>0</v>
      </c>
      <c r="K50" s="3">
        <f t="shared" si="5"/>
        <v>0</v>
      </c>
      <c r="L50" s="3">
        <f t="shared" si="6"/>
        <v>0</v>
      </c>
    </row>
    <row r="51" spans="1:12" x14ac:dyDescent="0.2">
      <c r="A51" t="s">
        <v>34</v>
      </c>
      <c r="B51">
        <v>1767073494</v>
      </c>
      <c r="C51" t="s">
        <v>15</v>
      </c>
      <c r="D51" t="s">
        <v>43</v>
      </c>
      <c r="E51" s="3">
        <f t="shared" si="0"/>
        <v>3929.13818359375</v>
      </c>
      <c r="F51" s="3">
        <f t="shared" si="1"/>
        <v>3795.623779296875</v>
      </c>
      <c r="G51" s="3">
        <f t="shared" si="2"/>
        <v>7724.761962890625</v>
      </c>
      <c r="H51" s="4">
        <f t="shared" si="7"/>
        <v>20</v>
      </c>
      <c r="I51" s="3">
        <f t="shared" si="3"/>
        <v>0</v>
      </c>
      <c r="J51" s="3">
        <f t="shared" si="4"/>
        <v>47.6837158203125</v>
      </c>
      <c r="K51" s="3">
        <f t="shared" si="5"/>
        <v>47.6837158203125</v>
      </c>
      <c r="L51" s="3">
        <f t="shared" si="6"/>
        <v>114.44091796875</v>
      </c>
    </row>
    <row r="52" spans="1:12" x14ac:dyDescent="0.2">
      <c r="A52" t="s">
        <v>34</v>
      </c>
      <c r="B52">
        <v>1767073494</v>
      </c>
      <c r="C52" t="s">
        <v>17</v>
      </c>
      <c r="D52" t="s">
        <v>44</v>
      </c>
      <c r="E52" s="3">
        <f t="shared" si="0"/>
        <v>1.3446807861328125</v>
      </c>
      <c r="F52" s="3">
        <f t="shared" si="1"/>
        <v>0.68378448486328125</v>
      </c>
      <c r="G52" s="3">
        <f t="shared" si="2"/>
        <v>2.0284652709960938</v>
      </c>
      <c r="H52" s="4">
        <f t="shared" si="7"/>
        <v>20</v>
      </c>
      <c r="I52" s="3">
        <f t="shared" si="3"/>
        <v>0</v>
      </c>
      <c r="J52" s="3">
        <f t="shared" si="4"/>
        <v>1.9073486328125E-3</v>
      </c>
      <c r="K52" s="3">
        <f t="shared" si="5"/>
        <v>1.9073486328125E-3</v>
      </c>
      <c r="L52" s="3">
        <f t="shared" si="6"/>
        <v>5.14984130859375E-2</v>
      </c>
    </row>
    <row r="53" spans="1:12" x14ac:dyDescent="0.2">
      <c r="A53" t="s">
        <v>34</v>
      </c>
      <c r="B53">
        <v>1767073494</v>
      </c>
      <c r="C53" t="s">
        <v>19</v>
      </c>
      <c r="D53" t="s">
        <v>45</v>
      </c>
      <c r="E53" s="3">
        <f t="shared" si="0"/>
        <v>3786.0870361328125</v>
      </c>
      <c r="F53" s="3">
        <f t="shared" si="1"/>
        <v>204.0863037109375</v>
      </c>
      <c r="G53" s="3">
        <f t="shared" si="2"/>
        <v>3990.17333984375</v>
      </c>
      <c r="H53" s="4">
        <f t="shared" si="7"/>
        <v>20</v>
      </c>
      <c r="I53" s="3">
        <f t="shared" si="3"/>
        <v>47.6837158203125</v>
      </c>
      <c r="J53" s="3">
        <f t="shared" si="4"/>
        <v>0.95367431640625</v>
      </c>
      <c r="K53" s="3">
        <f t="shared" si="5"/>
        <v>48.63739013671875</v>
      </c>
      <c r="L53" s="3">
        <f t="shared" si="6"/>
        <v>115.39459228515625</v>
      </c>
    </row>
    <row r="54" spans="1:12" x14ac:dyDescent="0.2">
      <c r="A54" t="s">
        <v>34</v>
      </c>
      <c r="B54">
        <v>1767073501</v>
      </c>
      <c r="C54" t="s">
        <v>13</v>
      </c>
      <c r="D54" t="s">
        <v>35</v>
      </c>
      <c r="E54" s="3">
        <f t="shared" si="0"/>
        <v>12.20703125</v>
      </c>
      <c r="F54" s="3">
        <f t="shared" si="1"/>
        <v>3728.8665771484375</v>
      </c>
      <c r="G54" s="3">
        <f t="shared" si="2"/>
        <v>3741.0736083984375</v>
      </c>
      <c r="H54" s="4">
        <f t="shared" si="7"/>
        <v>25</v>
      </c>
      <c r="I54" s="3">
        <f t="shared" si="3"/>
        <v>0</v>
      </c>
      <c r="J54" s="3">
        <f t="shared" si="4"/>
        <v>0</v>
      </c>
      <c r="K54" s="3">
        <f t="shared" si="5"/>
        <v>0</v>
      </c>
      <c r="L54" s="3">
        <f t="shared" si="6"/>
        <v>0</v>
      </c>
    </row>
    <row r="55" spans="1:12" x14ac:dyDescent="0.2">
      <c r="A55" t="s">
        <v>34</v>
      </c>
      <c r="B55">
        <v>1767073501</v>
      </c>
      <c r="C55" t="s">
        <v>15</v>
      </c>
      <c r="D55" t="s">
        <v>46</v>
      </c>
      <c r="E55" s="3">
        <f t="shared" si="0"/>
        <v>3929.13818359375</v>
      </c>
      <c r="F55" s="3">
        <f t="shared" si="1"/>
        <v>3824.2340087890625</v>
      </c>
      <c r="G55" s="3">
        <f t="shared" si="2"/>
        <v>7753.3721923828125</v>
      </c>
      <c r="H55" s="4">
        <f t="shared" si="7"/>
        <v>25</v>
      </c>
      <c r="I55" s="3">
        <f t="shared" si="3"/>
        <v>0</v>
      </c>
      <c r="J55" s="3">
        <f t="shared" si="4"/>
        <v>28.6102294921875</v>
      </c>
      <c r="K55" s="3">
        <f t="shared" si="5"/>
        <v>28.6102294921875</v>
      </c>
      <c r="L55" s="3">
        <f t="shared" si="6"/>
        <v>143.0511474609375</v>
      </c>
    </row>
    <row r="56" spans="1:12" x14ac:dyDescent="0.2">
      <c r="A56" t="s">
        <v>34</v>
      </c>
      <c r="B56">
        <v>1767073501</v>
      </c>
      <c r="C56" t="s">
        <v>17</v>
      </c>
      <c r="D56" t="s">
        <v>47</v>
      </c>
      <c r="E56" s="3">
        <f t="shared" si="0"/>
        <v>1.354217529296875</v>
      </c>
      <c r="F56" s="3">
        <f t="shared" si="1"/>
        <v>0.6847381591796875</v>
      </c>
      <c r="G56" s="3">
        <f t="shared" si="2"/>
        <v>2.0389556884765625</v>
      </c>
      <c r="H56" s="4">
        <f t="shared" si="7"/>
        <v>25</v>
      </c>
      <c r="I56" s="3">
        <f t="shared" si="3"/>
        <v>9.5367431640625E-3</v>
      </c>
      <c r="J56" s="3">
        <f t="shared" si="4"/>
        <v>9.5367431640625E-4</v>
      </c>
      <c r="K56" s="3">
        <f t="shared" si="5"/>
        <v>1.049041748046875E-2</v>
      </c>
      <c r="L56" s="3">
        <f t="shared" si="6"/>
        <v>6.198883056640625E-2</v>
      </c>
    </row>
    <row r="57" spans="1:12" x14ac:dyDescent="0.2">
      <c r="A57" t="s">
        <v>34</v>
      </c>
      <c r="B57">
        <v>1767073501</v>
      </c>
      <c r="C57" t="s">
        <v>19</v>
      </c>
      <c r="D57" t="s">
        <v>48</v>
      </c>
      <c r="E57" s="3">
        <f t="shared" si="0"/>
        <v>3814.697265625</v>
      </c>
      <c r="F57" s="3">
        <f t="shared" si="1"/>
        <v>204.0863037109375</v>
      </c>
      <c r="G57" s="3">
        <f t="shared" si="2"/>
        <v>4018.7835693359375</v>
      </c>
      <c r="H57" s="4">
        <f t="shared" si="7"/>
        <v>25</v>
      </c>
      <c r="I57" s="3">
        <f t="shared" si="3"/>
        <v>28.6102294921875</v>
      </c>
      <c r="J57" s="3">
        <f t="shared" si="4"/>
        <v>0</v>
      </c>
      <c r="K57" s="3">
        <f t="shared" si="5"/>
        <v>28.6102294921875</v>
      </c>
      <c r="L57" s="3">
        <f t="shared" si="6"/>
        <v>144.00482177734375</v>
      </c>
    </row>
    <row r="58" spans="1:12" x14ac:dyDescent="0.2">
      <c r="A58" t="s">
        <v>34</v>
      </c>
      <c r="B58">
        <v>1767073509</v>
      </c>
      <c r="C58" t="s">
        <v>13</v>
      </c>
      <c r="D58" t="s">
        <v>35</v>
      </c>
      <c r="E58" s="3">
        <f t="shared" si="0"/>
        <v>12.20703125</v>
      </c>
      <c r="F58" s="3">
        <f t="shared" si="1"/>
        <v>3728.8665771484375</v>
      </c>
      <c r="G58" s="3">
        <f t="shared" si="2"/>
        <v>3741.0736083984375</v>
      </c>
      <c r="H58" s="4">
        <f t="shared" si="7"/>
        <v>30</v>
      </c>
      <c r="I58" s="3">
        <f t="shared" si="3"/>
        <v>0</v>
      </c>
      <c r="J58" s="3">
        <f t="shared" si="4"/>
        <v>0</v>
      </c>
      <c r="K58" s="3">
        <f t="shared" si="5"/>
        <v>0</v>
      </c>
      <c r="L58" s="3">
        <f t="shared" si="6"/>
        <v>0</v>
      </c>
    </row>
    <row r="59" spans="1:12" x14ac:dyDescent="0.2">
      <c r="A59" t="s">
        <v>34</v>
      </c>
      <c r="B59">
        <v>1767073509</v>
      </c>
      <c r="C59" t="s">
        <v>15</v>
      </c>
      <c r="D59" t="s">
        <v>46</v>
      </c>
      <c r="E59" s="3">
        <f t="shared" si="0"/>
        <v>3929.13818359375</v>
      </c>
      <c r="F59" s="3">
        <f t="shared" si="1"/>
        <v>3824.2340087890625</v>
      </c>
      <c r="G59" s="3">
        <f t="shared" si="2"/>
        <v>7753.3721923828125</v>
      </c>
      <c r="H59" s="4">
        <f t="shared" si="7"/>
        <v>30</v>
      </c>
      <c r="I59" s="3">
        <f t="shared" si="3"/>
        <v>0</v>
      </c>
      <c r="J59" s="3">
        <f t="shared" si="4"/>
        <v>0</v>
      </c>
      <c r="K59" s="3">
        <f t="shared" si="5"/>
        <v>0</v>
      </c>
      <c r="L59" s="3">
        <f t="shared" si="6"/>
        <v>143.0511474609375</v>
      </c>
    </row>
    <row r="60" spans="1:12" x14ac:dyDescent="0.2">
      <c r="A60" t="s">
        <v>34</v>
      </c>
      <c r="B60">
        <v>1767073509</v>
      </c>
      <c r="C60" t="s">
        <v>17</v>
      </c>
      <c r="D60" t="s">
        <v>49</v>
      </c>
      <c r="E60" s="3">
        <f t="shared" si="0"/>
        <v>1.3637542724609375</v>
      </c>
      <c r="F60" s="3">
        <f t="shared" si="1"/>
        <v>0.68759918212890625</v>
      </c>
      <c r="G60" s="3">
        <f t="shared" si="2"/>
        <v>2.0513534545898438</v>
      </c>
      <c r="H60" s="4">
        <f t="shared" si="7"/>
        <v>30</v>
      </c>
      <c r="I60" s="3">
        <f t="shared" si="3"/>
        <v>9.5367431640625E-3</v>
      </c>
      <c r="J60" s="3">
        <f t="shared" si="4"/>
        <v>2.86102294921875E-3</v>
      </c>
      <c r="K60" s="3">
        <f t="shared" si="5"/>
        <v>1.239776611328125E-2</v>
      </c>
      <c r="L60" s="3">
        <f t="shared" si="6"/>
        <v>7.43865966796875E-2</v>
      </c>
    </row>
    <row r="61" spans="1:12" x14ac:dyDescent="0.2">
      <c r="A61" t="s">
        <v>34</v>
      </c>
      <c r="B61">
        <v>1767073509</v>
      </c>
      <c r="C61" t="s">
        <v>19</v>
      </c>
      <c r="D61" t="s">
        <v>48</v>
      </c>
      <c r="E61" s="3">
        <f t="shared" si="0"/>
        <v>3814.697265625</v>
      </c>
      <c r="F61" s="3">
        <f t="shared" si="1"/>
        <v>204.0863037109375</v>
      </c>
      <c r="G61" s="3">
        <f t="shared" si="2"/>
        <v>4018.7835693359375</v>
      </c>
      <c r="H61" s="4">
        <f t="shared" si="7"/>
        <v>30</v>
      </c>
      <c r="I61" s="3">
        <f t="shared" si="3"/>
        <v>0</v>
      </c>
      <c r="J61" s="3">
        <f t="shared" si="4"/>
        <v>0</v>
      </c>
      <c r="K61" s="3">
        <f t="shared" si="5"/>
        <v>0</v>
      </c>
      <c r="L61" s="3">
        <f t="shared" si="6"/>
        <v>144.00482177734375</v>
      </c>
    </row>
    <row r="62" spans="1:12" x14ac:dyDescent="0.2">
      <c r="A62" t="s">
        <v>34</v>
      </c>
      <c r="B62">
        <v>1767073516</v>
      </c>
      <c r="C62" t="s">
        <v>13</v>
      </c>
      <c r="D62" t="s">
        <v>35</v>
      </c>
      <c r="E62" s="3">
        <f t="shared" si="0"/>
        <v>12.20703125</v>
      </c>
      <c r="F62" s="3">
        <f t="shared" si="1"/>
        <v>3728.8665771484375</v>
      </c>
      <c r="G62" s="3">
        <f t="shared" si="2"/>
        <v>3741.0736083984375</v>
      </c>
      <c r="H62" s="4">
        <f t="shared" si="7"/>
        <v>35</v>
      </c>
      <c r="I62" s="3">
        <f t="shared" si="3"/>
        <v>0</v>
      </c>
      <c r="J62" s="3">
        <f t="shared" si="4"/>
        <v>0</v>
      </c>
      <c r="K62" s="3">
        <f t="shared" si="5"/>
        <v>0</v>
      </c>
      <c r="L62" s="3">
        <f t="shared" si="6"/>
        <v>0</v>
      </c>
    </row>
    <row r="63" spans="1:12" x14ac:dyDescent="0.2">
      <c r="A63" t="s">
        <v>34</v>
      </c>
      <c r="B63">
        <v>1767073516</v>
      </c>
      <c r="C63" t="s">
        <v>15</v>
      </c>
      <c r="D63" t="s">
        <v>50</v>
      </c>
      <c r="E63" s="3">
        <f t="shared" si="0"/>
        <v>3929.13818359375</v>
      </c>
      <c r="F63" s="3">
        <f t="shared" si="1"/>
        <v>3881.454467773438</v>
      </c>
      <c r="G63" s="3">
        <f t="shared" si="2"/>
        <v>7810.5926513671875</v>
      </c>
      <c r="H63" s="4">
        <f t="shared" si="7"/>
        <v>35</v>
      </c>
      <c r="I63" s="3">
        <f t="shared" si="3"/>
        <v>0</v>
      </c>
      <c r="J63" s="3">
        <f t="shared" si="4"/>
        <v>57.220458984375455</v>
      </c>
      <c r="K63" s="3">
        <f t="shared" si="5"/>
        <v>57.220458984375</v>
      </c>
      <c r="L63" s="3">
        <f t="shared" si="6"/>
        <v>200.2716064453125</v>
      </c>
    </row>
    <row r="64" spans="1:12" x14ac:dyDescent="0.2">
      <c r="A64" t="s">
        <v>34</v>
      </c>
      <c r="B64">
        <v>1767073516</v>
      </c>
      <c r="C64" t="s">
        <v>17</v>
      </c>
      <c r="D64" t="s">
        <v>51</v>
      </c>
      <c r="E64" s="3">
        <f t="shared" si="0"/>
        <v>1.3637542724609375</v>
      </c>
      <c r="F64" s="3">
        <f t="shared" si="1"/>
        <v>0.68950653076171875</v>
      </c>
      <c r="G64" s="3">
        <f t="shared" si="2"/>
        <v>2.0532608032226562</v>
      </c>
      <c r="H64" s="4">
        <f t="shared" si="7"/>
        <v>35</v>
      </c>
      <c r="I64" s="3">
        <f t="shared" si="3"/>
        <v>0</v>
      </c>
      <c r="J64" s="3">
        <f t="shared" si="4"/>
        <v>1.9073486328125E-3</v>
      </c>
      <c r="K64" s="3">
        <f t="shared" si="5"/>
        <v>1.9073486328125E-3</v>
      </c>
      <c r="L64" s="3">
        <f t="shared" si="6"/>
        <v>7.62939453125E-2</v>
      </c>
    </row>
    <row r="65" spans="1:12" x14ac:dyDescent="0.2">
      <c r="A65" t="s">
        <v>34</v>
      </c>
      <c r="B65">
        <v>1767073516</v>
      </c>
      <c r="C65" t="s">
        <v>19</v>
      </c>
      <c r="D65" t="s">
        <v>52</v>
      </c>
      <c r="E65" s="3">
        <f t="shared" si="0"/>
        <v>3871.9177246093745</v>
      </c>
      <c r="F65" s="3">
        <f t="shared" si="1"/>
        <v>204.0863037109375</v>
      </c>
      <c r="G65" s="3">
        <f t="shared" si="2"/>
        <v>4076.004028320312</v>
      </c>
      <c r="H65" s="4">
        <f t="shared" si="7"/>
        <v>35</v>
      </c>
      <c r="I65" s="3">
        <f t="shared" si="3"/>
        <v>57.220458984374545</v>
      </c>
      <c r="J65" s="3">
        <f t="shared" si="4"/>
        <v>0</v>
      </c>
      <c r="K65" s="3">
        <f t="shared" si="5"/>
        <v>57.220458984374545</v>
      </c>
      <c r="L65" s="3">
        <f t="shared" si="6"/>
        <v>201.2252807617183</v>
      </c>
    </row>
    <row r="66" spans="1:12" x14ac:dyDescent="0.2">
      <c r="A66" t="s">
        <v>34</v>
      </c>
      <c r="B66">
        <v>1767073523</v>
      </c>
      <c r="C66" t="s">
        <v>13</v>
      </c>
      <c r="D66" t="s">
        <v>53</v>
      </c>
      <c r="E66" s="3">
        <f t="shared" ref="E66:E129" si="8">IF(RIGHT(TRIM(LEFT($D66,FIND("/",$D66)-1)),2)="kB",VALUE(LEFT(TRIM(LEFT($D66,FIND("/",$D66)-1)),LEN(TRIM(LEFT($D66,FIND("/",$D66)-1)))-2))*1000/1024/1024,IF(RIGHT(TRIM(LEFT($D66,FIND("/",$D66)-1)),2)="MB",VALUE(LEFT(TRIM(LEFT($D66,FIND("/",$D66)-1)),LEN(TRIM(LEFT($D66,FIND("/",$D66)-1)))-2))*1000*1000/1024/1024,IF(RIGHT(TRIM(LEFT($D66,FIND("/",$D66)-1)),2)="GB",VALUE(LEFT(TRIM(LEFT($D66,FIND("/",$D66)-1)),LEN(TRIM(LEFT($D66,FIND("/",$D66)-1)))-2))*1000*1000*1000/1024/1024,0)))</f>
        <v>12.302398681640625</v>
      </c>
      <c r="F66" s="3">
        <f t="shared" ref="F66:F129" si="9">IF(RIGHT(TRIM(MID($D66,FIND("/",$D66)+1,999)),2)="kB",VALUE(LEFT(TRIM(MID($D66,FIND("/",$D66)+1,999)),LEN(TRIM(MID($D66,FIND("/",$D66)+1,999)))-2))*1000/1024/1024,IF(RIGHT(TRIM(MID($D66,FIND("/",$D66)+1,999)),2)="MB",VALUE(LEFT(TRIM(MID($D66,FIND("/",$D66)+1,999)),LEN(TRIM(MID($D66,FIND("/",$D66)+1,999)))-2))*1000*1000/1024/1024,IF(RIGHT(TRIM(MID($D66,FIND("/",$D66)+1,999)),2)="GB",VALUE(LEFT(TRIM(MID($D66,FIND("/",$D66)+1,999)),LEN(TRIM(MID($D66,FIND("/",$D66)+1,999)))-2))*1000*1000*1000/1024/1024,0)))</f>
        <v>3728.8665771484375</v>
      </c>
      <c r="G66" s="3">
        <f t="shared" ref="G66:G129" si="10">$E66+$F66</f>
        <v>3741.1689758300781</v>
      </c>
      <c r="H66" s="4">
        <f t="shared" si="7"/>
        <v>40</v>
      </c>
      <c r="I66" s="3">
        <f t="shared" ref="I66:I129" si="11">IF($H66=0,0,MAX(0,$E66-SUMIFS($E$2:$E$349,$A$2:$A$349,$A66,$C$2:$C$349,$C66,$H$2:$H$349,$H66-5)))</f>
        <v>9.5367431640625E-2</v>
      </c>
      <c r="J66" s="3">
        <f t="shared" ref="J66:J129" si="12">IF($H66=0,0,MAX(0,$F66-SUMIFS($F$2:$F$349,$A$2:$A$349,$A66,$C$2:$C$349,$C66,$H$2:$H$349,$H66-5)))</f>
        <v>0</v>
      </c>
      <c r="K66" s="3">
        <f t="shared" ref="K66:K129" si="13">IF($H66=0,0,MAX(0,$G66-SUMIFS($G$2:$G$349,$A$2:$A$349,$A66,$C$2:$C$349,$C66,$H$2:$H$349,$H66-5)))</f>
        <v>9.5367431640625E-2</v>
      </c>
      <c r="L66" s="3">
        <f t="shared" ref="L66:L129" si="14">MAX(0,$G66-SUMIFS($G$2:$G$349,$A$2:$A$349,$A66,$C$2:$C$349,$C66,$H$2:$H$349,0))</f>
        <v>9.5367431640625E-2</v>
      </c>
    </row>
    <row r="67" spans="1:12" x14ac:dyDescent="0.2">
      <c r="A67" t="s">
        <v>34</v>
      </c>
      <c r="B67">
        <v>1767073523</v>
      </c>
      <c r="C67" t="s">
        <v>15</v>
      </c>
      <c r="D67" t="s">
        <v>54</v>
      </c>
      <c r="E67" s="3">
        <f t="shared" si="8"/>
        <v>3929.13818359375</v>
      </c>
      <c r="F67" s="3">
        <f t="shared" si="9"/>
        <v>3929.13818359375</v>
      </c>
      <c r="G67" s="3">
        <f t="shared" si="10"/>
        <v>7858.2763671875</v>
      </c>
      <c r="H67" s="4">
        <f t="shared" ref="H67:H130" si="15">IF($A67&lt;&gt;$A66,0,IF($B67=$B66,$H66,$H66+5))</f>
        <v>40</v>
      </c>
      <c r="I67" s="3">
        <f t="shared" si="11"/>
        <v>0</v>
      </c>
      <c r="J67" s="3">
        <f t="shared" si="12"/>
        <v>47.683715820312045</v>
      </c>
      <c r="K67" s="3">
        <f t="shared" si="13"/>
        <v>47.6837158203125</v>
      </c>
      <c r="L67" s="3">
        <f t="shared" si="14"/>
        <v>247.955322265625</v>
      </c>
    </row>
    <row r="68" spans="1:12" x14ac:dyDescent="0.2">
      <c r="A68" t="s">
        <v>34</v>
      </c>
      <c r="B68">
        <v>1767073523</v>
      </c>
      <c r="C68" t="s">
        <v>17</v>
      </c>
      <c r="D68" t="s">
        <v>55</v>
      </c>
      <c r="E68" s="3">
        <f t="shared" si="8"/>
        <v>1.373291015625</v>
      </c>
      <c r="F68" s="3">
        <f t="shared" si="9"/>
        <v>0.690460205078125</v>
      </c>
      <c r="G68" s="3">
        <f t="shared" si="10"/>
        <v>2.063751220703125</v>
      </c>
      <c r="H68" s="4">
        <f t="shared" si="15"/>
        <v>40</v>
      </c>
      <c r="I68" s="3">
        <f t="shared" si="11"/>
        <v>9.5367431640625E-3</v>
      </c>
      <c r="J68" s="3">
        <f t="shared" si="12"/>
        <v>9.5367431640625E-4</v>
      </c>
      <c r="K68" s="3">
        <f t="shared" si="13"/>
        <v>1.049041748046875E-2</v>
      </c>
      <c r="L68" s="3">
        <f t="shared" si="14"/>
        <v>8.678436279296875E-2</v>
      </c>
    </row>
    <row r="69" spans="1:12" x14ac:dyDescent="0.2">
      <c r="A69" t="s">
        <v>34</v>
      </c>
      <c r="B69">
        <v>1767073523</v>
      </c>
      <c r="C69" t="s">
        <v>19</v>
      </c>
      <c r="D69" t="s">
        <v>56</v>
      </c>
      <c r="E69" s="3">
        <f t="shared" si="8"/>
        <v>3929.13818359375</v>
      </c>
      <c r="F69" s="3">
        <f t="shared" si="9"/>
        <v>204.0863037109375</v>
      </c>
      <c r="G69" s="3">
        <f t="shared" si="10"/>
        <v>4133.2244873046875</v>
      </c>
      <c r="H69" s="4">
        <f t="shared" si="15"/>
        <v>40</v>
      </c>
      <c r="I69" s="3">
        <f t="shared" si="11"/>
        <v>57.220458984375455</v>
      </c>
      <c r="J69" s="3">
        <f t="shared" si="12"/>
        <v>0</v>
      </c>
      <c r="K69" s="3">
        <f t="shared" si="13"/>
        <v>57.220458984375455</v>
      </c>
      <c r="L69" s="3">
        <f t="shared" si="14"/>
        <v>258.44573974609375</v>
      </c>
    </row>
    <row r="70" spans="1:12" x14ac:dyDescent="0.2">
      <c r="A70" t="s">
        <v>34</v>
      </c>
      <c r="B70">
        <v>1767073530</v>
      </c>
      <c r="C70" t="s">
        <v>13</v>
      </c>
      <c r="D70" t="s">
        <v>53</v>
      </c>
      <c r="E70" s="3">
        <f t="shared" si="8"/>
        <v>12.302398681640625</v>
      </c>
      <c r="F70" s="3">
        <f t="shared" si="9"/>
        <v>3728.8665771484375</v>
      </c>
      <c r="G70" s="3">
        <f t="shared" si="10"/>
        <v>3741.1689758300781</v>
      </c>
      <c r="H70" s="4">
        <f t="shared" si="15"/>
        <v>45</v>
      </c>
      <c r="I70" s="3">
        <f t="shared" si="11"/>
        <v>0</v>
      </c>
      <c r="J70" s="3">
        <f t="shared" si="12"/>
        <v>0</v>
      </c>
      <c r="K70" s="3">
        <f t="shared" si="13"/>
        <v>0</v>
      </c>
      <c r="L70" s="3">
        <f t="shared" si="14"/>
        <v>9.5367431640625E-2</v>
      </c>
    </row>
    <row r="71" spans="1:12" x14ac:dyDescent="0.2">
      <c r="A71" t="s">
        <v>34</v>
      </c>
      <c r="B71">
        <v>1767073530</v>
      </c>
      <c r="C71" t="s">
        <v>15</v>
      </c>
      <c r="D71" t="s">
        <v>57</v>
      </c>
      <c r="E71" s="3">
        <f t="shared" si="8"/>
        <v>3929.13818359375</v>
      </c>
      <c r="F71" s="3">
        <f t="shared" si="9"/>
        <v>3957.7484130859375</v>
      </c>
      <c r="G71" s="3">
        <f t="shared" si="10"/>
        <v>7886.8865966796875</v>
      </c>
      <c r="H71" s="4">
        <f t="shared" si="15"/>
        <v>45</v>
      </c>
      <c r="I71" s="3">
        <f t="shared" si="11"/>
        <v>0</v>
      </c>
      <c r="J71" s="3">
        <f t="shared" si="12"/>
        <v>28.6102294921875</v>
      </c>
      <c r="K71" s="3">
        <f t="shared" si="13"/>
        <v>28.6102294921875</v>
      </c>
      <c r="L71" s="3">
        <f t="shared" si="14"/>
        <v>276.5655517578125</v>
      </c>
    </row>
    <row r="72" spans="1:12" x14ac:dyDescent="0.2">
      <c r="A72" t="s">
        <v>34</v>
      </c>
      <c r="B72">
        <v>1767073530</v>
      </c>
      <c r="C72" t="s">
        <v>17</v>
      </c>
      <c r="D72" t="s">
        <v>58</v>
      </c>
      <c r="E72" s="3">
        <f t="shared" si="8"/>
        <v>1.3828277587890625</v>
      </c>
      <c r="F72" s="3">
        <f t="shared" si="9"/>
        <v>0.6923675537109375</v>
      </c>
      <c r="G72" s="3">
        <f t="shared" si="10"/>
        <v>2.0751953125</v>
      </c>
      <c r="H72" s="4">
        <f t="shared" si="15"/>
        <v>45</v>
      </c>
      <c r="I72" s="3">
        <f t="shared" si="11"/>
        <v>9.5367431640625E-3</v>
      </c>
      <c r="J72" s="3">
        <f t="shared" si="12"/>
        <v>1.9073486328125E-3</v>
      </c>
      <c r="K72" s="3">
        <f t="shared" si="13"/>
        <v>1.1444091796875E-2</v>
      </c>
      <c r="L72" s="3">
        <f t="shared" si="14"/>
        <v>9.822845458984375E-2</v>
      </c>
    </row>
    <row r="73" spans="1:12" x14ac:dyDescent="0.2">
      <c r="A73" t="s">
        <v>34</v>
      </c>
      <c r="B73">
        <v>1767073530</v>
      </c>
      <c r="C73" t="s">
        <v>19</v>
      </c>
      <c r="D73" t="s">
        <v>59</v>
      </c>
      <c r="E73" s="3">
        <f t="shared" si="8"/>
        <v>3948.211669921875</v>
      </c>
      <c r="F73" s="3">
        <f t="shared" si="9"/>
        <v>204.0863037109375</v>
      </c>
      <c r="G73" s="3">
        <f t="shared" si="10"/>
        <v>4152.2979736328125</v>
      </c>
      <c r="H73" s="4">
        <f t="shared" si="15"/>
        <v>45</v>
      </c>
      <c r="I73" s="3">
        <f t="shared" si="11"/>
        <v>19.073486328125</v>
      </c>
      <c r="J73" s="3">
        <f t="shared" si="12"/>
        <v>0</v>
      </c>
      <c r="K73" s="3">
        <f t="shared" si="13"/>
        <v>19.073486328125</v>
      </c>
      <c r="L73" s="3">
        <f t="shared" si="14"/>
        <v>277.51922607421875</v>
      </c>
    </row>
    <row r="74" spans="1:12" x14ac:dyDescent="0.2">
      <c r="A74" t="s">
        <v>34</v>
      </c>
      <c r="B74">
        <v>1767073538</v>
      </c>
      <c r="C74" t="s">
        <v>13</v>
      </c>
      <c r="D74" t="s">
        <v>53</v>
      </c>
      <c r="E74" s="3">
        <f t="shared" si="8"/>
        <v>12.302398681640625</v>
      </c>
      <c r="F74" s="3">
        <f t="shared" si="9"/>
        <v>3728.8665771484375</v>
      </c>
      <c r="G74" s="3">
        <f t="shared" si="10"/>
        <v>3741.1689758300781</v>
      </c>
      <c r="H74" s="4">
        <f t="shared" si="15"/>
        <v>50</v>
      </c>
      <c r="I74" s="3">
        <f t="shared" si="11"/>
        <v>0</v>
      </c>
      <c r="J74" s="3">
        <f t="shared" si="12"/>
        <v>0</v>
      </c>
      <c r="K74" s="3">
        <f t="shared" si="13"/>
        <v>0</v>
      </c>
      <c r="L74" s="3">
        <f t="shared" si="14"/>
        <v>9.5367431640625E-2</v>
      </c>
    </row>
    <row r="75" spans="1:12" x14ac:dyDescent="0.2">
      <c r="A75" t="s">
        <v>34</v>
      </c>
      <c r="B75">
        <v>1767073538</v>
      </c>
      <c r="C75" t="s">
        <v>15</v>
      </c>
      <c r="D75" t="s">
        <v>60</v>
      </c>
      <c r="E75" s="3">
        <f t="shared" si="8"/>
        <v>3948.211669921875</v>
      </c>
      <c r="F75" s="3">
        <f t="shared" si="9"/>
        <v>3957.7484130859375</v>
      </c>
      <c r="G75" s="3">
        <f t="shared" si="10"/>
        <v>7905.9600830078125</v>
      </c>
      <c r="H75" s="4">
        <f t="shared" si="15"/>
        <v>50</v>
      </c>
      <c r="I75" s="3">
        <f t="shared" si="11"/>
        <v>19.073486328125</v>
      </c>
      <c r="J75" s="3">
        <f t="shared" si="12"/>
        <v>0</v>
      </c>
      <c r="K75" s="3">
        <f t="shared" si="13"/>
        <v>19.073486328125</v>
      </c>
      <c r="L75" s="3">
        <f t="shared" si="14"/>
        <v>295.6390380859375</v>
      </c>
    </row>
    <row r="76" spans="1:12" x14ac:dyDescent="0.2">
      <c r="A76" t="s">
        <v>34</v>
      </c>
      <c r="B76">
        <v>1767073538</v>
      </c>
      <c r="C76" t="s">
        <v>17</v>
      </c>
      <c r="D76" t="s">
        <v>61</v>
      </c>
      <c r="E76" s="3">
        <f t="shared" si="8"/>
        <v>1.392364501953125</v>
      </c>
      <c r="F76" s="3">
        <f t="shared" si="9"/>
        <v>0.69522857666015625</v>
      </c>
      <c r="G76" s="3">
        <f t="shared" si="10"/>
        <v>2.0875930786132812</v>
      </c>
      <c r="H76" s="4">
        <f t="shared" si="15"/>
        <v>50</v>
      </c>
      <c r="I76" s="3">
        <f t="shared" si="11"/>
        <v>9.5367431640625E-3</v>
      </c>
      <c r="J76" s="3">
        <f t="shared" si="12"/>
        <v>2.86102294921875E-3</v>
      </c>
      <c r="K76" s="3">
        <f t="shared" si="13"/>
        <v>1.239776611328125E-2</v>
      </c>
      <c r="L76" s="3">
        <f t="shared" si="14"/>
        <v>0.110626220703125</v>
      </c>
    </row>
    <row r="77" spans="1:12" x14ac:dyDescent="0.2">
      <c r="A77" t="s">
        <v>34</v>
      </c>
      <c r="B77">
        <v>1767073538</v>
      </c>
      <c r="C77" t="s">
        <v>19</v>
      </c>
      <c r="D77" t="s">
        <v>62</v>
      </c>
      <c r="E77" s="3">
        <f t="shared" si="8"/>
        <v>3948.211669921875</v>
      </c>
      <c r="F77" s="3">
        <f t="shared" si="9"/>
        <v>210.76202392578125</v>
      </c>
      <c r="G77" s="3">
        <f t="shared" si="10"/>
        <v>4158.9736938476562</v>
      </c>
      <c r="H77" s="4">
        <f t="shared" si="15"/>
        <v>50</v>
      </c>
      <c r="I77" s="3">
        <f t="shared" si="11"/>
        <v>0</v>
      </c>
      <c r="J77" s="3">
        <f t="shared" si="12"/>
        <v>6.67572021484375</v>
      </c>
      <c r="K77" s="3">
        <f t="shared" si="13"/>
        <v>6.67572021484375</v>
      </c>
      <c r="L77" s="3">
        <f t="shared" si="14"/>
        <v>284.1949462890625</v>
      </c>
    </row>
    <row r="78" spans="1:12" x14ac:dyDescent="0.2">
      <c r="A78" t="s">
        <v>34</v>
      </c>
      <c r="B78">
        <v>1767073545</v>
      </c>
      <c r="C78" t="s">
        <v>13</v>
      </c>
      <c r="D78" t="s">
        <v>53</v>
      </c>
      <c r="E78" s="3">
        <f t="shared" si="8"/>
        <v>12.302398681640625</v>
      </c>
      <c r="F78" s="3">
        <f t="shared" si="9"/>
        <v>3728.8665771484375</v>
      </c>
      <c r="G78" s="3">
        <f t="shared" si="10"/>
        <v>3741.1689758300781</v>
      </c>
      <c r="H78" s="4">
        <f t="shared" si="15"/>
        <v>55</v>
      </c>
      <c r="I78" s="3">
        <f t="shared" si="11"/>
        <v>0</v>
      </c>
      <c r="J78" s="3">
        <f t="shared" si="12"/>
        <v>0</v>
      </c>
      <c r="K78" s="3">
        <f t="shared" si="13"/>
        <v>0</v>
      </c>
      <c r="L78" s="3">
        <f t="shared" si="14"/>
        <v>9.5367431640625E-2</v>
      </c>
    </row>
    <row r="79" spans="1:12" x14ac:dyDescent="0.2">
      <c r="A79" t="s">
        <v>34</v>
      </c>
      <c r="B79">
        <v>1767073545</v>
      </c>
      <c r="C79" t="s">
        <v>15</v>
      </c>
      <c r="D79" t="s">
        <v>63</v>
      </c>
      <c r="E79" s="3">
        <f t="shared" si="8"/>
        <v>3967.28515625</v>
      </c>
      <c r="F79" s="3">
        <f t="shared" si="9"/>
        <v>3957.7484130859375</v>
      </c>
      <c r="G79" s="3">
        <f t="shared" si="10"/>
        <v>7925.0335693359375</v>
      </c>
      <c r="H79" s="4">
        <f t="shared" si="15"/>
        <v>55</v>
      </c>
      <c r="I79" s="3">
        <f t="shared" si="11"/>
        <v>19.073486328125</v>
      </c>
      <c r="J79" s="3">
        <f t="shared" si="12"/>
        <v>0</v>
      </c>
      <c r="K79" s="3">
        <f t="shared" si="13"/>
        <v>19.073486328125</v>
      </c>
      <c r="L79" s="3">
        <f t="shared" si="14"/>
        <v>314.7125244140625</v>
      </c>
    </row>
    <row r="80" spans="1:12" x14ac:dyDescent="0.2">
      <c r="A80" t="s">
        <v>34</v>
      </c>
      <c r="B80">
        <v>1767073545</v>
      </c>
      <c r="C80" t="s">
        <v>17</v>
      </c>
      <c r="D80" t="s">
        <v>64</v>
      </c>
      <c r="E80" s="3">
        <f t="shared" si="8"/>
        <v>1.392364501953125</v>
      </c>
      <c r="F80" s="3">
        <f t="shared" si="9"/>
        <v>0.69713592529296875</v>
      </c>
      <c r="G80" s="3">
        <f t="shared" si="10"/>
        <v>2.0895004272460938</v>
      </c>
      <c r="H80" s="4">
        <f t="shared" si="15"/>
        <v>55</v>
      </c>
      <c r="I80" s="3">
        <f t="shared" si="11"/>
        <v>0</v>
      </c>
      <c r="J80" s="3">
        <f t="shared" si="12"/>
        <v>1.9073486328125E-3</v>
      </c>
      <c r="K80" s="3">
        <f t="shared" si="13"/>
        <v>1.9073486328125E-3</v>
      </c>
      <c r="L80" s="3">
        <f t="shared" si="14"/>
        <v>0.1125335693359375</v>
      </c>
    </row>
    <row r="81" spans="1:12" x14ac:dyDescent="0.2">
      <c r="A81" t="s">
        <v>34</v>
      </c>
      <c r="B81">
        <v>1767073545</v>
      </c>
      <c r="C81" t="s">
        <v>19</v>
      </c>
      <c r="D81" t="s">
        <v>65</v>
      </c>
      <c r="E81" s="3">
        <f t="shared" si="8"/>
        <v>3948.211669921875</v>
      </c>
      <c r="F81" s="3">
        <f t="shared" si="9"/>
        <v>236.51123046875</v>
      </c>
      <c r="G81" s="3">
        <f t="shared" si="10"/>
        <v>4184.722900390625</v>
      </c>
      <c r="H81" s="4">
        <f t="shared" si="15"/>
        <v>55</v>
      </c>
      <c r="I81" s="3">
        <f t="shared" si="11"/>
        <v>0</v>
      </c>
      <c r="J81" s="3">
        <f t="shared" si="12"/>
        <v>25.74920654296875</v>
      </c>
      <c r="K81" s="3">
        <f t="shared" si="13"/>
        <v>25.74920654296875</v>
      </c>
      <c r="L81" s="3">
        <f t="shared" si="14"/>
        <v>309.94415283203125</v>
      </c>
    </row>
    <row r="82" spans="1:12" x14ac:dyDescent="0.2">
      <c r="A82" t="s">
        <v>34</v>
      </c>
      <c r="B82">
        <v>1767073553</v>
      </c>
      <c r="C82" t="s">
        <v>13</v>
      </c>
      <c r="D82" t="s">
        <v>53</v>
      </c>
      <c r="E82" s="3">
        <f t="shared" si="8"/>
        <v>12.302398681640625</v>
      </c>
      <c r="F82" s="3">
        <f t="shared" si="9"/>
        <v>3728.8665771484375</v>
      </c>
      <c r="G82" s="3">
        <f t="shared" si="10"/>
        <v>3741.1689758300781</v>
      </c>
      <c r="H82" s="4">
        <f t="shared" si="15"/>
        <v>60</v>
      </c>
      <c r="I82" s="3">
        <f t="shared" si="11"/>
        <v>0</v>
      </c>
      <c r="J82" s="3">
        <f t="shared" si="12"/>
        <v>0</v>
      </c>
      <c r="K82" s="3">
        <f t="shared" si="13"/>
        <v>0</v>
      </c>
      <c r="L82" s="3">
        <f t="shared" si="14"/>
        <v>9.5367431640625E-2</v>
      </c>
    </row>
    <row r="83" spans="1:12" x14ac:dyDescent="0.2">
      <c r="A83" t="s">
        <v>34</v>
      </c>
      <c r="B83">
        <v>1767073553</v>
      </c>
      <c r="C83" t="s">
        <v>15</v>
      </c>
      <c r="D83" t="s">
        <v>63</v>
      </c>
      <c r="E83" s="3">
        <f t="shared" si="8"/>
        <v>3967.28515625</v>
      </c>
      <c r="F83" s="3">
        <f t="shared" si="9"/>
        <v>3957.7484130859375</v>
      </c>
      <c r="G83" s="3">
        <f t="shared" si="10"/>
        <v>7925.0335693359375</v>
      </c>
      <c r="H83" s="4">
        <f t="shared" si="15"/>
        <v>60</v>
      </c>
      <c r="I83" s="3">
        <f t="shared" si="11"/>
        <v>0</v>
      </c>
      <c r="J83" s="3">
        <f t="shared" si="12"/>
        <v>0</v>
      </c>
      <c r="K83" s="3">
        <f t="shared" si="13"/>
        <v>0</v>
      </c>
      <c r="L83" s="3">
        <f t="shared" si="14"/>
        <v>314.7125244140625</v>
      </c>
    </row>
    <row r="84" spans="1:12" x14ac:dyDescent="0.2">
      <c r="A84" t="s">
        <v>34</v>
      </c>
      <c r="B84">
        <v>1767073553</v>
      </c>
      <c r="C84" t="s">
        <v>17</v>
      </c>
      <c r="D84" t="s">
        <v>66</v>
      </c>
      <c r="E84" s="3">
        <f t="shared" si="8"/>
        <v>1.4019012451171875</v>
      </c>
      <c r="F84" s="3">
        <f t="shared" si="9"/>
        <v>0.71239471435546875</v>
      </c>
      <c r="G84" s="3">
        <f t="shared" si="10"/>
        <v>2.1142959594726562</v>
      </c>
      <c r="H84" s="4">
        <f t="shared" si="15"/>
        <v>60</v>
      </c>
      <c r="I84" s="3">
        <f t="shared" si="11"/>
        <v>9.5367431640625E-3</v>
      </c>
      <c r="J84" s="3">
        <f t="shared" si="12"/>
        <v>1.52587890625E-2</v>
      </c>
      <c r="K84" s="3">
        <f t="shared" si="13"/>
        <v>2.47955322265625E-2</v>
      </c>
      <c r="L84" s="3">
        <f t="shared" si="14"/>
        <v>0.1373291015625</v>
      </c>
    </row>
    <row r="85" spans="1:12" x14ac:dyDescent="0.2">
      <c r="A85" t="s">
        <v>34</v>
      </c>
      <c r="B85">
        <v>1767073553</v>
      </c>
      <c r="C85" t="s">
        <v>19</v>
      </c>
      <c r="D85" t="s">
        <v>65</v>
      </c>
      <c r="E85" s="3">
        <f t="shared" si="8"/>
        <v>3948.211669921875</v>
      </c>
      <c r="F85" s="3">
        <f t="shared" si="9"/>
        <v>236.51123046875</v>
      </c>
      <c r="G85" s="3">
        <f t="shared" si="10"/>
        <v>4184.722900390625</v>
      </c>
      <c r="H85" s="4">
        <f t="shared" si="15"/>
        <v>60</v>
      </c>
      <c r="I85" s="3">
        <f t="shared" si="11"/>
        <v>0</v>
      </c>
      <c r="J85" s="3">
        <f t="shared" si="12"/>
        <v>0</v>
      </c>
      <c r="K85" s="3">
        <f t="shared" si="13"/>
        <v>0</v>
      </c>
      <c r="L85" s="3">
        <f t="shared" si="14"/>
        <v>309.94415283203125</v>
      </c>
    </row>
    <row r="86" spans="1:12" x14ac:dyDescent="0.2">
      <c r="A86" t="s">
        <v>34</v>
      </c>
      <c r="B86">
        <v>1767073560</v>
      </c>
      <c r="C86" t="s">
        <v>13</v>
      </c>
      <c r="D86" t="s">
        <v>53</v>
      </c>
      <c r="E86" s="3">
        <f t="shared" si="8"/>
        <v>12.302398681640625</v>
      </c>
      <c r="F86" s="3">
        <f t="shared" si="9"/>
        <v>3728.8665771484375</v>
      </c>
      <c r="G86" s="3">
        <f t="shared" si="10"/>
        <v>3741.1689758300781</v>
      </c>
      <c r="H86" s="4">
        <f t="shared" si="15"/>
        <v>65</v>
      </c>
      <c r="I86" s="3">
        <f t="shared" si="11"/>
        <v>0</v>
      </c>
      <c r="J86" s="3">
        <f t="shared" si="12"/>
        <v>0</v>
      </c>
      <c r="K86" s="3">
        <f t="shared" si="13"/>
        <v>0</v>
      </c>
      <c r="L86" s="3">
        <f t="shared" si="14"/>
        <v>9.5367431640625E-2</v>
      </c>
    </row>
    <row r="87" spans="1:12" x14ac:dyDescent="0.2">
      <c r="A87" t="s">
        <v>34</v>
      </c>
      <c r="B87">
        <v>1767073560</v>
      </c>
      <c r="C87" t="s">
        <v>15</v>
      </c>
      <c r="D87" t="s">
        <v>63</v>
      </c>
      <c r="E87" s="3">
        <f t="shared" si="8"/>
        <v>3967.28515625</v>
      </c>
      <c r="F87" s="3">
        <f t="shared" si="9"/>
        <v>3957.7484130859375</v>
      </c>
      <c r="G87" s="3">
        <f t="shared" si="10"/>
        <v>7925.0335693359375</v>
      </c>
      <c r="H87" s="4">
        <f t="shared" si="15"/>
        <v>65</v>
      </c>
      <c r="I87" s="3">
        <f t="shared" si="11"/>
        <v>0</v>
      </c>
      <c r="J87" s="3">
        <f t="shared" si="12"/>
        <v>0</v>
      </c>
      <c r="K87" s="3">
        <f t="shared" si="13"/>
        <v>0</v>
      </c>
      <c r="L87" s="3">
        <f t="shared" si="14"/>
        <v>314.7125244140625</v>
      </c>
    </row>
    <row r="88" spans="1:12" x14ac:dyDescent="0.2">
      <c r="A88" t="s">
        <v>34</v>
      </c>
      <c r="B88">
        <v>1767073560</v>
      </c>
      <c r="C88" t="s">
        <v>17</v>
      </c>
      <c r="D88" t="s">
        <v>67</v>
      </c>
      <c r="E88" s="3">
        <f t="shared" si="8"/>
        <v>1.41143798828125</v>
      </c>
      <c r="F88" s="3">
        <f t="shared" si="9"/>
        <v>0.71811676025390625</v>
      </c>
      <c r="G88" s="3">
        <f t="shared" si="10"/>
        <v>2.1295547485351562</v>
      </c>
      <c r="H88" s="4">
        <f t="shared" si="15"/>
        <v>65</v>
      </c>
      <c r="I88" s="3">
        <f t="shared" si="11"/>
        <v>9.5367431640625E-3</v>
      </c>
      <c r="J88" s="3">
        <f t="shared" si="12"/>
        <v>5.7220458984375E-3</v>
      </c>
      <c r="K88" s="3">
        <f t="shared" si="13"/>
        <v>1.52587890625E-2</v>
      </c>
      <c r="L88" s="3">
        <f t="shared" si="14"/>
        <v>0.152587890625</v>
      </c>
    </row>
    <row r="89" spans="1:12" x14ac:dyDescent="0.2">
      <c r="A89" t="s">
        <v>34</v>
      </c>
      <c r="B89">
        <v>1767073560</v>
      </c>
      <c r="C89" t="s">
        <v>19</v>
      </c>
      <c r="D89" t="s">
        <v>65</v>
      </c>
      <c r="E89" s="3">
        <f t="shared" si="8"/>
        <v>3948.211669921875</v>
      </c>
      <c r="F89" s="3">
        <f t="shared" si="9"/>
        <v>236.51123046875</v>
      </c>
      <c r="G89" s="3">
        <f t="shared" si="10"/>
        <v>4184.722900390625</v>
      </c>
      <c r="H89" s="4">
        <f t="shared" si="15"/>
        <v>65</v>
      </c>
      <c r="I89" s="3">
        <f t="shared" si="11"/>
        <v>0</v>
      </c>
      <c r="J89" s="3">
        <f t="shared" si="12"/>
        <v>0</v>
      </c>
      <c r="K89" s="3">
        <f t="shared" si="13"/>
        <v>0</v>
      </c>
      <c r="L89" s="3">
        <f t="shared" si="14"/>
        <v>309.94415283203125</v>
      </c>
    </row>
    <row r="90" spans="1:12" x14ac:dyDescent="0.2">
      <c r="A90" t="s">
        <v>34</v>
      </c>
      <c r="B90">
        <v>1767073568</v>
      </c>
      <c r="C90" t="s">
        <v>13</v>
      </c>
      <c r="D90" t="s">
        <v>68</v>
      </c>
      <c r="E90" s="3">
        <f t="shared" si="8"/>
        <v>12.39776611328125</v>
      </c>
      <c r="F90" s="3">
        <f t="shared" si="9"/>
        <v>3728.8665771484375</v>
      </c>
      <c r="G90" s="3">
        <f t="shared" si="10"/>
        <v>3741.2643432617188</v>
      </c>
      <c r="H90" s="4">
        <f t="shared" si="15"/>
        <v>70</v>
      </c>
      <c r="I90" s="3">
        <f t="shared" si="11"/>
        <v>9.5367431640625E-2</v>
      </c>
      <c r="J90" s="3">
        <f t="shared" si="12"/>
        <v>0</v>
      </c>
      <c r="K90" s="3">
        <f t="shared" si="13"/>
        <v>9.5367431640625E-2</v>
      </c>
      <c r="L90" s="3">
        <f t="shared" si="14"/>
        <v>0.19073486328125</v>
      </c>
    </row>
    <row r="91" spans="1:12" x14ac:dyDescent="0.2">
      <c r="A91" t="s">
        <v>34</v>
      </c>
      <c r="B91">
        <v>1767073568</v>
      </c>
      <c r="C91" t="s">
        <v>15</v>
      </c>
      <c r="D91" t="s">
        <v>69</v>
      </c>
      <c r="E91" s="3">
        <f t="shared" si="8"/>
        <v>3967.28515625</v>
      </c>
      <c r="F91" s="3">
        <f t="shared" si="9"/>
        <v>3986.358642578125</v>
      </c>
      <c r="G91" s="3">
        <f t="shared" si="10"/>
        <v>7953.643798828125</v>
      </c>
      <c r="H91" s="4">
        <f t="shared" si="15"/>
        <v>70</v>
      </c>
      <c r="I91" s="3">
        <f t="shared" si="11"/>
        <v>0</v>
      </c>
      <c r="J91" s="3">
        <f t="shared" si="12"/>
        <v>28.6102294921875</v>
      </c>
      <c r="K91" s="3">
        <f t="shared" si="13"/>
        <v>28.6102294921875</v>
      </c>
      <c r="L91" s="3">
        <f t="shared" si="14"/>
        <v>343.32275390625</v>
      </c>
    </row>
    <row r="92" spans="1:12" x14ac:dyDescent="0.2">
      <c r="A92" t="s">
        <v>34</v>
      </c>
      <c r="B92">
        <v>1767073568</v>
      </c>
      <c r="C92" t="s">
        <v>17</v>
      </c>
      <c r="D92" t="s">
        <v>70</v>
      </c>
      <c r="E92" s="3">
        <f t="shared" si="8"/>
        <v>1.4209747314453125</v>
      </c>
      <c r="F92" s="3">
        <f t="shared" si="9"/>
        <v>0.72002410888671875</v>
      </c>
      <c r="G92" s="3">
        <f t="shared" si="10"/>
        <v>2.1409988403320312</v>
      </c>
      <c r="H92" s="4">
        <f t="shared" si="15"/>
        <v>70</v>
      </c>
      <c r="I92" s="3">
        <f t="shared" si="11"/>
        <v>9.5367431640625E-3</v>
      </c>
      <c r="J92" s="3">
        <f t="shared" si="12"/>
        <v>1.9073486328125E-3</v>
      </c>
      <c r="K92" s="3">
        <f t="shared" si="13"/>
        <v>1.1444091796875E-2</v>
      </c>
      <c r="L92" s="3">
        <f t="shared" si="14"/>
        <v>0.164031982421875</v>
      </c>
    </row>
    <row r="93" spans="1:12" x14ac:dyDescent="0.2">
      <c r="A93" t="s">
        <v>34</v>
      </c>
      <c r="B93">
        <v>1767073568</v>
      </c>
      <c r="C93" t="s">
        <v>19</v>
      </c>
      <c r="D93" t="s">
        <v>71</v>
      </c>
      <c r="E93" s="3">
        <f t="shared" si="8"/>
        <v>3976.8218994140625</v>
      </c>
      <c r="F93" s="3">
        <f t="shared" si="9"/>
        <v>236.51123046875</v>
      </c>
      <c r="G93" s="3">
        <f t="shared" si="10"/>
        <v>4213.3331298828125</v>
      </c>
      <c r="H93" s="4">
        <f t="shared" si="15"/>
        <v>70</v>
      </c>
      <c r="I93" s="3">
        <f t="shared" si="11"/>
        <v>28.6102294921875</v>
      </c>
      <c r="J93" s="3">
        <f t="shared" si="12"/>
        <v>0</v>
      </c>
      <c r="K93" s="3">
        <f t="shared" si="13"/>
        <v>28.6102294921875</v>
      </c>
      <c r="L93" s="3">
        <f t="shared" si="14"/>
        <v>338.55438232421875</v>
      </c>
    </row>
    <row r="94" spans="1:12" x14ac:dyDescent="0.2">
      <c r="A94" t="s">
        <v>34</v>
      </c>
      <c r="B94">
        <v>1767073575</v>
      </c>
      <c r="C94" t="s">
        <v>13</v>
      </c>
      <c r="D94" t="s">
        <v>68</v>
      </c>
      <c r="E94" s="3">
        <f t="shared" si="8"/>
        <v>12.39776611328125</v>
      </c>
      <c r="F94" s="3">
        <f t="shared" si="9"/>
        <v>3728.8665771484375</v>
      </c>
      <c r="G94" s="3">
        <f t="shared" si="10"/>
        <v>3741.2643432617188</v>
      </c>
      <c r="H94" s="4">
        <f t="shared" si="15"/>
        <v>75</v>
      </c>
      <c r="I94" s="3">
        <f t="shared" si="11"/>
        <v>0</v>
      </c>
      <c r="J94" s="3">
        <f t="shared" si="12"/>
        <v>0</v>
      </c>
      <c r="K94" s="3">
        <f t="shared" si="13"/>
        <v>0</v>
      </c>
      <c r="L94" s="3">
        <f t="shared" si="14"/>
        <v>0.19073486328125</v>
      </c>
    </row>
    <row r="95" spans="1:12" x14ac:dyDescent="0.2">
      <c r="A95" t="s">
        <v>34</v>
      </c>
      <c r="B95">
        <v>1767073575</v>
      </c>
      <c r="C95" t="s">
        <v>15</v>
      </c>
      <c r="D95" t="s">
        <v>69</v>
      </c>
      <c r="E95" s="3">
        <f t="shared" si="8"/>
        <v>3967.28515625</v>
      </c>
      <c r="F95" s="3">
        <f t="shared" si="9"/>
        <v>3986.358642578125</v>
      </c>
      <c r="G95" s="3">
        <f t="shared" si="10"/>
        <v>7953.643798828125</v>
      </c>
      <c r="H95" s="4">
        <f t="shared" si="15"/>
        <v>75</v>
      </c>
      <c r="I95" s="3">
        <f t="shared" si="11"/>
        <v>0</v>
      </c>
      <c r="J95" s="3">
        <f t="shared" si="12"/>
        <v>0</v>
      </c>
      <c r="K95" s="3">
        <f t="shared" si="13"/>
        <v>0</v>
      </c>
      <c r="L95" s="3">
        <f t="shared" si="14"/>
        <v>343.32275390625</v>
      </c>
    </row>
    <row r="96" spans="1:12" x14ac:dyDescent="0.2">
      <c r="A96" t="s">
        <v>34</v>
      </c>
      <c r="B96">
        <v>1767073575</v>
      </c>
      <c r="C96" t="s">
        <v>17</v>
      </c>
      <c r="D96" t="s">
        <v>72</v>
      </c>
      <c r="E96" s="3">
        <f t="shared" si="8"/>
        <v>1.430511474609375</v>
      </c>
      <c r="F96" s="3">
        <f t="shared" si="9"/>
        <v>0.72193145751953125</v>
      </c>
      <c r="G96" s="3">
        <f t="shared" si="10"/>
        <v>2.1524429321289062</v>
      </c>
      <c r="H96" s="4">
        <f t="shared" si="15"/>
        <v>75</v>
      </c>
      <c r="I96" s="3">
        <f t="shared" si="11"/>
        <v>9.5367431640625E-3</v>
      </c>
      <c r="J96" s="3">
        <f t="shared" si="12"/>
        <v>1.9073486328125E-3</v>
      </c>
      <c r="K96" s="3">
        <f t="shared" si="13"/>
        <v>1.1444091796875E-2</v>
      </c>
      <c r="L96" s="3">
        <f t="shared" si="14"/>
        <v>0.17547607421875</v>
      </c>
    </row>
    <row r="97" spans="1:12" x14ac:dyDescent="0.2">
      <c r="A97" t="s">
        <v>34</v>
      </c>
      <c r="B97">
        <v>1767073575</v>
      </c>
      <c r="C97" t="s">
        <v>19</v>
      </c>
      <c r="D97" t="s">
        <v>71</v>
      </c>
      <c r="E97" s="3">
        <f t="shared" si="8"/>
        <v>3976.8218994140625</v>
      </c>
      <c r="F97" s="3">
        <f t="shared" si="9"/>
        <v>236.51123046875</v>
      </c>
      <c r="G97" s="3">
        <f t="shared" si="10"/>
        <v>4213.3331298828125</v>
      </c>
      <c r="H97" s="4">
        <f t="shared" si="15"/>
        <v>75</v>
      </c>
      <c r="I97" s="3">
        <f t="shared" si="11"/>
        <v>0</v>
      </c>
      <c r="J97" s="3">
        <f t="shared" si="12"/>
        <v>0</v>
      </c>
      <c r="K97" s="3">
        <f t="shared" si="13"/>
        <v>0</v>
      </c>
      <c r="L97" s="3">
        <f t="shared" si="14"/>
        <v>338.55438232421875</v>
      </c>
    </row>
    <row r="98" spans="1:12" x14ac:dyDescent="0.2">
      <c r="A98" t="s">
        <v>73</v>
      </c>
      <c r="B98">
        <v>1767073603</v>
      </c>
      <c r="C98" t="s">
        <v>13</v>
      </c>
      <c r="D98" t="s">
        <v>74</v>
      </c>
      <c r="E98" s="3">
        <f t="shared" si="8"/>
        <v>21.457672119140625</v>
      </c>
      <c r="F98" s="3">
        <f t="shared" si="9"/>
        <v>4777.9083251953125</v>
      </c>
      <c r="G98" s="3">
        <f t="shared" si="10"/>
        <v>4799.3659973144531</v>
      </c>
      <c r="H98" s="4">
        <f t="shared" si="15"/>
        <v>0</v>
      </c>
      <c r="I98" s="3">
        <f t="shared" si="11"/>
        <v>0</v>
      </c>
      <c r="J98" s="3">
        <f t="shared" si="12"/>
        <v>0</v>
      </c>
      <c r="K98" s="3">
        <f t="shared" si="13"/>
        <v>0</v>
      </c>
      <c r="L98" s="3">
        <f t="shared" si="14"/>
        <v>0</v>
      </c>
    </row>
    <row r="99" spans="1:12" x14ac:dyDescent="0.2">
      <c r="A99" t="s">
        <v>73</v>
      </c>
      <c r="B99">
        <v>1767073603</v>
      </c>
      <c r="C99" t="s">
        <v>15</v>
      </c>
      <c r="D99" t="s">
        <v>75</v>
      </c>
      <c r="E99" s="3">
        <f t="shared" si="8"/>
        <v>5006.7901611328125</v>
      </c>
      <c r="F99" s="3">
        <f t="shared" si="9"/>
        <v>3995.8953857421875</v>
      </c>
      <c r="G99" s="3">
        <f t="shared" si="10"/>
        <v>9002.685546875</v>
      </c>
      <c r="H99" s="4">
        <f t="shared" si="15"/>
        <v>0</v>
      </c>
      <c r="I99" s="3">
        <f t="shared" si="11"/>
        <v>0</v>
      </c>
      <c r="J99" s="3">
        <f t="shared" si="12"/>
        <v>0</v>
      </c>
      <c r="K99" s="3">
        <f t="shared" si="13"/>
        <v>0</v>
      </c>
      <c r="L99" s="3">
        <f t="shared" si="14"/>
        <v>0</v>
      </c>
    </row>
    <row r="100" spans="1:12" x14ac:dyDescent="0.2">
      <c r="A100" t="s">
        <v>73</v>
      </c>
      <c r="B100">
        <v>1767073603</v>
      </c>
      <c r="C100" t="s">
        <v>17</v>
      </c>
      <c r="D100" t="s">
        <v>76</v>
      </c>
      <c r="E100" s="3">
        <f t="shared" si="8"/>
        <v>1.4400482177734375</v>
      </c>
      <c r="F100" s="3">
        <f t="shared" si="9"/>
        <v>0.7266998291015625</v>
      </c>
      <c r="G100" s="3">
        <f t="shared" si="10"/>
        <v>2.166748046875</v>
      </c>
      <c r="H100" s="4">
        <f t="shared" si="15"/>
        <v>0</v>
      </c>
      <c r="I100" s="3">
        <f t="shared" si="11"/>
        <v>0</v>
      </c>
      <c r="J100" s="3">
        <f t="shared" si="12"/>
        <v>0</v>
      </c>
      <c r="K100" s="3">
        <f t="shared" si="13"/>
        <v>0</v>
      </c>
      <c r="L100" s="3">
        <f t="shared" si="14"/>
        <v>0</v>
      </c>
    </row>
    <row r="101" spans="1:12" x14ac:dyDescent="0.2">
      <c r="A101" t="s">
        <v>73</v>
      </c>
      <c r="B101">
        <v>1767073603</v>
      </c>
      <c r="C101" t="s">
        <v>19</v>
      </c>
      <c r="D101" t="s">
        <v>71</v>
      </c>
      <c r="E101" s="3">
        <f t="shared" si="8"/>
        <v>3976.8218994140625</v>
      </c>
      <c r="F101" s="3">
        <f t="shared" si="9"/>
        <v>236.51123046875</v>
      </c>
      <c r="G101" s="3">
        <f t="shared" si="10"/>
        <v>4213.3331298828125</v>
      </c>
      <c r="H101" s="4">
        <f t="shared" si="15"/>
        <v>0</v>
      </c>
      <c r="I101" s="3">
        <f t="shared" si="11"/>
        <v>0</v>
      </c>
      <c r="J101" s="3">
        <f t="shared" si="12"/>
        <v>0</v>
      </c>
      <c r="K101" s="3">
        <f t="shared" si="13"/>
        <v>0</v>
      </c>
      <c r="L101" s="3">
        <f t="shared" si="14"/>
        <v>0</v>
      </c>
    </row>
    <row r="102" spans="1:12" x14ac:dyDescent="0.2">
      <c r="A102" t="s">
        <v>73</v>
      </c>
      <c r="B102">
        <v>1767073611</v>
      </c>
      <c r="C102" t="s">
        <v>13</v>
      </c>
      <c r="D102" t="s">
        <v>77</v>
      </c>
      <c r="E102" s="3">
        <f t="shared" si="8"/>
        <v>21.55303955078125</v>
      </c>
      <c r="F102" s="3">
        <f t="shared" si="9"/>
        <v>4777.9083251953125</v>
      </c>
      <c r="G102" s="3">
        <f t="shared" si="10"/>
        <v>4799.4613647460938</v>
      </c>
      <c r="H102" s="4">
        <f t="shared" si="15"/>
        <v>5</v>
      </c>
      <c r="I102" s="3">
        <f t="shared" si="11"/>
        <v>9.5367431640625E-2</v>
      </c>
      <c r="J102" s="3">
        <f t="shared" si="12"/>
        <v>0</v>
      </c>
      <c r="K102" s="3">
        <f t="shared" si="13"/>
        <v>9.5367431640625E-2</v>
      </c>
      <c r="L102" s="3">
        <f t="shared" si="14"/>
        <v>9.5367431640625E-2</v>
      </c>
    </row>
    <row r="103" spans="1:12" x14ac:dyDescent="0.2">
      <c r="A103" t="s">
        <v>73</v>
      </c>
      <c r="B103">
        <v>1767073611</v>
      </c>
      <c r="C103" t="s">
        <v>15</v>
      </c>
      <c r="D103" t="s">
        <v>75</v>
      </c>
      <c r="E103" s="3">
        <f t="shared" si="8"/>
        <v>5006.7901611328125</v>
      </c>
      <c r="F103" s="3">
        <f t="shared" si="9"/>
        <v>3995.8953857421875</v>
      </c>
      <c r="G103" s="3">
        <f t="shared" si="10"/>
        <v>9002.685546875</v>
      </c>
      <c r="H103" s="4">
        <f t="shared" si="15"/>
        <v>5</v>
      </c>
      <c r="I103" s="3">
        <f t="shared" si="11"/>
        <v>0</v>
      </c>
      <c r="J103" s="3">
        <f t="shared" si="12"/>
        <v>0</v>
      </c>
      <c r="K103" s="3">
        <f t="shared" si="13"/>
        <v>0</v>
      </c>
      <c r="L103" s="3">
        <f t="shared" si="14"/>
        <v>0</v>
      </c>
    </row>
    <row r="104" spans="1:12" x14ac:dyDescent="0.2">
      <c r="A104" t="s">
        <v>73</v>
      </c>
      <c r="B104">
        <v>1767073611</v>
      </c>
      <c r="C104" t="s">
        <v>17</v>
      </c>
      <c r="D104" t="s">
        <v>78</v>
      </c>
      <c r="E104" s="3">
        <f t="shared" si="8"/>
        <v>1.4495849609375</v>
      </c>
      <c r="F104" s="3">
        <f t="shared" si="9"/>
        <v>0.73719024658203125</v>
      </c>
      <c r="G104" s="3">
        <f t="shared" si="10"/>
        <v>2.1867752075195312</v>
      </c>
      <c r="H104" s="4">
        <f t="shared" si="15"/>
        <v>5</v>
      </c>
      <c r="I104" s="3">
        <f t="shared" si="11"/>
        <v>9.5367431640625E-3</v>
      </c>
      <c r="J104" s="3">
        <f t="shared" si="12"/>
        <v>1.049041748046875E-2</v>
      </c>
      <c r="K104" s="3">
        <f t="shared" si="13"/>
        <v>2.002716064453125E-2</v>
      </c>
      <c r="L104" s="3">
        <f t="shared" si="14"/>
        <v>2.002716064453125E-2</v>
      </c>
    </row>
    <row r="105" spans="1:12" x14ac:dyDescent="0.2">
      <c r="A105" t="s">
        <v>73</v>
      </c>
      <c r="B105">
        <v>1767073611</v>
      </c>
      <c r="C105" t="s">
        <v>19</v>
      </c>
      <c r="D105" t="s">
        <v>71</v>
      </c>
      <c r="E105" s="3">
        <f t="shared" si="8"/>
        <v>3976.8218994140625</v>
      </c>
      <c r="F105" s="3">
        <f t="shared" si="9"/>
        <v>236.51123046875</v>
      </c>
      <c r="G105" s="3">
        <f t="shared" si="10"/>
        <v>4213.3331298828125</v>
      </c>
      <c r="H105" s="4">
        <f t="shared" si="15"/>
        <v>5</v>
      </c>
      <c r="I105" s="3">
        <f t="shared" si="11"/>
        <v>0</v>
      </c>
      <c r="J105" s="3">
        <f t="shared" si="12"/>
        <v>0</v>
      </c>
      <c r="K105" s="3">
        <f t="shared" si="13"/>
        <v>0</v>
      </c>
      <c r="L105" s="3">
        <f t="shared" si="14"/>
        <v>0</v>
      </c>
    </row>
    <row r="106" spans="1:12" x14ac:dyDescent="0.2">
      <c r="A106" t="s">
        <v>73</v>
      </c>
      <c r="B106">
        <v>1767073618</v>
      </c>
      <c r="C106" t="s">
        <v>13</v>
      </c>
      <c r="D106" t="s">
        <v>77</v>
      </c>
      <c r="E106" s="3">
        <f t="shared" si="8"/>
        <v>21.55303955078125</v>
      </c>
      <c r="F106" s="3">
        <f t="shared" si="9"/>
        <v>4777.9083251953125</v>
      </c>
      <c r="G106" s="3">
        <f t="shared" si="10"/>
        <v>4799.4613647460938</v>
      </c>
      <c r="H106" s="4">
        <f t="shared" si="15"/>
        <v>10</v>
      </c>
      <c r="I106" s="3">
        <f t="shared" si="11"/>
        <v>0</v>
      </c>
      <c r="J106" s="3">
        <f t="shared" si="12"/>
        <v>0</v>
      </c>
      <c r="K106" s="3">
        <f t="shared" si="13"/>
        <v>0</v>
      </c>
      <c r="L106" s="3">
        <f t="shared" si="14"/>
        <v>9.5367431640625E-2</v>
      </c>
    </row>
    <row r="107" spans="1:12" x14ac:dyDescent="0.2">
      <c r="A107" t="s">
        <v>73</v>
      </c>
      <c r="B107">
        <v>1767073618</v>
      </c>
      <c r="C107" t="s">
        <v>15</v>
      </c>
      <c r="D107" t="s">
        <v>79</v>
      </c>
      <c r="E107" s="3">
        <f t="shared" si="8"/>
        <v>5016.326904296875</v>
      </c>
      <c r="F107" s="3">
        <f t="shared" si="9"/>
        <v>3995.8953857421875</v>
      </c>
      <c r="G107" s="3">
        <f t="shared" si="10"/>
        <v>9012.2222900390625</v>
      </c>
      <c r="H107" s="4">
        <f t="shared" si="15"/>
        <v>10</v>
      </c>
      <c r="I107" s="3">
        <f t="shared" si="11"/>
        <v>9.5367431640625</v>
      </c>
      <c r="J107" s="3">
        <f t="shared" si="12"/>
        <v>0</v>
      </c>
      <c r="K107" s="3">
        <f t="shared" si="13"/>
        <v>9.5367431640625</v>
      </c>
      <c r="L107" s="3">
        <f t="shared" si="14"/>
        <v>9.5367431640625</v>
      </c>
    </row>
    <row r="108" spans="1:12" x14ac:dyDescent="0.2">
      <c r="A108" t="s">
        <v>73</v>
      </c>
      <c r="B108">
        <v>1767073618</v>
      </c>
      <c r="C108" t="s">
        <v>17</v>
      </c>
      <c r="D108" t="s">
        <v>80</v>
      </c>
      <c r="E108" s="3">
        <f t="shared" si="8"/>
        <v>1.4591217041015625</v>
      </c>
      <c r="F108" s="3">
        <f t="shared" si="9"/>
        <v>0.7457733154296875</v>
      </c>
      <c r="G108" s="3">
        <f t="shared" si="10"/>
        <v>2.20489501953125</v>
      </c>
      <c r="H108" s="4">
        <f t="shared" si="15"/>
        <v>10</v>
      </c>
      <c r="I108" s="3">
        <f t="shared" si="11"/>
        <v>9.5367431640625E-3</v>
      </c>
      <c r="J108" s="3">
        <f t="shared" si="12"/>
        <v>8.58306884765625E-3</v>
      </c>
      <c r="K108" s="3">
        <f t="shared" si="13"/>
        <v>1.811981201171875E-2</v>
      </c>
      <c r="L108" s="3">
        <f t="shared" si="14"/>
        <v>3.814697265625E-2</v>
      </c>
    </row>
    <row r="109" spans="1:12" x14ac:dyDescent="0.2">
      <c r="A109" t="s">
        <v>73</v>
      </c>
      <c r="B109">
        <v>1767073618</v>
      </c>
      <c r="C109" t="s">
        <v>19</v>
      </c>
      <c r="D109" t="s">
        <v>81</v>
      </c>
      <c r="E109" s="3">
        <f t="shared" si="8"/>
        <v>3976.8218994140625</v>
      </c>
      <c r="F109" s="3">
        <f t="shared" si="9"/>
        <v>237.46490478515625</v>
      </c>
      <c r="G109" s="3">
        <f t="shared" si="10"/>
        <v>4214.2868041992188</v>
      </c>
      <c r="H109" s="4">
        <f t="shared" si="15"/>
        <v>10</v>
      </c>
      <c r="I109" s="3">
        <f t="shared" si="11"/>
        <v>0</v>
      </c>
      <c r="J109" s="3">
        <f t="shared" si="12"/>
        <v>0.95367431640625</v>
      </c>
      <c r="K109" s="3">
        <f t="shared" si="13"/>
        <v>0.95367431640625</v>
      </c>
      <c r="L109" s="3">
        <f t="shared" si="14"/>
        <v>0.95367431640625</v>
      </c>
    </row>
    <row r="110" spans="1:12" x14ac:dyDescent="0.2">
      <c r="A110" t="s">
        <v>73</v>
      </c>
      <c r="B110">
        <v>1767073626</v>
      </c>
      <c r="C110" t="s">
        <v>13</v>
      </c>
      <c r="D110" t="s">
        <v>77</v>
      </c>
      <c r="E110" s="3">
        <f t="shared" si="8"/>
        <v>21.55303955078125</v>
      </c>
      <c r="F110" s="3">
        <f t="shared" si="9"/>
        <v>4777.9083251953125</v>
      </c>
      <c r="G110" s="3">
        <f t="shared" si="10"/>
        <v>4799.4613647460938</v>
      </c>
      <c r="H110" s="4">
        <f t="shared" si="15"/>
        <v>15</v>
      </c>
      <c r="I110" s="3">
        <f t="shared" si="11"/>
        <v>0</v>
      </c>
      <c r="J110" s="3">
        <f t="shared" si="12"/>
        <v>0</v>
      </c>
      <c r="K110" s="3">
        <f t="shared" si="13"/>
        <v>0</v>
      </c>
      <c r="L110" s="3">
        <f t="shared" si="14"/>
        <v>9.5367431640625E-2</v>
      </c>
    </row>
    <row r="111" spans="1:12" x14ac:dyDescent="0.2">
      <c r="A111" t="s">
        <v>73</v>
      </c>
      <c r="B111">
        <v>1767073626</v>
      </c>
      <c r="C111" t="s">
        <v>15</v>
      </c>
      <c r="D111" t="s">
        <v>82</v>
      </c>
      <c r="E111" s="3">
        <f t="shared" si="8"/>
        <v>5016.326904296875</v>
      </c>
      <c r="F111" s="3">
        <f t="shared" si="9"/>
        <v>4053.1158447265625</v>
      </c>
      <c r="G111" s="3">
        <f t="shared" si="10"/>
        <v>9069.4427490234375</v>
      </c>
      <c r="H111" s="4">
        <f t="shared" si="15"/>
        <v>15</v>
      </c>
      <c r="I111" s="3">
        <f t="shared" si="11"/>
        <v>0</v>
      </c>
      <c r="J111" s="3">
        <f t="shared" si="12"/>
        <v>57.220458984375</v>
      </c>
      <c r="K111" s="3">
        <f t="shared" si="13"/>
        <v>57.220458984375</v>
      </c>
      <c r="L111" s="3">
        <f t="shared" si="14"/>
        <v>66.7572021484375</v>
      </c>
    </row>
    <row r="112" spans="1:12" x14ac:dyDescent="0.2">
      <c r="A112" t="s">
        <v>73</v>
      </c>
      <c r="B112">
        <v>1767073626</v>
      </c>
      <c r="C112" t="s">
        <v>17</v>
      </c>
      <c r="D112" t="s">
        <v>83</v>
      </c>
      <c r="E112" s="3">
        <f t="shared" si="8"/>
        <v>1.4591217041015625</v>
      </c>
      <c r="F112" s="3">
        <f t="shared" si="9"/>
        <v>0.7476806640625</v>
      </c>
      <c r="G112" s="3">
        <f t="shared" si="10"/>
        <v>2.2068023681640625</v>
      </c>
      <c r="H112" s="4">
        <f t="shared" si="15"/>
        <v>15</v>
      </c>
      <c r="I112" s="3">
        <f t="shared" si="11"/>
        <v>0</v>
      </c>
      <c r="J112" s="3">
        <f t="shared" si="12"/>
        <v>1.9073486328125E-3</v>
      </c>
      <c r="K112" s="3">
        <f t="shared" si="13"/>
        <v>1.9073486328125E-3</v>
      </c>
      <c r="L112" s="3">
        <f t="shared" si="14"/>
        <v>4.00543212890625E-2</v>
      </c>
    </row>
    <row r="113" spans="1:12" x14ac:dyDescent="0.2">
      <c r="A113" t="s">
        <v>73</v>
      </c>
      <c r="B113">
        <v>1767073626</v>
      </c>
      <c r="C113" t="s">
        <v>19</v>
      </c>
      <c r="D113" t="s">
        <v>84</v>
      </c>
      <c r="E113" s="3">
        <f t="shared" si="8"/>
        <v>4034.0423583984375</v>
      </c>
      <c r="F113" s="3">
        <f t="shared" si="9"/>
        <v>237.46490478515625</v>
      </c>
      <c r="G113" s="3">
        <f t="shared" si="10"/>
        <v>4271.5072631835938</v>
      </c>
      <c r="H113" s="4">
        <f t="shared" si="15"/>
        <v>15</v>
      </c>
      <c r="I113" s="3">
        <f t="shared" si="11"/>
        <v>57.220458984375</v>
      </c>
      <c r="J113" s="3">
        <f t="shared" si="12"/>
        <v>0</v>
      </c>
      <c r="K113" s="3">
        <f t="shared" si="13"/>
        <v>57.220458984375</v>
      </c>
      <c r="L113" s="3">
        <f t="shared" si="14"/>
        <v>58.17413330078125</v>
      </c>
    </row>
    <row r="114" spans="1:12" x14ac:dyDescent="0.2">
      <c r="A114" t="s">
        <v>73</v>
      </c>
      <c r="B114">
        <v>1767073633</v>
      </c>
      <c r="C114" t="s">
        <v>13</v>
      </c>
      <c r="D114" t="s">
        <v>77</v>
      </c>
      <c r="E114" s="3">
        <f t="shared" si="8"/>
        <v>21.55303955078125</v>
      </c>
      <c r="F114" s="3">
        <f t="shared" si="9"/>
        <v>4777.9083251953125</v>
      </c>
      <c r="G114" s="3">
        <f t="shared" si="10"/>
        <v>4799.4613647460938</v>
      </c>
      <c r="H114" s="4">
        <f t="shared" si="15"/>
        <v>20</v>
      </c>
      <c r="I114" s="3">
        <f t="shared" si="11"/>
        <v>0</v>
      </c>
      <c r="J114" s="3">
        <f t="shared" si="12"/>
        <v>0</v>
      </c>
      <c r="K114" s="3">
        <f t="shared" si="13"/>
        <v>0</v>
      </c>
      <c r="L114" s="3">
        <f t="shared" si="14"/>
        <v>9.5367431640625E-2</v>
      </c>
    </row>
    <row r="115" spans="1:12" x14ac:dyDescent="0.2">
      <c r="A115" t="s">
        <v>73</v>
      </c>
      <c r="B115">
        <v>1767073633</v>
      </c>
      <c r="C115" t="s">
        <v>15</v>
      </c>
      <c r="D115" t="s">
        <v>85</v>
      </c>
      <c r="E115" s="3">
        <f t="shared" si="8"/>
        <v>5016.326904296875</v>
      </c>
      <c r="F115" s="3">
        <f t="shared" si="9"/>
        <v>4100.799560546875</v>
      </c>
      <c r="G115" s="3">
        <f t="shared" si="10"/>
        <v>9117.12646484375</v>
      </c>
      <c r="H115" s="4">
        <f t="shared" si="15"/>
        <v>20</v>
      </c>
      <c r="I115" s="3">
        <f t="shared" si="11"/>
        <v>0</v>
      </c>
      <c r="J115" s="3">
        <f t="shared" si="12"/>
        <v>47.6837158203125</v>
      </c>
      <c r="K115" s="3">
        <f t="shared" si="13"/>
        <v>47.6837158203125</v>
      </c>
      <c r="L115" s="3">
        <f t="shared" si="14"/>
        <v>114.44091796875</v>
      </c>
    </row>
    <row r="116" spans="1:12" x14ac:dyDescent="0.2">
      <c r="A116" t="s">
        <v>73</v>
      </c>
      <c r="B116">
        <v>1767073633</v>
      </c>
      <c r="C116" t="s">
        <v>17</v>
      </c>
      <c r="D116" t="s">
        <v>86</v>
      </c>
      <c r="E116" s="3">
        <f t="shared" si="8"/>
        <v>1.468658447265625</v>
      </c>
      <c r="F116" s="3">
        <f t="shared" si="9"/>
        <v>0.7495880126953125</v>
      </c>
      <c r="G116" s="3">
        <f t="shared" si="10"/>
        <v>2.2182464599609375</v>
      </c>
      <c r="H116" s="4">
        <f t="shared" si="15"/>
        <v>20</v>
      </c>
      <c r="I116" s="3">
        <f t="shared" si="11"/>
        <v>9.5367431640625E-3</v>
      </c>
      <c r="J116" s="3">
        <f t="shared" si="12"/>
        <v>1.9073486328125E-3</v>
      </c>
      <c r="K116" s="3">
        <f t="shared" si="13"/>
        <v>1.1444091796875E-2</v>
      </c>
      <c r="L116" s="3">
        <f t="shared" si="14"/>
        <v>5.14984130859375E-2</v>
      </c>
    </row>
    <row r="117" spans="1:12" x14ac:dyDescent="0.2">
      <c r="A117" t="s">
        <v>73</v>
      </c>
      <c r="B117">
        <v>1767073633</v>
      </c>
      <c r="C117" t="s">
        <v>19</v>
      </c>
      <c r="D117" t="s">
        <v>87</v>
      </c>
      <c r="E117" s="3">
        <f t="shared" si="8"/>
        <v>4091.2628173828125</v>
      </c>
      <c r="F117" s="3">
        <f t="shared" si="9"/>
        <v>237.46490478515625</v>
      </c>
      <c r="G117" s="3">
        <f t="shared" si="10"/>
        <v>4328.7277221679688</v>
      </c>
      <c r="H117" s="4">
        <f t="shared" si="15"/>
        <v>20</v>
      </c>
      <c r="I117" s="3">
        <f t="shared" si="11"/>
        <v>57.220458984375</v>
      </c>
      <c r="J117" s="3">
        <f t="shared" si="12"/>
        <v>0</v>
      </c>
      <c r="K117" s="3">
        <f t="shared" si="13"/>
        <v>57.220458984375</v>
      </c>
      <c r="L117" s="3">
        <f t="shared" si="14"/>
        <v>115.39459228515625</v>
      </c>
    </row>
    <row r="118" spans="1:12" x14ac:dyDescent="0.2">
      <c r="A118" t="s">
        <v>73</v>
      </c>
      <c r="B118">
        <v>1767073641</v>
      </c>
      <c r="C118" t="s">
        <v>13</v>
      </c>
      <c r="D118" t="s">
        <v>77</v>
      </c>
      <c r="E118" s="3">
        <f t="shared" si="8"/>
        <v>21.55303955078125</v>
      </c>
      <c r="F118" s="3">
        <f t="shared" si="9"/>
        <v>4777.9083251953125</v>
      </c>
      <c r="G118" s="3">
        <f t="shared" si="10"/>
        <v>4799.4613647460938</v>
      </c>
      <c r="H118" s="4">
        <f t="shared" si="15"/>
        <v>25</v>
      </c>
      <c r="I118" s="3">
        <f t="shared" si="11"/>
        <v>0</v>
      </c>
      <c r="J118" s="3">
        <f t="shared" si="12"/>
        <v>0</v>
      </c>
      <c r="K118" s="3">
        <f t="shared" si="13"/>
        <v>0</v>
      </c>
      <c r="L118" s="3">
        <f t="shared" si="14"/>
        <v>9.5367431640625E-2</v>
      </c>
    </row>
    <row r="119" spans="1:12" x14ac:dyDescent="0.2">
      <c r="A119" t="s">
        <v>73</v>
      </c>
      <c r="B119">
        <v>1767073641</v>
      </c>
      <c r="C119" t="s">
        <v>15</v>
      </c>
      <c r="D119" t="s">
        <v>88</v>
      </c>
      <c r="E119" s="3">
        <f t="shared" si="8"/>
        <v>5016.326904296875</v>
      </c>
      <c r="F119" s="3">
        <f t="shared" si="9"/>
        <v>4129.4097900390625</v>
      </c>
      <c r="G119" s="3">
        <f t="shared" si="10"/>
        <v>9145.7366943359375</v>
      </c>
      <c r="H119" s="4">
        <f t="shared" si="15"/>
        <v>25</v>
      </c>
      <c r="I119" s="3">
        <f t="shared" si="11"/>
        <v>0</v>
      </c>
      <c r="J119" s="3">
        <f t="shared" si="12"/>
        <v>28.6102294921875</v>
      </c>
      <c r="K119" s="3">
        <f t="shared" si="13"/>
        <v>28.6102294921875</v>
      </c>
      <c r="L119" s="3">
        <f t="shared" si="14"/>
        <v>143.0511474609375</v>
      </c>
    </row>
    <row r="120" spans="1:12" x14ac:dyDescent="0.2">
      <c r="A120" t="s">
        <v>73</v>
      </c>
      <c r="B120">
        <v>1767073641</v>
      </c>
      <c r="C120" t="s">
        <v>17</v>
      </c>
      <c r="D120" t="s">
        <v>89</v>
      </c>
      <c r="E120" s="3">
        <f t="shared" si="8"/>
        <v>1.4781951904296875</v>
      </c>
      <c r="F120" s="3">
        <f t="shared" si="9"/>
        <v>0.75054168701171875</v>
      </c>
      <c r="G120" s="3">
        <f t="shared" si="10"/>
        <v>2.2287368774414062</v>
      </c>
      <c r="H120" s="4">
        <f t="shared" si="15"/>
        <v>25</v>
      </c>
      <c r="I120" s="3">
        <f t="shared" si="11"/>
        <v>9.5367431640625E-3</v>
      </c>
      <c r="J120" s="3">
        <f t="shared" si="12"/>
        <v>9.5367431640625E-4</v>
      </c>
      <c r="K120" s="3">
        <f t="shared" si="13"/>
        <v>1.049041748046875E-2</v>
      </c>
      <c r="L120" s="3">
        <f t="shared" si="14"/>
        <v>6.198883056640625E-2</v>
      </c>
    </row>
    <row r="121" spans="1:12" x14ac:dyDescent="0.2">
      <c r="A121" t="s">
        <v>73</v>
      </c>
      <c r="B121">
        <v>1767073641</v>
      </c>
      <c r="C121" t="s">
        <v>19</v>
      </c>
      <c r="D121" t="s">
        <v>90</v>
      </c>
      <c r="E121" s="3">
        <f t="shared" si="8"/>
        <v>4110.3363037109375</v>
      </c>
      <c r="F121" s="3">
        <f t="shared" si="9"/>
        <v>237.46490478515625</v>
      </c>
      <c r="G121" s="3">
        <f t="shared" si="10"/>
        <v>4347.8012084960938</v>
      </c>
      <c r="H121" s="4">
        <f t="shared" si="15"/>
        <v>25</v>
      </c>
      <c r="I121" s="3">
        <f t="shared" si="11"/>
        <v>19.073486328125</v>
      </c>
      <c r="J121" s="3">
        <f t="shared" si="12"/>
        <v>0</v>
      </c>
      <c r="K121" s="3">
        <f t="shared" si="13"/>
        <v>19.073486328125</v>
      </c>
      <c r="L121" s="3">
        <f t="shared" si="14"/>
        <v>134.46807861328125</v>
      </c>
    </row>
    <row r="122" spans="1:12" x14ac:dyDescent="0.2">
      <c r="A122" t="s">
        <v>73</v>
      </c>
      <c r="B122">
        <v>1767073648</v>
      </c>
      <c r="C122" t="s">
        <v>13</v>
      </c>
      <c r="D122" t="s">
        <v>77</v>
      </c>
      <c r="E122" s="3">
        <f t="shared" si="8"/>
        <v>21.55303955078125</v>
      </c>
      <c r="F122" s="3">
        <f t="shared" si="9"/>
        <v>4777.9083251953125</v>
      </c>
      <c r="G122" s="3">
        <f t="shared" si="10"/>
        <v>4799.4613647460938</v>
      </c>
      <c r="H122" s="4">
        <f t="shared" si="15"/>
        <v>30</v>
      </c>
      <c r="I122" s="3">
        <f t="shared" si="11"/>
        <v>0</v>
      </c>
      <c r="J122" s="3">
        <f t="shared" si="12"/>
        <v>0</v>
      </c>
      <c r="K122" s="3">
        <f t="shared" si="13"/>
        <v>0</v>
      </c>
      <c r="L122" s="3">
        <f t="shared" si="14"/>
        <v>9.5367431640625E-2</v>
      </c>
    </row>
    <row r="123" spans="1:12" x14ac:dyDescent="0.2">
      <c r="A123" t="s">
        <v>73</v>
      </c>
      <c r="B123">
        <v>1767073648</v>
      </c>
      <c r="C123" t="s">
        <v>15</v>
      </c>
      <c r="D123" t="s">
        <v>91</v>
      </c>
      <c r="E123" s="3">
        <f t="shared" si="8"/>
        <v>5016.326904296875</v>
      </c>
      <c r="F123" s="3">
        <f t="shared" si="9"/>
        <v>4158.02001953125</v>
      </c>
      <c r="G123" s="3">
        <f t="shared" si="10"/>
        <v>9174.346923828125</v>
      </c>
      <c r="H123" s="4">
        <f t="shared" si="15"/>
        <v>30</v>
      </c>
      <c r="I123" s="3">
        <f t="shared" si="11"/>
        <v>0</v>
      </c>
      <c r="J123" s="3">
        <f t="shared" si="12"/>
        <v>28.6102294921875</v>
      </c>
      <c r="K123" s="3">
        <f t="shared" si="13"/>
        <v>28.6102294921875</v>
      </c>
      <c r="L123" s="3">
        <f t="shared" si="14"/>
        <v>171.661376953125</v>
      </c>
    </row>
    <row r="124" spans="1:12" x14ac:dyDescent="0.2">
      <c r="A124" t="s">
        <v>73</v>
      </c>
      <c r="B124">
        <v>1767073648</v>
      </c>
      <c r="C124" t="s">
        <v>17</v>
      </c>
      <c r="D124" t="s">
        <v>92</v>
      </c>
      <c r="E124" s="3">
        <f t="shared" si="8"/>
        <v>1.48773193359375</v>
      </c>
      <c r="F124" s="3">
        <f t="shared" si="9"/>
        <v>0.7534027099609375</v>
      </c>
      <c r="G124" s="3">
        <f t="shared" si="10"/>
        <v>2.2411346435546875</v>
      </c>
      <c r="H124" s="4">
        <f t="shared" si="15"/>
        <v>30</v>
      </c>
      <c r="I124" s="3">
        <f t="shared" si="11"/>
        <v>9.5367431640625E-3</v>
      </c>
      <c r="J124" s="3">
        <f t="shared" si="12"/>
        <v>2.86102294921875E-3</v>
      </c>
      <c r="K124" s="3">
        <f t="shared" si="13"/>
        <v>1.239776611328125E-2</v>
      </c>
      <c r="L124" s="3">
        <f t="shared" si="14"/>
        <v>7.43865966796875E-2</v>
      </c>
    </row>
    <row r="125" spans="1:12" x14ac:dyDescent="0.2">
      <c r="A125" t="s">
        <v>73</v>
      </c>
      <c r="B125">
        <v>1767073648</v>
      </c>
      <c r="C125" t="s">
        <v>19</v>
      </c>
      <c r="D125" t="s">
        <v>93</v>
      </c>
      <c r="E125" s="3">
        <f t="shared" si="8"/>
        <v>4138.946533203125</v>
      </c>
      <c r="F125" s="3">
        <f t="shared" si="9"/>
        <v>237.46490478515625</v>
      </c>
      <c r="G125" s="3">
        <f t="shared" si="10"/>
        <v>4376.4114379882812</v>
      </c>
      <c r="H125" s="4">
        <f t="shared" si="15"/>
        <v>30</v>
      </c>
      <c r="I125" s="3">
        <f t="shared" si="11"/>
        <v>28.6102294921875</v>
      </c>
      <c r="J125" s="3">
        <f t="shared" si="12"/>
        <v>0</v>
      </c>
      <c r="K125" s="3">
        <f t="shared" si="13"/>
        <v>28.6102294921875</v>
      </c>
      <c r="L125" s="3">
        <f t="shared" si="14"/>
        <v>163.07830810546875</v>
      </c>
    </row>
    <row r="126" spans="1:12" x14ac:dyDescent="0.2">
      <c r="A126" t="s">
        <v>73</v>
      </c>
      <c r="B126">
        <v>1767073656</v>
      </c>
      <c r="C126" t="s">
        <v>13</v>
      </c>
      <c r="D126" t="s">
        <v>77</v>
      </c>
      <c r="E126" s="3">
        <f t="shared" si="8"/>
        <v>21.55303955078125</v>
      </c>
      <c r="F126" s="3">
        <f t="shared" si="9"/>
        <v>4777.9083251953125</v>
      </c>
      <c r="G126" s="3">
        <f t="shared" si="10"/>
        <v>4799.4613647460938</v>
      </c>
      <c r="H126" s="4">
        <f t="shared" si="15"/>
        <v>35</v>
      </c>
      <c r="I126" s="3">
        <f t="shared" si="11"/>
        <v>0</v>
      </c>
      <c r="J126" s="3">
        <f t="shared" si="12"/>
        <v>0</v>
      </c>
      <c r="K126" s="3">
        <f t="shared" si="13"/>
        <v>0</v>
      </c>
      <c r="L126" s="3">
        <f t="shared" si="14"/>
        <v>9.5367431640625E-2</v>
      </c>
    </row>
    <row r="127" spans="1:12" x14ac:dyDescent="0.2">
      <c r="A127" t="s">
        <v>73</v>
      </c>
      <c r="B127">
        <v>1767073656</v>
      </c>
      <c r="C127" t="s">
        <v>15</v>
      </c>
      <c r="D127" t="s">
        <v>94</v>
      </c>
      <c r="E127" s="3">
        <f t="shared" si="8"/>
        <v>5016.326904296875</v>
      </c>
      <c r="F127" s="3">
        <f t="shared" si="9"/>
        <v>4215.240478515625</v>
      </c>
      <c r="G127" s="3">
        <f t="shared" si="10"/>
        <v>9231.5673828125</v>
      </c>
      <c r="H127" s="4">
        <f t="shared" si="15"/>
        <v>35</v>
      </c>
      <c r="I127" s="3">
        <f t="shared" si="11"/>
        <v>0</v>
      </c>
      <c r="J127" s="3">
        <f t="shared" si="12"/>
        <v>57.220458984375</v>
      </c>
      <c r="K127" s="3">
        <f t="shared" si="13"/>
        <v>57.220458984375</v>
      </c>
      <c r="L127" s="3">
        <f t="shared" si="14"/>
        <v>228.8818359375</v>
      </c>
    </row>
    <row r="128" spans="1:12" x14ac:dyDescent="0.2">
      <c r="A128" t="s">
        <v>73</v>
      </c>
      <c r="B128">
        <v>1767073656</v>
      </c>
      <c r="C128" t="s">
        <v>17</v>
      </c>
      <c r="D128" t="s">
        <v>95</v>
      </c>
      <c r="E128" s="3">
        <f t="shared" si="8"/>
        <v>1.48773193359375</v>
      </c>
      <c r="F128" s="3">
        <f t="shared" si="9"/>
        <v>0.75531005859375</v>
      </c>
      <c r="G128" s="3">
        <f t="shared" si="10"/>
        <v>2.2430419921875</v>
      </c>
      <c r="H128" s="4">
        <f t="shared" si="15"/>
        <v>35</v>
      </c>
      <c r="I128" s="3">
        <f t="shared" si="11"/>
        <v>0</v>
      </c>
      <c r="J128" s="3">
        <f t="shared" si="12"/>
        <v>1.9073486328125E-3</v>
      </c>
      <c r="K128" s="3">
        <f t="shared" si="13"/>
        <v>1.9073486328125E-3</v>
      </c>
      <c r="L128" s="3">
        <f t="shared" si="14"/>
        <v>7.62939453125E-2</v>
      </c>
    </row>
    <row r="129" spans="1:12" x14ac:dyDescent="0.2">
      <c r="A129" t="s">
        <v>73</v>
      </c>
      <c r="B129">
        <v>1767073656</v>
      </c>
      <c r="C129" t="s">
        <v>19</v>
      </c>
      <c r="D129" t="s">
        <v>96</v>
      </c>
      <c r="E129" s="3">
        <f t="shared" si="8"/>
        <v>4196.1669921875</v>
      </c>
      <c r="F129" s="3">
        <f t="shared" si="9"/>
        <v>238.4185791015625</v>
      </c>
      <c r="G129" s="3">
        <f t="shared" si="10"/>
        <v>4434.5855712890625</v>
      </c>
      <c r="H129" s="4">
        <f t="shared" si="15"/>
        <v>35</v>
      </c>
      <c r="I129" s="3">
        <f t="shared" si="11"/>
        <v>57.220458984375</v>
      </c>
      <c r="J129" s="3">
        <f t="shared" si="12"/>
        <v>0.95367431640625</v>
      </c>
      <c r="K129" s="3">
        <f t="shared" si="13"/>
        <v>58.17413330078125</v>
      </c>
      <c r="L129" s="3">
        <f t="shared" si="14"/>
        <v>221.25244140625</v>
      </c>
    </row>
    <row r="130" spans="1:12" x14ac:dyDescent="0.2">
      <c r="A130" t="s">
        <v>73</v>
      </c>
      <c r="B130">
        <v>1767073662</v>
      </c>
      <c r="C130" t="s">
        <v>13</v>
      </c>
      <c r="D130" t="s">
        <v>77</v>
      </c>
      <c r="E130" s="3">
        <f t="shared" ref="E130:E193" si="16">IF(RIGHT(TRIM(LEFT($D130,FIND("/",$D130)-1)),2)="kB",VALUE(LEFT(TRIM(LEFT($D130,FIND("/",$D130)-1)),LEN(TRIM(LEFT($D130,FIND("/",$D130)-1)))-2))*1000/1024/1024,IF(RIGHT(TRIM(LEFT($D130,FIND("/",$D130)-1)),2)="MB",VALUE(LEFT(TRIM(LEFT($D130,FIND("/",$D130)-1)),LEN(TRIM(LEFT($D130,FIND("/",$D130)-1)))-2))*1000*1000/1024/1024,IF(RIGHT(TRIM(LEFT($D130,FIND("/",$D130)-1)),2)="GB",VALUE(LEFT(TRIM(LEFT($D130,FIND("/",$D130)-1)),LEN(TRIM(LEFT($D130,FIND("/",$D130)-1)))-2))*1000*1000*1000/1024/1024,0)))</f>
        <v>21.55303955078125</v>
      </c>
      <c r="F130" s="3">
        <f t="shared" ref="F130:F193" si="17">IF(RIGHT(TRIM(MID($D130,FIND("/",$D130)+1,999)),2)="kB",VALUE(LEFT(TRIM(MID($D130,FIND("/",$D130)+1,999)),LEN(TRIM(MID($D130,FIND("/",$D130)+1,999)))-2))*1000/1024/1024,IF(RIGHT(TRIM(MID($D130,FIND("/",$D130)+1,999)),2)="MB",VALUE(LEFT(TRIM(MID($D130,FIND("/",$D130)+1,999)),LEN(TRIM(MID($D130,FIND("/",$D130)+1,999)))-2))*1000*1000/1024/1024,IF(RIGHT(TRIM(MID($D130,FIND("/",$D130)+1,999)),2)="GB",VALUE(LEFT(TRIM(MID($D130,FIND("/",$D130)+1,999)),LEN(TRIM(MID($D130,FIND("/",$D130)+1,999)))-2))*1000*1000*1000/1024/1024,0)))</f>
        <v>4777.9083251953125</v>
      </c>
      <c r="G130" s="3">
        <f t="shared" ref="G130:G193" si="18">$E130+$F130</f>
        <v>4799.4613647460938</v>
      </c>
      <c r="H130" s="4">
        <f t="shared" si="15"/>
        <v>40</v>
      </c>
      <c r="I130" s="3">
        <f t="shared" ref="I130:I193" si="19">IF($H130=0,0,MAX(0,$E130-SUMIFS($E$2:$E$349,$A$2:$A$349,$A130,$C$2:$C$349,$C130,$H$2:$H$349,$H130-5)))</f>
        <v>0</v>
      </c>
      <c r="J130" s="3">
        <f t="shared" ref="J130:J193" si="20">IF($H130=0,0,MAX(0,$F130-SUMIFS($F$2:$F$349,$A$2:$A$349,$A130,$C$2:$C$349,$C130,$H$2:$H$349,$H130-5)))</f>
        <v>0</v>
      </c>
      <c r="K130" s="3">
        <f t="shared" ref="K130:K193" si="21">IF($H130=0,0,MAX(0,$G130-SUMIFS($G$2:$G$349,$A$2:$A$349,$A130,$C$2:$C$349,$C130,$H$2:$H$349,$H130-5)))</f>
        <v>0</v>
      </c>
      <c r="L130" s="3">
        <f t="shared" ref="L130:L193" si="22">MAX(0,$G130-SUMIFS($G$2:$G$349,$A$2:$A$349,$A130,$C$2:$C$349,$C130,$H$2:$H$349,0))</f>
        <v>9.5367431640625E-2</v>
      </c>
    </row>
    <row r="131" spans="1:12" x14ac:dyDescent="0.2">
      <c r="A131" t="s">
        <v>73</v>
      </c>
      <c r="B131">
        <v>1767073662</v>
      </c>
      <c r="C131" t="s">
        <v>15</v>
      </c>
      <c r="D131" t="s">
        <v>97</v>
      </c>
      <c r="E131" s="3">
        <f t="shared" si="16"/>
        <v>5016.326904296875</v>
      </c>
      <c r="F131" s="3">
        <f t="shared" si="17"/>
        <v>4262.9241943359375</v>
      </c>
      <c r="G131" s="3">
        <f t="shared" si="18"/>
        <v>9279.2510986328125</v>
      </c>
      <c r="H131" s="4">
        <f t="shared" ref="H131:H194" si="23">IF($A131&lt;&gt;$A130,0,IF($B131=$B130,$H130,$H130+5))</f>
        <v>40</v>
      </c>
      <c r="I131" s="3">
        <f t="shared" si="19"/>
        <v>0</v>
      </c>
      <c r="J131" s="3">
        <f t="shared" si="20"/>
        <v>47.6837158203125</v>
      </c>
      <c r="K131" s="3">
        <f t="shared" si="21"/>
        <v>47.6837158203125</v>
      </c>
      <c r="L131" s="3">
        <f t="shared" si="22"/>
        <v>276.5655517578125</v>
      </c>
    </row>
    <row r="132" spans="1:12" x14ac:dyDescent="0.2">
      <c r="A132" t="s">
        <v>73</v>
      </c>
      <c r="B132">
        <v>1767073662</v>
      </c>
      <c r="C132" t="s">
        <v>17</v>
      </c>
      <c r="D132" t="s">
        <v>98</v>
      </c>
      <c r="E132" s="3">
        <f t="shared" si="16"/>
        <v>1.4972686767578125</v>
      </c>
      <c r="F132" s="3">
        <f t="shared" si="17"/>
        <v>0.75626373291015625</v>
      </c>
      <c r="G132" s="3">
        <f t="shared" si="18"/>
        <v>2.2535324096679688</v>
      </c>
      <c r="H132" s="4">
        <f t="shared" si="23"/>
        <v>40</v>
      </c>
      <c r="I132" s="3">
        <f t="shared" si="19"/>
        <v>9.5367431640625E-3</v>
      </c>
      <c r="J132" s="3">
        <f t="shared" si="20"/>
        <v>9.5367431640625E-4</v>
      </c>
      <c r="K132" s="3">
        <f t="shared" si="21"/>
        <v>1.049041748046875E-2</v>
      </c>
      <c r="L132" s="3">
        <f t="shared" si="22"/>
        <v>8.678436279296875E-2</v>
      </c>
    </row>
    <row r="133" spans="1:12" x14ac:dyDescent="0.2">
      <c r="A133" t="s">
        <v>73</v>
      </c>
      <c r="B133">
        <v>1767073662</v>
      </c>
      <c r="C133" t="s">
        <v>19</v>
      </c>
      <c r="D133" t="s">
        <v>99</v>
      </c>
      <c r="E133" s="3">
        <f t="shared" si="16"/>
        <v>4243.8507080078125</v>
      </c>
      <c r="F133" s="3">
        <f t="shared" si="17"/>
        <v>238.4185791015625</v>
      </c>
      <c r="G133" s="3">
        <f t="shared" si="18"/>
        <v>4482.269287109375</v>
      </c>
      <c r="H133" s="4">
        <f t="shared" si="23"/>
        <v>40</v>
      </c>
      <c r="I133" s="3">
        <f t="shared" si="19"/>
        <v>47.6837158203125</v>
      </c>
      <c r="J133" s="3">
        <f t="shared" si="20"/>
        <v>0</v>
      </c>
      <c r="K133" s="3">
        <f t="shared" si="21"/>
        <v>47.6837158203125</v>
      </c>
      <c r="L133" s="3">
        <f t="shared" si="22"/>
        <v>268.9361572265625</v>
      </c>
    </row>
    <row r="134" spans="1:12" x14ac:dyDescent="0.2">
      <c r="A134" t="s">
        <v>73</v>
      </c>
      <c r="B134">
        <v>1767073670</v>
      </c>
      <c r="C134" t="s">
        <v>13</v>
      </c>
      <c r="D134" t="s">
        <v>77</v>
      </c>
      <c r="E134" s="3">
        <f t="shared" si="16"/>
        <v>21.55303955078125</v>
      </c>
      <c r="F134" s="3">
        <f t="shared" si="17"/>
        <v>4777.9083251953125</v>
      </c>
      <c r="G134" s="3">
        <f t="shared" si="18"/>
        <v>4799.4613647460938</v>
      </c>
      <c r="H134" s="4">
        <f t="shared" si="23"/>
        <v>45</v>
      </c>
      <c r="I134" s="3">
        <f t="shared" si="19"/>
        <v>0</v>
      </c>
      <c r="J134" s="3">
        <f t="shared" si="20"/>
        <v>0</v>
      </c>
      <c r="K134" s="3">
        <f t="shared" si="21"/>
        <v>0</v>
      </c>
      <c r="L134" s="3">
        <f t="shared" si="22"/>
        <v>9.5367431640625E-2</v>
      </c>
    </row>
    <row r="135" spans="1:12" x14ac:dyDescent="0.2">
      <c r="A135" t="s">
        <v>73</v>
      </c>
      <c r="B135">
        <v>1767073670</v>
      </c>
      <c r="C135" t="s">
        <v>15</v>
      </c>
      <c r="D135" t="s">
        <v>97</v>
      </c>
      <c r="E135" s="3">
        <f t="shared" si="16"/>
        <v>5016.326904296875</v>
      </c>
      <c r="F135" s="3">
        <f t="shared" si="17"/>
        <v>4262.9241943359375</v>
      </c>
      <c r="G135" s="3">
        <f t="shared" si="18"/>
        <v>9279.2510986328125</v>
      </c>
      <c r="H135" s="4">
        <f t="shared" si="23"/>
        <v>45</v>
      </c>
      <c r="I135" s="3">
        <f t="shared" si="19"/>
        <v>0</v>
      </c>
      <c r="J135" s="3">
        <f t="shared" si="20"/>
        <v>0</v>
      </c>
      <c r="K135" s="3">
        <f t="shared" si="21"/>
        <v>0</v>
      </c>
      <c r="L135" s="3">
        <f t="shared" si="22"/>
        <v>276.5655517578125</v>
      </c>
    </row>
    <row r="136" spans="1:12" x14ac:dyDescent="0.2">
      <c r="A136" t="s">
        <v>73</v>
      </c>
      <c r="B136">
        <v>1767073670</v>
      </c>
      <c r="C136" t="s">
        <v>17</v>
      </c>
      <c r="D136" t="s">
        <v>100</v>
      </c>
      <c r="E136" s="3">
        <f t="shared" si="16"/>
        <v>1.4972686767578125</v>
      </c>
      <c r="F136" s="3">
        <f t="shared" si="17"/>
        <v>0.75817108154296875</v>
      </c>
      <c r="G136" s="3">
        <f t="shared" si="18"/>
        <v>2.2554397583007812</v>
      </c>
      <c r="H136" s="4">
        <f t="shared" si="23"/>
        <v>45</v>
      </c>
      <c r="I136" s="3">
        <f t="shared" si="19"/>
        <v>0</v>
      </c>
      <c r="J136" s="3">
        <f t="shared" si="20"/>
        <v>1.9073486328125E-3</v>
      </c>
      <c r="K136" s="3">
        <f t="shared" si="21"/>
        <v>1.9073486328125E-3</v>
      </c>
      <c r="L136" s="3">
        <f t="shared" si="22"/>
        <v>8.869171142578125E-2</v>
      </c>
    </row>
    <row r="137" spans="1:12" x14ac:dyDescent="0.2">
      <c r="A137" t="s">
        <v>73</v>
      </c>
      <c r="B137">
        <v>1767073670</v>
      </c>
      <c r="C137" t="s">
        <v>19</v>
      </c>
      <c r="D137" t="s">
        <v>99</v>
      </c>
      <c r="E137" s="3">
        <f t="shared" si="16"/>
        <v>4243.8507080078125</v>
      </c>
      <c r="F137" s="3">
        <f t="shared" si="17"/>
        <v>238.4185791015625</v>
      </c>
      <c r="G137" s="3">
        <f t="shared" si="18"/>
        <v>4482.269287109375</v>
      </c>
      <c r="H137" s="4">
        <f t="shared" si="23"/>
        <v>45</v>
      </c>
      <c r="I137" s="3">
        <f t="shared" si="19"/>
        <v>0</v>
      </c>
      <c r="J137" s="3">
        <f t="shared" si="20"/>
        <v>0</v>
      </c>
      <c r="K137" s="3">
        <f t="shared" si="21"/>
        <v>0</v>
      </c>
      <c r="L137" s="3">
        <f t="shared" si="22"/>
        <v>268.9361572265625</v>
      </c>
    </row>
    <row r="138" spans="1:12" x14ac:dyDescent="0.2">
      <c r="A138" t="s">
        <v>73</v>
      </c>
      <c r="B138">
        <v>1767073677</v>
      </c>
      <c r="C138" t="s">
        <v>13</v>
      </c>
      <c r="D138" t="s">
        <v>77</v>
      </c>
      <c r="E138" s="3">
        <f t="shared" si="16"/>
        <v>21.55303955078125</v>
      </c>
      <c r="F138" s="3">
        <f t="shared" si="17"/>
        <v>4777.9083251953125</v>
      </c>
      <c r="G138" s="3">
        <f t="shared" si="18"/>
        <v>4799.4613647460938</v>
      </c>
      <c r="H138" s="4">
        <f t="shared" si="23"/>
        <v>50</v>
      </c>
      <c r="I138" s="3">
        <f t="shared" si="19"/>
        <v>0</v>
      </c>
      <c r="J138" s="3">
        <f t="shared" si="20"/>
        <v>0</v>
      </c>
      <c r="K138" s="3">
        <f t="shared" si="21"/>
        <v>0</v>
      </c>
      <c r="L138" s="3">
        <f t="shared" si="22"/>
        <v>9.5367431640625E-2</v>
      </c>
    </row>
    <row r="139" spans="1:12" x14ac:dyDescent="0.2">
      <c r="A139" t="s">
        <v>73</v>
      </c>
      <c r="B139">
        <v>1767073677</v>
      </c>
      <c r="C139" t="s">
        <v>15</v>
      </c>
      <c r="D139" t="s">
        <v>101</v>
      </c>
      <c r="E139" s="3">
        <f t="shared" si="16"/>
        <v>5016.326904296875</v>
      </c>
      <c r="F139" s="3">
        <f t="shared" si="17"/>
        <v>4281.9976806640625</v>
      </c>
      <c r="G139" s="3">
        <f t="shared" si="18"/>
        <v>9298.3245849609375</v>
      </c>
      <c r="H139" s="4">
        <f t="shared" si="23"/>
        <v>50</v>
      </c>
      <c r="I139" s="3">
        <f t="shared" si="19"/>
        <v>0</v>
      </c>
      <c r="J139" s="3">
        <f t="shared" si="20"/>
        <v>19.073486328125</v>
      </c>
      <c r="K139" s="3">
        <f t="shared" si="21"/>
        <v>19.073486328125</v>
      </c>
      <c r="L139" s="3">
        <f t="shared" si="22"/>
        <v>295.6390380859375</v>
      </c>
    </row>
    <row r="140" spans="1:12" x14ac:dyDescent="0.2">
      <c r="A140" t="s">
        <v>73</v>
      </c>
      <c r="B140">
        <v>1767073677</v>
      </c>
      <c r="C140" t="s">
        <v>17</v>
      </c>
      <c r="D140" t="s">
        <v>102</v>
      </c>
      <c r="E140" s="3">
        <f t="shared" si="16"/>
        <v>1.506805419921875</v>
      </c>
      <c r="F140" s="3">
        <f t="shared" si="17"/>
        <v>0.7610321044921875</v>
      </c>
      <c r="G140" s="3">
        <f t="shared" si="18"/>
        <v>2.2678375244140625</v>
      </c>
      <c r="H140" s="4">
        <f t="shared" si="23"/>
        <v>50</v>
      </c>
      <c r="I140" s="3">
        <f t="shared" si="19"/>
        <v>9.5367431640625E-3</v>
      </c>
      <c r="J140" s="3">
        <f t="shared" si="20"/>
        <v>2.86102294921875E-3</v>
      </c>
      <c r="K140" s="3">
        <f t="shared" si="21"/>
        <v>1.239776611328125E-2</v>
      </c>
      <c r="L140" s="3">
        <f t="shared" si="22"/>
        <v>0.1010894775390625</v>
      </c>
    </row>
    <row r="141" spans="1:12" x14ac:dyDescent="0.2">
      <c r="A141" t="s">
        <v>73</v>
      </c>
      <c r="B141">
        <v>1767073677</v>
      </c>
      <c r="C141" t="s">
        <v>19</v>
      </c>
      <c r="D141" t="s">
        <v>103</v>
      </c>
      <c r="E141" s="3">
        <f t="shared" si="16"/>
        <v>4281.9976806640625</v>
      </c>
      <c r="F141" s="3">
        <f t="shared" si="17"/>
        <v>238.4185791015625</v>
      </c>
      <c r="G141" s="3">
        <f t="shared" si="18"/>
        <v>4520.416259765625</v>
      </c>
      <c r="H141" s="4">
        <f t="shared" si="23"/>
        <v>50</v>
      </c>
      <c r="I141" s="3">
        <f t="shared" si="19"/>
        <v>38.14697265625</v>
      </c>
      <c r="J141" s="3">
        <f t="shared" si="20"/>
        <v>0</v>
      </c>
      <c r="K141" s="3">
        <f t="shared" si="21"/>
        <v>38.14697265625</v>
      </c>
      <c r="L141" s="3">
        <f t="shared" si="22"/>
        <v>307.0831298828125</v>
      </c>
    </row>
    <row r="142" spans="1:12" x14ac:dyDescent="0.2">
      <c r="A142" t="s">
        <v>73</v>
      </c>
      <c r="B142">
        <v>1767073684</v>
      </c>
      <c r="C142" t="s">
        <v>13</v>
      </c>
      <c r="D142" t="s">
        <v>77</v>
      </c>
      <c r="E142" s="3">
        <f t="shared" si="16"/>
        <v>21.55303955078125</v>
      </c>
      <c r="F142" s="3">
        <f t="shared" si="17"/>
        <v>4777.9083251953125</v>
      </c>
      <c r="G142" s="3">
        <f t="shared" si="18"/>
        <v>4799.4613647460938</v>
      </c>
      <c r="H142" s="4">
        <f t="shared" si="23"/>
        <v>55</v>
      </c>
      <c r="I142" s="3">
        <f t="shared" si="19"/>
        <v>0</v>
      </c>
      <c r="J142" s="3">
        <f t="shared" si="20"/>
        <v>0</v>
      </c>
      <c r="K142" s="3">
        <f t="shared" si="21"/>
        <v>0</v>
      </c>
      <c r="L142" s="3">
        <f t="shared" si="22"/>
        <v>9.5367431640625E-2</v>
      </c>
    </row>
    <row r="143" spans="1:12" x14ac:dyDescent="0.2">
      <c r="A143" t="s">
        <v>73</v>
      </c>
      <c r="B143">
        <v>1767073684</v>
      </c>
      <c r="C143" t="s">
        <v>15</v>
      </c>
      <c r="D143" t="s">
        <v>104</v>
      </c>
      <c r="E143" s="3">
        <f t="shared" si="16"/>
        <v>5016.326904296875</v>
      </c>
      <c r="F143" s="3">
        <f t="shared" si="17"/>
        <v>4367.828369140625</v>
      </c>
      <c r="G143" s="3">
        <f t="shared" si="18"/>
        <v>9384.1552734375</v>
      </c>
      <c r="H143" s="4">
        <f t="shared" si="23"/>
        <v>55</v>
      </c>
      <c r="I143" s="3">
        <f t="shared" si="19"/>
        <v>0</v>
      </c>
      <c r="J143" s="3">
        <f t="shared" si="20"/>
        <v>85.8306884765625</v>
      </c>
      <c r="K143" s="3">
        <f t="shared" si="21"/>
        <v>85.8306884765625</v>
      </c>
      <c r="L143" s="3">
        <f t="shared" si="22"/>
        <v>381.4697265625</v>
      </c>
    </row>
    <row r="144" spans="1:12" x14ac:dyDescent="0.2">
      <c r="A144" t="s">
        <v>73</v>
      </c>
      <c r="B144">
        <v>1767073684</v>
      </c>
      <c r="C144" t="s">
        <v>17</v>
      </c>
      <c r="D144" t="s">
        <v>105</v>
      </c>
      <c r="E144" s="3">
        <f t="shared" si="16"/>
        <v>1.5163421630859375</v>
      </c>
      <c r="F144" s="3">
        <f t="shared" si="17"/>
        <v>0.762939453125</v>
      </c>
      <c r="G144" s="3">
        <f t="shared" si="18"/>
        <v>2.2792816162109375</v>
      </c>
      <c r="H144" s="4">
        <f t="shared" si="23"/>
        <v>55</v>
      </c>
      <c r="I144" s="3">
        <f t="shared" si="19"/>
        <v>9.5367431640625E-3</v>
      </c>
      <c r="J144" s="3">
        <f t="shared" si="20"/>
        <v>1.9073486328125E-3</v>
      </c>
      <c r="K144" s="3">
        <f t="shared" si="21"/>
        <v>1.1444091796875E-2</v>
      </c>
      <c r="L144" s="3">
        <f t="shared" si="22"/>
        <v>0.1125335693359375</v>
      </c>
    </row>
    <row r="145" spans="1:12" x14ac:dyDescent="0.2">
      <c r="A145" t="s">
        <v>73</v>
      </c>
      <c r="B145">
        <v>1767073684</v>
      </c>
      <c r="C145" t="s">
        <v>19</v>
      </c>
      <c r="D145" t="s">
        <v>106</v>
      </c>
      <c r="E145" s="3">
        <f t="shared" si="16"/>
        <v>4329.681396484375</v>
      </c>
      <c r="F145" s="3">
        <f t="shared" si="17"/>
        <v>238.4185791015625</v>
      </c>
      <c r="G145" s="3">
        <f t="shared" si="18"/>
        <v>4568.0999755859375</v>
      </c>
      <c r="H145" s="4">
        <f t="shared" si="23"/>
        <v>55</v>
      </c>
      <c r="I145" s="3">
        <f t="shared" si="19"/>
        <v>47.6837158203125</v>
      </c>
      <c r="J145" s="3">
        <f t="shared" si="20"/>
        <v>0</v>
      </c>
      <c r="K145" s="3">
        <f t="shared" si="21"/>
        <v>47.6837158203125</v>
      </c>
      <c r="L145" s="3">
        <f t="shared" si="22"/>
        <v>354.766845703125</v>
      </c>
    </row>
    <row r="146" spans="1:12" x14ac:dyDescent="0.2">
      <c r="A146" t="s">
        <v>73</v>
      </c>
      <c r="B146">
        <v>1767073692</v>
      </c>
      <c r="C146" t="s">
        <v>13</v>
      </c>
      <c r="D146" t="s">
        <v>107</v>
      </c>
      <c r="E146" s="3">
        <f t="shared" si="16"/>
        <v>21.648406982421875</v>
      </c>
      <c r="F146" s="3">
        <f t="shared" si="17"/>
        <v>4777.9083251953125</v>
      </c>
      <c r="G146" s="3">
        <f t="shared" si="18"/>
        <v>4799.5567321777344</v>
      </c>
      <c r="H146" s="4">
        <f t="shared" si="23"/>
        <v>60</v>
      </c>
      <c r="I146" s="3">
        <f t="shared" si="19"/>
        <v>9.5367431640625E-2</v>
      </c>
      <c r="J146" s="3">
        <f t="shared" si="20"/>
        <v>0</v>
      </c>
      <c r="K146" s="3">
        <f t="shared" si="21"/>
        <v>9.5367431640625E-2</v>
      </c>
      <c r="L146" s="3">
        <f t="shared" si="22"/>
        <v>0.19073486328125</v>
      </c>
    </row>
    <row r="147" spans="1:12" x14ac:dyDescent="0.2">
      <c r="A147" t="s">
        <v>73</v>
      </c>
      <c r="B147">
        <v>1767073692</v>
      </c>
      <c r="C147" t="s">
        <v>15</v>
      </c>
      <c r="D147" t="s">
        <v>108</v>
      </c>
      <c r="E147" s="3">
        <f t="shared" si="16"/>
        <v>5016.326904296875</v>
      </c>
      <c r="F147" s="3">
        <f t="shared" si="17"/>
        <v>4396.4385986328125</v>
      </c>
      <c r="G147" s="3">
        <f t="shared" si="18"/>
        <v>9412.7655029296875</v>
      </c>
      <c r="H147" s="4">
        <f t="shared" si="23"/>
        <v>60</v>
      </c>
      <c r="I147" s="3">
        <f t="shared" si="19"/>
        <v>0</v>
      </c>
      <c r="J147" s="3">
        <f t="shared" si="20"/>
        <v>28.6102294921875</v>
      </c>
      <c r="K147" s="3">
        <f t="shared" si="21"/>
        <v>28.6102294921875</v>
      </c>
      <c r="L147" s="3">
        <f t="shared" si="22"/>
        <v>410.0799560546875</v>
      </c>
    </row>
    <row r="148" spans="1:12" x14ac:dyDescent="0.2">
      <c r="A148" t="s">
        <v>73</v>
      </c>
      <c r="B148">
        <v>1767073692</v>
      </c>
      <c r="C148" t="s">
        <v>17</v>
      </c>
      <c r="D148" t="s">
        <v>109</v>
      </c>
      <c r="E148" s="3">
        <f t="shared" si="16"/>
        <v>1.52587890625</v>
      </c>
      <c r="F148" s="3">
        <f t="shared" si="17"/>
        <v>0.76389312744140625</v>
      </c>
      <c r="G148" s="3">
        <f t="shared" si="18"/>
        <v>2.2897720336914062</v>
      </c>
      <c r="H148" s="4">
        <f t="shared" si="23"/>
        <v>60</v>
      </c>
      <c r="I148" s="3">
        <f t="shared" si="19"/>
        <v>9.5367431640625E-3</v>
      </c>
      <c r="J148" s="3">
        <f t="shared" si="20"/>
        <v>9.5367431640625E-4</v>
      </c>
      <c r="K148" s="3">
        <f t="shared" si="21"/>
        <v>1.049041748046875E-2</v>
      </c>
      <c r="L148" s="3">
        <f t="shared" si="22"/>
        <v>0.12302398681640625</v>
      </c>
    </row>
    <row r="149" spans="1:12" x14ac:dyDescent="0.2">
      <c r="A149" t="s">
        <v>73</v>
      </c>
      <c r="B149">
        <v>1767073692</v>
      </c>
      <c r="C149" t="s">
        <v>19</v>
      </c>
      <c r="D149" t="s">
        <v>110</v>
      </c>
      <c r="E149" s="3">
        <f t="shared" si="16"/>
        <v>4377.3651123046875</v>
      </c>
      <c r="F149" s="3">
        <f t="shared" si="17"/>
        <v>238.4185791015625</v>
      </c>
      <c r="G149" s="3">
        <f t="shared" si="18"/>
        <v>4615.78369140625</v>
      </c>
      <c r="H149" s="4">
        <f t="shared" si="23"/>
        <v>60</v>
      </c>
      <c r="I149" s="3">
        <f t="shared" si="19"/>
        <v>47.6837158203125</v>
      </c>
      <c r="J149" s="3">
        <f t="shared" si="20"/>
        <v>0</v>
      </c>
      <c r="K149" s="3">
        <f t="shared" si="21"/>
        <v>47.6837158203125</v>
      </c>
      <c r="L149" s="3">
        <f t="shared" si="22"/>
        <v>402.4505615234375</v>
      </c>
    </row>
    <row r="150" spans="1:12" x14ac:dyDescent="0.2">
      <c r="A150" t="s">
        <v>73</v>
      </c>
      <c r="B150">
        <v>1767073699</v>
      </c>
      <c r="C150" t="s">
        <v>13</v>
      </c>
      <c r="D150" t="s">
        <v>107</v>
      </c>
      <c r="E150" s="3">
        <f t="shared" si="16"/>
        <v>21.648406982421875</v>
      </c>
      <c r="F150" s="3">
        <f t="shared" si="17"/>
        <v>4777.9083251953125</v>
      </c>
      <c r="G150" s="3">
        <f t="shared" si="18"/>
        <v>4799.5567321777344</v>
      </c>
      <c r="H150" s="4">
        <f t="shared" si="23"/>
        <v>65</v>
      </c>
      <c r="I150" s="3">
        <f t="shared" si="19"/>
        <v>0</v>
      </c>
      <c r="J150" s="3">
        <f t="shared" si="20"/>
        <v>0</v>
      </c>
      <c r="K150" s="3">
        <f t="shared" si="21"/>
        <v>0</v>
      </c>
      <c r="L150" s="3">
        <f t="shared" si="22"/>
        <v>0.19073486328125</v>
      </c>
    </row>
    <row r="151" spans="1:12" x14ac:dyDescent="0.2">
      <c r="A151" t="s">
        <v>73</v>
      </c>
      <c r="B151">
        <v>1767073699</v>
      </c>
      <c r="C151" t="s">
        <v>15</v>
      </c>
      <c r="D151" t="s">
        <v>108</v>
      </c>
      <c r="E151" s="3">
        <f t="shared" si="16"/>
        <v>5016.326904296875</v>
      </c>
      <c r="F151" s="3">
        <f t="shared" si="17"/>
        <v>4396.4385986328125</v>
      </c>
      <c r="G151" s="3">
        <f t="shared" si="18"/>
        <v>9412.7655029296875</v>
      </c>
      <c r="H151" s="4">
        <f t="shared" si="23"/>
        <v>65</v>
      </c>
      <c r="I151" s="3">
        <f t="shared" si="19"/>
        <v>0</v>
      </c>
      <c r="J151" s="3">
        <f t="shared" si="20"/>
        <v>0</v>
      </c>
      <c r="K151" s="3">
        <f t="shared" si="21"/>
        <v>0</v>
      </c>
      <c r="L151" s="3">
        <f t="shared" si="22"/>
        <v>410.0799560546875</v>
      </c>
    </row>
    <row r="152" spans="1:12" x14ac:dyDescent="0.2">
      <c r="A152" t="s">
        <v>73</v>
      </c>
      <c r="B152">
        <v>1767073699</v>
      </c>
      <c r="C152" t="s">
        <v>17</v>
      </c>
      <c r="D152" t="s">
        <v>111</v>
      </c>
      <c r="E152" s="3">
        <f t="shared" si="16"/>
        <v>1.52587890625</v>
      </c>
      <c r="F152" s="3">
        <f t="shared" si="17"/>
        <v>0.766754150390625</v>
      </c>
      <c r="G152" s="3">
        <f t="shared" si="18"/>
        <v>2.292633056640625</v>
      </c>
      <c r="H152" s="4">
        <f t="shared" si="23"/>
        <v>65</v>
      </c>
      <c r="I152" s="3">
        <f t="shared" si="19"/>
        <v>0</v>
      </c>
      <c r="J152" s="3">
        <f t="shared" si="20"/>
        <v>2.86102294921875E-3</v>
      </c>
      <c r="K152" s="3">
        <f t="shared" si="21"/>
        <v>2.86102294921875E-3</v>
      </c>
      <c r="L152" s="3">
        <f t="shared" si="22"/>
        <v>0.125885009765625</v>
      </c>
    </row>
    <row r="153" spans="1:12" x14ac:dyDescent="0.2">
      <c r="A153" t="s">
        <v>73</v>
      </c>
      <c r="B153">
        <v>1767073699</v>
      </c>
      <c r="C153" t="s">
        <v>19</v>
      </c>
      <c r="D153" t="s">
        <v>110</v>
      </c>
      <c r="E153" s="3">
        <f t="shared" si="16"/>
        <v>4377.3651123046875</v>
      </c>
      <c r="F153" s="3">
        <f t="shared" si="17"/>
        <v>238.4185791015625</v>
      </c>
      <c r="G153" s="3">
        <f t="shared" si="18"/>
        <v>4615.78369140625</v>
      </c>
      <c r="H153" s="4">
        <f t="shared" si="23"/>
        <v>65</v>
      </c>
      <c r="I153" s="3">
        <f t="shared" si="19"/>
        <v>0</v>
      </c>
      <c r="J153" s="3">
        <f t="shared" si="20"/>
        <v>0</v>
      </c>
      <c r="K153" s="3">
        <f t="shared" si="21"/>
        <v>0</v>
      </c>
      <c r="L153" s="3">
        <f t="shared" si="22"/>
        <v>402.4505615234375</v>
      </c>
    </row>
    <row r="154" spans="1:12" x14ac:dyDescent="0.2">
      <c r="A154" t="s">
        <v>73</v>
      </c>
      <c r="B154">
        <v>1767073706</v>
      </c>
      <c r="C154" t="s">
        <v>13</v>
      </c>
      <c r="D154" t="s">
        <v>107</v>
      </c>
      <c r="E154" s="3">
        <f t="shared" si="16"/>
        <v>21.648406982421875</v>
      </c>
      <c r="F154" s="3">
        <f t="shared" si="17"/>
        <v>4777.9083251953125</v>
      </c>
      <c r="G154" s="3">
        <f t="shared" si="18"/>
        <v>4799.5567321777344</v>
      </c>
      <c r="H154" s="4">
        <f t="shared" si="23"/>
        <v>70</v>
      </c>
      <c r="I154" s="3">
        <f t="shared" si="19"/>
        <v>0</v>
      </c>
      <c r="J154" s="3">
        <f t="shared" si="20"/>
        <v>0</v>
      </c>
      <c r="K154" s="3">
        <f t="shared" si="21"/>
        <v>0</v>
      </c>
      <c r="L154" s="3">
        <f t="shared" si="22"/>
        <v>0.19073486328125</v>
      </c>
    </row>
    <row r="155" spans="1:12" x14ac:dyDescent="0.2">
      <c r="A155" t="s">
        <v>73</v>
      </c>
      <c r="B155">
        <v>1767073706</v>
      </c>
      <c r="C155" t="s">
        <v>15</v>
      </c>
      <c r="D155" t="s">
        <v>112</v>
      </c>
      <c r="E155" s="3">
        <f t="shared" si="16"/>
        <v>5016.326904296875</v>
      </c>
      <c r="F155" s="3">
        <f t="shared" si="17"/>
        <v>4444.122314453125</v>
      </c>
      <c r="G155" s="3">
        <f t="shared" si="18"/>
        <v>9460.44921875</v>
      </c>
      <c r="H155" s="4">
        <f t="shared" si="23"/>
        <v>70</v>
      </c>
      <c r="I155" s="3">
        <f t="shared" si="19"/>
        <v>0</v>
      </c>
      <c r="J155" s="3">
        <f t="shared" si="20"/>
        <v>47.6837158203125</v>
      </c>
      <c r="K155" s="3">
        <f t="shared" si="21"/>
        <v>47.6837158203125</v>
      </c>
      <c r="L155" s="3">
        <f t="shared" si="22"/>
        <v>457.763671875</v>
      </c>
    </row>
    <row r="156" spans="1:12" x14ac:dyDescent="0.2">
      <c r="A156" t="s">
        <v>73</v>
      </c>
      <c r="B156">
        <v>1767073706</v>
      </c>
      <c r="C156" t="s">
        <v>17</v>
      </c>
      <c r="D156" t="s">
        <v>113</v>
      </c>
      <c r="E156" s="3">
        <f t="shared" si="16"/>
        <v>1.5354156494140625</v>
      </c>
      <c r="F156" s="3">
        <f t="shared" si="17"/>
        <v>0.7686614990234375</v>
      </c>
      <c r="G156" s="3">
        <f t="shared" si="18"/>
        <v>2.3040771484375</v>
      </c>
      <c r="H156" s="4">
        <f t="shared" si="23"/>
        <v>70</v>
      </c>
      <c r="I156" s="3">
        <f t="shared" si="19"/>
        <v>9.5367431640625E-3</v>
      </c>
      <c r="J156" s="3">
        <f t="shared" si="20"/>
        <v>1.9073486328125E-3</v>
      </c>
      <c r="K156" s="3">
        <f t="shared" si="21"/>
        <v>1.1444091796875E-2</v>
      </c>
      <c r="L156" s="3">
        <f t="shared" si="22"/>
        <v>0.1373291015625</v>
      </c>
    </row>
    <row r="157" spans="1:12" x14ac:dyDescent="0.2">
      <c r="A157" t="s">
        <v>73</v>
      </c>
      <c r="B157">
        <v>1767073706</v>
      </c>
      <c r="C157" t="s">
        <v>19</v>
      </c>
      <c r="D157" t="s">
        <v>114</v>
      </c>
      <c r="E157" s="3">
        <f t="shared" si="16"/>
        <v>4425.048828125</v>
      </c>
      <c r="F157" s="3">
        <f t="shared" si="17"/>
        <v>238.4185791015625</v>
      </c>
      <c r="G157" s="3">
        <f t="shared" si="18"/>
        <v>4663.4674072265625</v>
      </c>
      <c r="H157" s="4">
        <f t="shared" si="23"/>
        <v>70</v>
      </c>
      <c r="I157" s="3">
        <f t="shared" si="19"/>
        <v>47.6837158203125</v>
      </c>
      <c r="J157" s="3">
        <f t="shared" si="20"/>
        <v>0</v>
      </c>
      <c r="K157" s="3">
        <f t="shared" si="21"/>
        <v>47.6837158203125</v>
      </c>
      <c r="L157" s="3">
        <f t="shared" si="22"/>
        <v>450.13427734375</v>
      </c>
    </row>
    <row r="158" spans="1:12" x14ac:dyDescent="0.2">
      <c r="A158" t="s">
        <v>73</v>
      </c>
      <c r="B158">
        <v>1767073712</v>
      </c>
      <c r="C158" t="s">
        <v>13</v>
      </c>
      <c r="D158" t="s">
        <v>107</v>
      </c>
      <c r="E158" s="3">
        <f t="shared" si="16"/>
        <v>21.648406982421875</v>
      </c>
      <c r="F158" s="3">
        <f t="shared" si="17"/>
        <v>4777.9083251953125</v>
      </c>
      <c r="G158" s="3">
        <f t="shared" si="18"/>
        <v>4799.5567321777344</v>
      </c>
      <c r="H158" s="4">
        <f t="shared" si="23"/>
        <v>75</v>
      </c>
      <c r="I158" s="3">
        <f t="shared" si="19"/>
        <v>0</v>
      </c>
      <c r="J158" s="3">
        <f t="shared" si="20"/>
        <v>0</v>
      </c>
      <c r="K158" s="3">
        <f t="shared" si="21"/>
        <v>0</v>
      </c>
      <c r="L158" s="3">
        <f t="shared" si="22"/>
        <v>0.19073486328125</v>
      </c>
    </row>
    <row r="159" spans="1:12" x14ac:dyDescent="0.2">
      <c r="A159" t="s">
        <v>73</v>
      </c>
      <c r="B159">
        <v>1767073712</v>
      </c>
      <c r="C159" t="s">
        <v>15</v>
      </c>
      <c r="D159" t="s">
        <v>115</v>
      </c>
      <c r="E159" s="3">
        <f t="shared" si="16"/>
        <v>5016.326904296875</v>
      </c>
      <c r="F159" s="3">
        <f t="shared" si="17"/>
        <v>4491.8060302734375</v>
      </c>
      <c r="G159" s="3">
        <f t="shared" si="18"/>
        <v>9508.1329345703125</v>
      </c>
      <c r="H159" s="4">
        <f t="shared" si="23"/>
        <v>75</v>
      </c>
      <c r="I159" s="3">
        <f t="shared" si="19"/>
        <v>0</v>
      </c>
      <c r="J159" s="3">
        <f t="shared" si="20"/>
        <v>47.6837158203125</v>
      </c>
      <c r="K159" s="3">
        <f t="shared" si="21"/>
        <v>47.6837158203125</v>
      </c>
      <c r="L159" s="3">
        <f t="shared" si="22"/>
        <v>505.4473876953125</v>
      </c>
    </row>
    <row r="160" spans="1:12" x14ac:dyDescent="0.2">
      <c r="A160" t="s">
        <v>73</v>
      </c>
      <c r="B160">
        <v>1767073712</v>
      </c>
      <c r="C160" t="s">
        <v>17</v>
      </c>
      <c r="D160" t="s">
        <v>116</v>
      </c>
      <c r="E160" s="3">
        <f t="shared" si="16"/>
        <v>1.5354156494140625</v>
      </c>
      <c r="F160" s="3">
        <f t="shared" si="17"/>
        <v>0.76961517333984375</v>
      </c>
      <c r="G160" s="3">
        <f t="shared" si="18"/>
        <v>2.3050308227539062</v>
      </c>
      <c r="H160" s="4">
        <f t="shared" si="23"/>
        <v>75</v>
      </c>
      <c r="I160" s="3">
        <f t="shared" si="19"/>
        <v>0</v>
      </c>
      <c r="J160" s="3">
        <f t="shared" si="20"/>
        <v>9.5367431640625E-4</v>
      </c>
      <c r="K160" s="3">
        <f t="shared" si="21"/>
        <v>9.5367431640625E-4</v>
      </c>
      <c r="L160" s="3">
        <f t="shared" si="22"/>
        <v>0.13828277587890625</v>
      </c>
    </row>
    <row r="161" spans="1:12" x14ac:dyDescent="0.2">
      <c r="A161" t="s">
        <v>73</v>
      </c>
      <c r="B161">
        <v>1767073712</v>
      </c>
      <c r="C161" t="s">
        <v>19</v>
      </c>
      <c r="D161" t="s">
        <v>117</v>
      </c>
      <c r="E161" s="3">
        <f t="shared" si="16"/>
        <v>4472.7325439453125</v>
      </c>
      <c r="F161" s="3">
        <f t="shared" si="17"/>
        <v>238.4185791015625</v>
      </c>
      <c r="G161" s="3">
        <f t="shared" si="18"/>
        <v>4711.151123046875</v>
      </c>
      <c r="H161" s="4">
        <f t="shared" si="23"/>
        <v>75</v>
      </c>
      <c r="I161" s="3">
        <f t="shared" si="19"/>
        <v>47.6837158203125</v>
      </c>
      <c r="J161" s="3">
        <f t="shared" si="20"/>
        <v>0</v>
      </c>
      <c r="K161" s="3">
        <f t="shared" si="21"/>
        <v>47.6837158203125</v>
      </c>
      <c r="L161" s="3">
        <f t="shared" si="22"/>
        <v>497.8179931640625</v>
      </c>
    </row>
    <row r="162" spans="1:12" x14ac:dyDescent="0.2">
      <c r="A162" t="s">
        <v>73</v>
      </c>
      <c r="B162">
        <v>1767073720</v>
      </c>
      <c r="C162" t="s">
        <v>13</v>
      </c>
      <c r="D162" t="s">
        <v>107</v>
      </c>
      <c r="E162" s="3">
        <f t="shared" si="16"/>
        <v>21.648406982421875</v>
      </c>
      <c r="F162" s="3">
        <f t="shared" si="17"/>
        <v>4777.9083251953125</v>
      </c>
      <c r="G162" s="3">
        <f t="shared" si="18"/>
        <v>4799.5567321777344</v>
      </c>
      <c r="H162" s="4">
        <f t="shared" si="23"/>
        <v>80</v>
      </c>
      <c r="I162" s="3">
        <f t="shared" si="19"/>
        <v>0</v>
      </c>
      <c r="J162" s="3">
        <f t="shared" si="20"/>
        <v>0</v>
      </c>
      <c r="K162" s="3">
        <f t="shared" si="21"/>
        <v>0</v>
      </c>
      <c r="L162" s="3">
        <f t="shared" si="22"/>
        <v>0.19073486328125</v>
      </c>
    </row>
    <row r="163" spans="1:12" x14ac:dyDescent="0.2">
      <c r="A163" t="s">
        <v>73</v>
      </c>
      <c r="B163">
        <v>1767073720</v>
      </c>
      <c r="C163" t="s">
        <v>15</v>
      </c>
      <c r="D163" t="s">
        <v>118</v>
      </c>
      <c r="E163" s="3">
        <f t="shared" si="16"/>
        <v>5016.326904296875</v>
      </c>
      <c r="F163" s="3">
        <f t="shared" si="17"/>
        <v>4520.416259765625</v>
      </c>
      <c r="G163" s="3">
        <f t="shared" si="18"/>
        <v>9536.7431640625</v>
      </c>
      <c r="H163" s="4">
        <f t="shared" si="23"/>
        <v>80</v>
      </c>
      <c r="I163" s="3">
        <f t="shared" si="19"/>
        <v>0</v>
      </c>
      <c r="J163" s="3">
        <f t="shared" si="20"/>
        <v>28.6102294921875</v>
      </c>
      <c r="K163" s="3">
        <f t="shared" si="21"/>
        <v>28.6102294921875</v>
      </c>
      <c r="L163" s="3">
        <f t="shared" si="22"/>
        <v>534.0576171875</v>
      </c>
    </row>
    <row r="164" spans="1:12" x14ac:dyDescent="0.2">
      <c r="A164" t="s">
        <v>73</v>
      </c>
      <c r="B164">
        <v>1767073720</v>
      </c>
      <c r="C164" t="s">
        <v>17</v>
      </c>
      <c r="D164" t="s">
        <v>119</v>
      </c>
      <c r="E164" s="3">
        <f t="shared" si="16"/>
        <v>1.544952392578125</v>
      </c>
      <c r="F164" s="3">
        <f t="shared" si="17"/>
        <v>0.77152252197265625</v>
      </c>
      <c r="G164" s="3">
        <f t="shared" si="18"/>
        <v>2.3164749145507812</v>
      </c>
      <c r="H164" s="4">
        <f t="shared" si="23"/>
        <v>80</v>
      </c>
      <c r="I164" s="3">
        <f t="shared" si="19"/>
        <v>9.5367431640625E-3</v>
      </c>
      <c r="J164" s="3">
        <f t="shared" si="20"/>
        <v>1.9073486328125E-3</v>
      </c>
      <c r="K164" s="3">
        <f t="shared" si="21"/>
        <v>1.1444091796875E-2</v>
      </c>
      <c r="L164" s="3">
        <f t="shared" si="22"/>
        <v>0.14972686767578125</v>
      </c>
    </row>
    <row r="165" spans="1:12" x14ac:dyDescent="0.2">
      <c r="A165" t="s">
        <v>73</v>
      </c>
      <c r="B165">
        <v>1767073720</v>
      </c>
      <c r="C165" t="s">
        <v>19</v>
      </c>
      <c r="D165" t="s">
        <v>120</v>
      </c>
      <c r="E165" s="3">
        <f t="shared" si="16"/>
        <v>4501.3427734375</v>
      </c>
      <c r="F165" s="3">
        <f t="shared" si="17"/>
        <v>239.37225341796875</v>
      </c>
      <c r="G165" s="3">
        <f t="shared" si="18"/>
        <v>4740.7150268554688</v>
      </c>
      <c r="H165" s="4">
        <f t="shared" si="23"/>
        <v>80</v>
      </c>
      <c r="I165" s="3">
        <f t="shared" si="19"/>
        <v>28.6102294921875</v>
      </c>
      <c r="J165" s="3">
        <f t="shared" si="20"/>
        <v>0.95367431640625</v>
      </c>
      <c r="K165" s="3">
        <f t="shared" si="21"/>
        <v>29.56390380859375</v>
      </c>
      <c r="L165" s="3">
        <f t="shared" si="22"/>
        <v>527.38189697265625</v>
      </c>
    </row>
    <row r="166" spans="1:12" x14ac:dyDescent="0.2">
      <c r="A166" t="s">
        <v>73</v>
      </c>
      <c r="B166">
        <v>1767073727</v>
      </c>
      <c r="C166" t="s">
        <v>13</v>
      </c>
      <c r="D166" t="s">
        <v>107</v>
      </c>
      <c r="E166" s="3">
        <f t="shared" si="16"/>
        <v>21.648406982421875</v>
      </c>
      <c r="F166" s="3">
        <f t="shared" si="17"/>
        <v>4777.9083251953125</v>
      </c>
      <c r="G166" s="3">
        <f t="shared" si="18"/>
        <v>4799.5567321777344</v>
      </c>
      <c r="H166" s="4">
        <f t="shared" si="23"/>
        <v>85</v>
      </c>
      <c r="I166" s="3">
        <f t="shared" si="19"/>
        <v>0</v>
      </c>
      <c r="J166" s="3">
        <f t="shared" si="20"/>
        <v>0</v>
      </c>
      <c r="K166" s="3">
        <f t="shared" si="21"/>
        <v>0</v>
      </c>
      <c r="L166" s="3">
        <f t="shared" si="22"/>
        <v>0.19073486328125</v>
      </c>
    </row>
    <row r="167" spans="1:12" x14ac:dyDescent="0.2">
      <c r="A167" t="s">
        <v>73</v>
      </c>
      <c r="B167">
        <v>1767073727</v>
      </c>
      <c r="C167" t="s">
        <v>15</v>
      </c>
      <c r="D167" t="s">
        <v>118</v>
      </c>
      <c r="E167" s="3">
        <f t="shared" si="16"/>
        <v>5016.326904296875</v>
      </c>
      <c r="F167" s="3">
        <f t="shared" si="17"/>
        <v>4520.416259765625</v>
      </c>
      <c r="G167" s="3">
        <f t="shared" si="18"/>
        <v>9536.7431640625</v>
      </c>
      <c r="H167" s="4">
        <f t="shared" si="23"/>
        <v>85</v>
      </c>
      <c r="I167" s="3">
        <f t="shared" si="19"/>
        <v>0</v>
      </c>
      <c r="J167" s="3">
        <f t="shared" si="20"/>
        <v>0</v>
      </c>
      <c r="K167" s="3">
        <f t="shared" si="21"/>
        <v>0</v>
      </c>
      <c r="L167" s="3">
        <f t="shared" si="22"/>
        <v>534.0576171875</v>
      </c>
    </row>
    <row r="168" spans="1:12" x14ac:dyDescent="0.2">
      <c r="A168" t="s">
        <v>73</v>
      </c>
      <c r="B168">
        <v>1767073727</v>
      </c>
      <c r="C168" t="s">
        <v>17</v>
      </c>
      <c r="D168" t="s">
        <v>121</v>
      </c>
      <c r="E168" s="3">
        <f t="shared" si="16"/>
        <v>1.5544891357421875</v>
      </c>
      <c r="F168" s="3">
        <f t="shared" si="17"/>
        <v>0.77342987060546875</v>
      </c>
      <c r="G168" s="3">
        <f t="shared" si="18"/>
        <v>2.3279190063476562</v>
      </c>
      <c r="H168" s="4">
        <f t="shared" si="23"/>
        <v>85</v>
      </c>
      <c r="I168" s="3">
        <f t="shared" si="19"/>
        <v>9.5367431640625E-3</v>
      </c>
      <c r="J168" s="3">
        <f t="shared" si="20"/>
        <v>1.9073486328125E-3</v>
      </c>
      <c r="K168" s="3">
        <f t="shared" si="21"/>
        <v>1.1444091796875E-2</v>
      </c>
      <c r="L168" s="3">
        <f t="shared" si="22"/>
        <v>0.16117095947265625</v>
      </c>
    </row>
    <row r="169" spans="1:12" x14ac:dyDescent="0.2">
      <c r="A169" t="s">
        <v>73</v>
      </c>
      <c r="B169">
        <v>1767073727</v>
      </c>
      <c r="C169" t="s">
        <v>19</v>
      </c>
      <c r="D169" t="s">
        <v>120</v>
      </c>
      <c r="E169" s="3">
        <f t="shared" si="16"/>
        <v>4501.3427734375</v>
      </c>
      <c r="F169" s="3">
        <f t="shared" si="17"/>
        <v>239.37225341796875</v>
      </c>
      <c r="G169" s="3">
        <f t="shared" si="18"/>
        <v>4740.7150268554688</v>
      </c>
      <c r="H169" s="4">
        <f t="shared" si="23"/>
        <v>85</v>
      </c>
      <c r="I169" s="3">
        <f t="shared" si="19"/>
        <v>0</v>
      </c>
      <c r="J169" s="3">
        <f t="shared" si="20"/>
        <v>0</v>
      </c>
      <c r="K169" s="3">
        <f t="shared" si="21"/>
        <v>0</v>
      </c>
      <c r="L169" s="3">
        <f t="shared" si="22"/>
        <v>527.38189697265625</v>
      </c>
    </row>
    <row r="170" spans="1:12" x14ac:dyDescent="0.2">
      <c r="A170" t="s">
        <v>73</v>
      </c>
      <c r="B170">
        <v>1767073734</v>
      </c>
      <c r="C170" t="s">
        <v>13</v>
      </c>
      <c r="D170" t="s">
        <v>107</v>
      </c>
      <c r="E170" s="3">
        <f t="shared" si="16"/>
        <v>21.648406982421875</v>
      </c>
      <c r="F170" s="3">
        <f t="shared" si="17"/>
        <v>4777.9083251953125</v>
      </c>
      <c r="G170" s="3">
        <f t="shared" si="18"/>
        <v>4799.5567321777344</v>
      </c>
      <c r="H170" s="4">
        <f t="shared" si="23"/>
        <v>90</v>
      </c>
      <c r="I170" s="3">
        <f t="shared" si="19"/>
        <v>0</v>
      </c>
      <c r="J170" s="3">
        <f t="shared" si="20"/>
        <v>0</v>
      </c>
      <c r="K170" s="3">
        <f t="shared" si="21"/>
        <v>0</v>
      </c>
      <c r="L170" s="3">
        <f t="shared" si="22"/>
        <v>0.19073486328125</v>
      </c>
    </row>
    <row r="171" spans="1:12" x14ac:dyDescent="0.2">
      <c r="A171" t="s">
        <v>73</v>
      </c>
      <c r="B171">
        <v>1767073734</v>
      </c>
      <c r="C171" t="s">
        <v>15</v>
      </c>
      <c r="D171" t="s">
        <v>122</v>
      </c>
      <c r="E171" s="3">
        <f t="shared" si="16"/>
        <v>5016.326904296875</v>
      </c>
      <c r="F171" s="3">
        <f t="shared" si="17"/>
        <v>4577.63671875</v>
      </c>
      <c r="G171" s="3">
        <f t="shared" si="18"/>
        <v>9593.963623046875</v>
      </c>
      <c r="H171" s="4">
        <f t="shared" si="23"/>
        <v>90</v>
      </c>
      <c r="I171" s="3">
        <f t="shared" si="19"/>
        <v>0</v>
      </c>
      <c r="J171" s="3">
        <f t="shared" si="20"/>
        <v>57.220458984375</v>
      </c>
      <c r="K171" s="3">
        <f t="shared" si="21"/>
        <v>57.220458984375</v>
      </c>
      <c r="L171" s="3">
        <f t="shared" si="22"/>
        <v>591.278076171875</v>
      </c>
    </row>
    <row r="172" spans="1:12" x14ac:dyDescent="0.2">
      <c r="A172" t="s">
        <v>73</v>
      </c>
      <c r="B172">
        <v>1767073734</v>
      </c>
      <c r="C172" t="s">
        <v>17</v>
      </c>
      <c r="D172" t="s">
        <v>123</v>
      </c>
      <c r="E172" s="3">
        <f t="shared" si="16"/>
        <v>1.56402587890625</v>
      </c>
      <c r="F172" s="3">
        <f t="shared" si="17"/>
        <v>0.7762908935546875</v>
      </c>
      <c r="G172" s="3">
        <f t="shared" si="18"/>
        <v>2.3403167724609375</v>
      </c>
      <c r="H172" s="4">
        <f t="shared" si="23"/>
        <v>90</v>
      </c>
      <c r="I172" s="3">
        <f t="shared" si="19"/>
        <v>9.5367431640625E-3</v>
      </c>
      <c r="J172" s="3">
        <f t="shared" si="20"/>
        <v>2.86102294921875E-3</v>
      </c>
      <c r="K172" s="3">
        <f t="shared" si="21"/>
        <v>1.239776611328125E-2</v>
      </c>
      <c r="L172" s="3">
        <f t="shared" si="22"/>
        <v>0.1735687255859375</v>
      </c>
    </row>
    <row r="173" spans="1:12" x14ac:dyDescent="0.2">
      <c r="A173" t="s">
        <v>73</v>
      </c>
      <c r="B173">
        <v>1767073734</v>
      </c>
      <c r="C173" t="s">
        <v>19</v>
      </c>
      <c r="D173" t="s">
        <v>124</v>
      </c>
      <c r="E173" s="3">
        <f t="shared" si="16"/>
        <v>4558.563232421875</v>
      </c>
      <c r="F173" s="3">
        <f t="shared" si="17"/>
        <v>239.37225341796875</v>
      </c>
      <c r="G173" s="3">
        <f t="shared" si="18"/>
        <v>4797.9354858398438</v>
      </c>
      <c r="H173" s="4">
        <f t="shared" si="23"/>
        <v>90</v>
      </c>
      <c r="I173" s="3">
        <f t="shared" si="19"/>
        <v>57.220458984375</v>
      </c>
      <c r="J173" s="3">
        <f t="shared" si="20"/>
        <v>0</v>
      </c>
      <c r="K173" s="3">
        <f t="shared" si="21"/>
        <v>57.220458984375</v>
      </c>
      <c r="L173" s="3">
        <f t="shared" si="22"/>
        <v>584.60235595703125</v>
      </c>
    </row>
    <row r="174" spans="1:12" x14ac:dyDescent="0.2">
      <c r="A174" t="s">
        <v>73</v>
      </c>
      <c r="B174">
        <v>1767073742</v>
      </c>
      <c r="C174" t="s">
        <v>13</v>
      </c>
      <c r="D174" t="s">
        <v>107</v>
      </c>
      <c r="E174" s="3">
        <f t="shared" si="16"/>
        <v>21.648406982421875</v>
      </c>
      <c r="F174" s="3">
        <f t="shared" si="17"/>
        <v>4777.9083251953125</v>
      </c>
      <c r="G174" s="3">
        <f t="shared" si="18"/>
        <v>4799.5567321777344</v>
      </c>
      <c r="H174" s="4">
        <f t="shared" si="23"/>
        <v>95</v>
      </c>
      <c r="I174" s="3">
        <f t="shared" si="19"/>
        <v>0</v>
      </c>
      <c r="J174" s="3">
        <f t="shared" si="20"/>
        <v>0</v>
      </c>
      <c r="K174" s="3">
        <f t="shared" si="21"/>
        <v>0</v>
      </c>
      <c r="L174" s="3">
        <f t="shared" si="22"/>
        <v>0.19073486328125</v>
      </c>
    </row>
    <row r="175" spans="1:12" x14ac:dyDescent="0.2">
      <c r="A175" t="s">
        <v>73</v>
      </c>
      <c r="B175">
        <v>1767073742</v>
      </c>
      <c r="C175" t="s">
        <v>15</v>
      </c>
      <c r="D175" t="s">
        <v>125</v>
      </c>
      <c r="E175" s="3">
        <f t="shared" si="16"/>
        <v>5016.326904296875</v>
      </c>
      <c r="F175" s="3">
        <f t="shared" si="17"/>
        <v>4625.3204345703125</v>
      </c>
      <c r="G175" s="3">
        <f t="shared" si="18"/>
        <v>9641.6473388671875</v>
      </c>
      <c r="H175" s="4">
        <f t="shared" si="23"/>
        <v>95</v>
      </c>
      <c r="I175" s="3">
        <f t="shared" si="19"/>
        <v>0</v>
      </c>
      <c r="J175" s="3">
        <f t="shared" si="20"/>
        <v>47.6837158203125</v>
      </c>
      <c r="K175" s="3">
        <f t="shared" si="21"/>
        <v>47.6837158203125</v>
      </c>
      <c r="L175" s="3">
        <f t="shared" si="22"/>
        <v>638.9617919921875</v>
      </c>
    </row>
    <row r="176" spans="1:12" x14ac:dyDescent="0.2">
      <c r="A176" t="s">
        <v>73</v>
      </c>
      <c r="B176">
        <v>1767073742</v>
      </c>
      <c r="C176" t="s">
        <v>17</v>
      </c>
      <c r="D176" t="s">
        <v>126</v>
      </c>
      <c r="E176" s="3">
        <f t="shared" si="16"/>
        <v>1.56402587890625</v>
      </c>
      <c r="F176" s="3">
        <f t="shared" si="17"/>
        <v>0.7781982421875</v>
      </c>
      <c r="G176" s="3">
        <f t="shared" si="18"/>
        <v>2.34222412109375</v>
      </c>
      <c r="H176" s="4">
        <f t="shared" si="23"/>
        <v>95</v>
      </c>
      <c r="I176" s="3">
        <f t="shared" si="19"/>
        <v>0</v>
      </c>
      <c r="J176" s="3">
        <f t="shared" si="20"/>
        <v>1.9073486328125E-3</v>
      </c>
      <c r="K176" s="3">
        <f t="shared" si="21"/>
        <v>1.9073486328125E-3</v>
      </c>
      <c r="L176" s="3">
        <f t="shared" si="22"/>
        <v>0.17547607421875</v>
      </c>
    </row>
    <row r="177" spans="1:12" x14ac:dyDescent="0.2">
      <c r="A177" t="s">
        <v>73</v>
      </c>
      <c r="B177">
        <v>1767073742</v>
      </c>
      <c r="C177" t="s">
        <v>19</v>
      </c>
      <c r="D177" t="s">
        <v>127</v>
      </c>
      <c r="E177" s="3">
        <f t="shared" si="16"/>
        <v>4606.2469482421875</v>
      </c>
      <c r="F177" s="3">
        <f t="shared" si="17"/>
        <v>239.37225341796875</v>
      </c>
      <c r="G177" s="3">
        <f t="shared" si="18"/>
        <v>4845.6192016601562</v>
      </c>
      <c r="H177" s="4">
        <f t="shared" si="23"/>
        <v>95</v>
      </c>
      <c r="I177" s="3">
        <f t="shared" si="19"/>
        <v>47.6837158203125</v>
      </c>
      <c r="J177" s="3">
        <f t="shared" si="20"/>
        <v>0</v>
      </c>
      <c r="K177" s="3">
        <f t="shared" si="21"/>
        <v>47.6837158203125</v>
      </c>
      <c r="L177" s="3">
        <f t="shared" si="22"/>
        <v>632.28607177734375</v>
      </c>
    </row>
    <row r="178" spans="1:12" x14ac:dyDescent="0.2">
      <c r="A178" t="s">
        <v>73</v>
      </c>
      <c r="B178">
        <v>1767073750</v>
      </c>
      <c r="C178" t="s">
        <v>13</v>
      </c>
      <c r="D178" t="s">
        <v>107</v>
      </c>
      <c r="E178" s="3">
        <f t="shared" si="16"/>
        <v>21.648406982421875</v>
      </c>
      <c r="F178" s="3">
        <f t="shared" si="17"/>
        <v>4777.9083251953125</v>
      </c>
      <c r="G178" s="3">
        <f t="shared" si="18"/>
        <v>4799.5567321777344</v>
      </c>
      <c r="H178" s="4">
        <f t="shared" si="23"/>
        <v>100</v>
      </c>
      <c r="I178" s="3">
        <f t="shared" si="19"/>
        <v>0</v>
      </c>
      <c r="J178" s="3">
        <f t="shared" si="20"/>
        <v>0</v>
      </c>
      <c r="K178" s="3">
        <f t="shared" si="21"/>
        <v>0</v>
      </c>
      <c r="L178" s="3">
        <f t="shared" si="22"/>
        <v>0.19073486328125</v>
      </c>
    </row>
    <row r="179" spans="1:12" x14ac:dyDescent="0.2">
      <c r="A179" t="s">
        <v>73</v>
      </c>
      <c r="B179">
        <v>1767073750</v>
      </c>
      <c r="C179" t="s">
        <v>15</v>
      </c>
      <c r="D179" t="s">
        <v>128</v>
      </c>
      <c r="E179" s="3">
        <f t="shared" si="16"/>
        <v>5016.326904296875</v>
      </c>
      <c r="F179" s="3">
        <f t="shared" si="17"/>
        <v>4653.9306640625</v>
      </c>
      <c r="G179" s="3">
        <f t="shared" si="18"/>
        <v>9670.257568359375</v>
      </c>
      <c r="H179" s="4">
        <f t="shared" si="23"/>
        <v>100</v>
      </c>
      <c r="I179" s="3">
        <f t="shared" si="19"/>
        <v>0</v>
      </c>
      <c r="J179" s="3">
        <f t="shared" si="20"/>
        <v>28.6102294921875</v>
      </c>
      <c r="K179" s="3">
        <f t="shared" si="21"/>
        <v>28.6102294921875</v>
      </c>
      <c r="L179" s="3">
        <f t="shared" si="22"/>
        <v>667.572021484375</v>
      </c>
    </row>
    <row r="180" spans="1:12" x14ac:dyDescent="0.2">
      <c r="A180" t="s">
        <v>73</v>
      </c>
      <c r="B180">
        <v>1767073750</v>
      </c>
      <c r="C180" t="s">
        <v>17</v>
      </c>
      <c r="D180" t="s">
        <v>129</v>
      </c>
      <c r="E180" s="3">
        <f t="shared" si="16"/>
        <v>1.5735626220703125</v>
      </c>
      <c r="F180" s="3">
        <f t="shared" si="17"/>
        <v>0.77915191650390625</v>
      </c>
      <c r="G180" s="3">
        <f t="shared" si="18"/>
        <v>2.3527145385742188</v>
      </c>
      <c r="H180" s="4">
        <f t="shared" si="23"/>
        <v>100</v>
      </c>
      <c r="I180" s="3">
        <f t="shared" si="19"/>
        <v>9.5367431640625E-3</v>
      </c>
      <c r="J180" s="3">
        <f t="shared" si="20"/>
        <v>9.5367431640625E-4</v>
      </c>
      <c r="K180" s="3">
        <f t="shared" si="21"/>
        <v>1.049041748046875E-2</v>
      </c>
      <c r="L180" s="3">
        <f t="shared" si="22"/>
        <v>0.18596649169921875</v>
      </c>
    </row>
    <row r="181" spans="1:12" x14ac:dyDescent="0.2">
      <c r="A181" t="s">
        <v>73</v>
      </c>
      <c r="B181">
        <v>1767073750</v>
      </c>
      <c r="C181" t="s">
        <v>19</v>
      </c>
      <c r="D181" t="s">
        <v>130</v>
      </c>
      <c r="E181" s="3">
        <f t="shared" si="16"/>
        <v>4634.857177734375</v>
      </c>
      <c r="F181" s="3">
        <f t="shared" si="17"/>
        <v>239.37225341796875</v>
      </c>
      <c r="G181" s="3">
        <f t="shared" si="18"/>
        <v>4874.2294311523438</v>
      </c>
      <c r="H181" s="4">
        <f t="shared" si="23"/>
        <v>100</v>
      </c>
      <c r="I181" s="3">
        <f t="shared" si="19"/>
        <v>28.6102294921875</v>
      </c>
      <c r="J181" s="3">
        <f t="shared" si="20"/>
        <v>0</v>
      </c>
      <c r="K181" s="3">
        <f t="shared" si="21"/>
        <v>28.6102294921875</v>
      </c>
      <c r="L181" s="3">
        <f t="shared" si="22"/>
        <v>660.89630126953125</v>
      </c>
    </row>
    <row r="182" spans="1:12" x14ac:dyDescent="0.2">
      <c r="A182" t="s">
        <v>73</v>
      </c>
      <c r="B182">
        <v>1767073757</v>
      </c>
      <c r="C182" t="s">
        <v>13</v>
      </c>
      <c r="D182" t="s">
        <v>107</v>
      </c>
      <c r="E182" s="3">
        <f t="shared" si="16"/>
        <v>21.648406982421875</v>
      </c>
      <c r="F182" s="3">
        <f t="shared" si="17"/>
        <v>4777.9083251953125</v>
      </c>
      <c r="G182" s="3">
        <f t="shared" si="18"/>
        <v>4799.5567321777344</v>
      </c>
      <c r="H182" s="4">
        <f t="shared" si="23"/>
        <v>105</v>
      </c>
      <c r="I182" s="3">
        <f t="shared" si="19"/>
        <v>0</v>
      </c>
      <c r="J182" s="3">
        <f t="shared" si="20"/>
        <v>0</v>
      </c>
      <c r="K182" s="3">
        <f t="shared" si="21"/>
        <v>0</v>
      </c>
      <c r="L182" s="3">
        <f t="shared" si="22"/>
        <v>0.19073486328125</v>
      </c>
    </row>
    <row r="183" spans="1:12" x14ac:dyDescent="0.2">
      <c r="A183" t="s">
        <v>73</v>
      </c>
      <c r="B183">
        <v>1767073757</v>
      </c>
      <c r="C183" t="s">
        <v>15</v>
      </c>
      <c r="D183" t="s">
        <v>128</v>
      </c>
      <c r="E183" s="3">
        <f t="shared" si="16"/>
        <v>5016.326904296875</v>
      </c>
      <c r="F183" s="3">
        <f t="shared" si="17"/>
        <v>4653.9306640625</v>
      </c>
      <c r="G183" s="3">
        <f t="shared" si="18"/>
        <v>9670.257568359375</v>
      </c>
      <c r="H183" s="4">
        <f t="shared" si="23"/>
        <v>105</v>
      </c>
      <c r="I183" s="3">
        <f t="shared" si="19"/>
        <v>0</v>
      </c>
      <c r="J183" s="3">
        <f t="shared" si="20"/>
        <v>0</v>
      </c>
      <c r="K183" s="3">
        <f t="shared" si="21"/>
        <v>0</v>
      </c>
      <c r="L183" s="3">
        <f t="shared" si="22"/>
        <v>667.572021484375</v>
      </c>
    </row>
    <row r="184" spans="1:12" x14ac:dyDescent="0.2">
      <c r="A184" t="s">
        <v>73</v>
      </c>
      <c r="B184">
        <v>1767073757</v>
      </c>
      <c r="C184" t="s">
        <v>17</v>
      </c>
      <c r="D184" t="s">
        <v>131</v>
      </c>
      <c r="E184" s="3">
        <f t="shared" si="16"/>
        <v>1.583099365234375</v>
      </c>
      <c r="F184" s="3">
        <f t="shared" si="17"/>
        <v>0.782012939453125</v>
      </c>
      <c r="G184" s="3">
        <f t="shared" si="18"/>
        <v>2.3651123046875</v>
      </c>
      <c r="H184" s="4">
        <f t="shared" si="23"/>
        <v>105</v>
      </c>
      <c r="I184" s="3">
        <f t="shared" si="19"/>
        <v>9.5367431640625E-3</v>
      </c>
      <c r="J184" s="3">
        <f t="shared" si="20"/>
        <v>2.86102294921875E-3</v>
      </c>
      <c r="K184" s="3">
        <f t="shared" si="21"/>
        <v>1.239776611328125E-2</v>
      </c>
      <c r="L184" s="3">
        <f t="shared" si="22"/>
        <v>0.1983642578125</v>
      </c>
    </row>
    <row r="185" spans="1:12" x14ac:dyDescent="0.2">
      <c r="A185" t="s">
        <v>73</v>
      </c>
      <c r="B185">
        <v>1767073757</v>
      </c>
      <c r="C185" t="s">
        <v>19</v>
      </c>
      <c r="D185" t="s">
        <v>130</v>
      </c>
      <c r="E185" s="3">
        <f t="shared" si="16"/>
        <v>4634.857177734375</v>
      </c>
      <c r="F185" s="3">
        <f t="shared" si="17"/>
        <v>239.37225341796875</v>
      </c>
      <c r="G185" s="3">
        <f t="shared" si="18"/>
        <v>4874.2294311523438</v>
      </c>
      <c r="H185" s="4">
        <f t="shared" si="23"/>
        <v>105</v>
      </c>
      <c r="I185" s="3">
        <f t="shared" si="19"/>
        <v>0</v>
      </c>
      <c r="J185" s="3">
        <f t="shared" si="20"/>
        <v>0</v>
      </c>
      <c r="K185" s="3">
        <f t="shared" si="21"/>
        <v>0</v>
      </c>
      <c r="L185" s="3">
        <f t="shared" si="22"/>
        <v>660.89630126953125</v>
      </c>
    </row>
    <row r="186" spans="1:12" x14ac:dyDescent="0.2">
      <c r="A186" t="s">
        <v>73</v>
      </c>
      <c r="B186">
        <v>1767073764</v>
      </c>
      <c r="C186" t="s">
        <v>13</v>
      </c>
      <c r="D186" t="s">
        <v>107</v>
      </c>
      <c r="E186" s="3">
        <f t="shared" si="16"/>
        <v>21.648406982421875</v>
      </c>
      <c r="F186" s="3">
        <f t="shared" si="17"/>
        <v>4777.9083251953125</v>
      </c>
      <c r="G186" s="3">
        <f t="shared" si="18"/>
        <v>4799.5567321777344</v>
      </c>
      <c r="H186" s="4">
        <f t="shared" si="23"/>
        <v>110</v>
      </c>
      <c r="I186" s="3">
        <f t="shared" si="19"/>
        <v>0</v>
      </c>
      <c r="J186" s="3">
        <f t="shared" si="20"/>
        <v>0</v>
      </c>
      <c r="K186" s="3">
        <f t="shared" si="21"/>
        <v>0</v>
      </c>
      <c r="L186" s="3">
        <f t="shared" si="22"/>
        <v>0.19073486328125</v>
      </c>
    </row>
    <row r="187" spans="1:12" x14ac:dyDescent="0.2">
      <c r="A187" t="s">
        <v>73</v>
      </c>
      <c r="B187">
        <v>1767073764</v>
      </c>
      <c r="C187" t="s">
        <v>15</v>
      </c>
      <c r="D187" t="s">
        <v>132</v>
      </c>
      <c r="E187" s="3">
        <f t="shared" si="16"/>
        <v>5016.326904296875</v>
      </c>
      <c r="F187" s="3">
        <f t="shared" si="17"/>
        <v>4720.6878662109375</v>
      </c>
      <c r="G187" s="3">
        <f t="shared" si="18"/>
        <v>9737.0147705078125</v>
      </c>
      <c r="H187" s="4">
        <f t="shared" si="23"/>
        <v>110</v>
      </c>
      <c r="I187" s="3">
        <f t="shared" si="19"/>
        <v>0</v>
      </c>
      <c r="J187" s="3">
        <f t="shared" si="20"/>
        <v>66.7572021484375</v>
      </c>
      <c r="K187" s="3">
        <f t="shared" si="21"/>
        <v>66.7572021484375</v>
      </c>
      <c r="L187" s="3">
        <f t="shared" si="22"/>
        <v>734.3292236328125</v>
      </c>
    </row>
    <row r="188" spans="1:12" x14ac:dyDescent="0.2">
      <c r="A188" t="s">
        <v>73</v>
      </c>
      <c r="B188">
        <v>1767073764</v>
      </c>
      <c r="C188" t="s">
        <v>17</v>
      </c>
      <c r="D188" t="s">
        <v>133</v>
      </c>
      <c r="E188" s="3">
        <f t="shared" si="16"/>
        <v>1.583099365234375</v>
      </c>
      <c r="F188" s="3">
        <f t="shared" si="17"/>
        <v>0.7839202880859375</v>
      </c>
      <c r="G188" s="3">
        <f t="shared" si="18"/>
        <v>2.3670196533203125</v>
      </c>
      <c r="H188" s="4">
        <f t="shared" si="23"/>
        <v>110</v>
      </c>
      <c r="I188" s="3">
        <f t="shared" si="19"/>
        <v>0</v>
      </c>
      <c r="J188" s="3">
        <f t="shared" si="20"/>
        <v>1.9073486328125E-3</v>
      </c>
      <c r="K188" s="3">
        <f t="shared" si="21"/>
        <v>1.9073486328125E-3</v>
      </c>
      <c r="L188" s="3">
        <f t="shared" si="22"/>
        <v>0.2002716064453125</v>
      </c>
    </row>
    <row r="189" spans="1:12" x14ac:dyDescent="0.2">
      <c r="A189" t="s">
        <v>73</v>
      </c>
      <c r="B189">
        <v>1767073764</v>
      </c>
      <c r="C189" t="s">
        <v>19</v>
      </c>
      <c r="D189" t="s">
        <v>134</v>
      </c>
      <c r="E189" s="3">
        <f t="shared" si="16"/>
        <v>4692.07763671875</v>
      </c>
      <c r="F189" s="3">
        <f t="shared" si="17"/>
        <v>239.37225341796875</v>
      </c>
      <c r="G189" s="3">
        <f t="shared" si="18"/>
        <v>4931.4498901367188</v>
      </c>
      <c r="H189" s="4">
        <f t="shared" si="23"/>
        <v>110</v>
      </c>
      <c r="I189" s="3">
        <f t="shared" si="19"/>
        <v>57.220458984375</v>
      </c>
      <c r="J189" s="3">
        <f t="shared" si="20"/>
        <v>0</v>
      </c>
      <c r="K189" s="3">
        <f t="shared" si="21"/>
        <v>57.220458984375</v>
      </c>
      <c r="L189" s="3">
        <f t="shared" si="22"/>
        <v>718.11676025390625</v>
      </c>
    </row>
    <row r="190" spans="1:12" x14ac:dyDescent="0.2">
      <c r="A190" t="s">
        <v>73</v>
      </c>
      <c r="B190">
        <v>1767073772</v>
      </c>
      <c r="C190" t="s">
        <v>13</v>
      </c>
      <c r="D190" t="s">
        <v>107</v>
      </c>
      <c r="E190" s="3">
        <f t="shared" si="16"/>
        <v>21.648406982421875</v>
      </c>
      <c r="F190" s="3">
        <f t="shared" si="17"/>
        <v>4777.9083251953125</v>
      </c>
      <c r="G190" s="3">
        <f t="shared" si="18"/>
        <v>4799.5567321777344</v>
      </c>
      <c r="H190" s="4">
        <f t="shared" si="23"/>
        <v>115</v>
      </c>
      <c r="I190" s="3">
        <f t="shared" si="19"/>
        <v>0</v>
      </c>
      <c r="J190" s="3">
        <f t="shared" si="20"/>
        <v>0</v>
      </c>
      <c r="K190" s="3">
        <f t="shared" si="21"/>
        <v>0</v>
      </c>
      <c r="L190" s="3">
        <f t="shared" si="22"/>
        <v>0.19073486328125</v>
      </c>
    </row>
    <row r="191" spans="1:12" x14ac:dyDescent="0.2">
      <c r="A191" t="s">
        <v>73</v>
      </c>
      <c r="B191">
        <v>1767073772</v>
      </c>
      <c r="C191" t="s">
        <v>15</v>
      </c>
      <c r="D191" t="s">
        <v>135</v>
      </c>
      <c r="E191" s="3">
        <f t="shared" si="16"/>
        <v>5016.326904296875</v>
      </c>
      <c r="F191" s="3">
        <f t="shared" si="17"/>
        <v>4787.445068359375</v>
      </c>
      <c r="G191" s="3">
        <f t="shared" si="18"/>
        <v>9803.77197265625</v>
      </c>
      <c r="H191" s="4">
        <f t="shared" si="23"/>
        <v>115</v>
      </c>
      <c r="I191" s="3">
        <f t="shared" si="19"/>
        <v>0</v>
      </c>
      <c r="J191" s="3">
        <f t="shared" si="20"/>
        <v>66.7572021484375</v>
      </c>
      <c r="K191" s="3">
        <f t="shared" si="21"/>
        <v>66.7572021484375</v>
      </c>
      <c r="L191" s="3">
        <f t="shared" si="22"/>
        <v>801.08642578125</v>
      </c>
    </row>
    <row r="192" spans="1:12" x14ac:dyDescent="0.2">
      <c r="A192" t="s">
        <v>73</v>
      </c>
      <c r="B192">
        <v>1767073772</v>
      </c>
      <c r="C192" t="s">
        <v>17</v>
      </c>
      <c r="D192" t="s">
        <v>136</v>
      </c>
      <c r="E192" s="3">
        <f t="shared" si="16"/>
        <v>1.5926361083984375</v>
      </c>
      <c r="F192" s="3">
        <f t="shared" si="17"/>
        <v>0.78582763671875</v>
      </c>
      <c r="G192" s="3">
        <f t="shared" si="18"/>
        <v>2.3784637451171875</v>
      </c>
      <c r="H192" s="4">
        <f t="shared" si="23"/>
        <v>115</v>
      </c>
      <c r="I192" s="3">
        <f t="shared" si="19"/>
        <v>9.5367431640625E-3</v>
      </c>
      <c r="J192" s="3">
        <f t="shared" si="20"/>
        <v>1.9073486328125E-3</v>
      </c>
      <c r="K192" s="3">
        <f t="shared" si="21"/>
        <v>1.1444091796875E-2</v>
      </c>
      <c r="L192" s="3">
        <f t="shared" si="22"/>
        <v>0.2117156982421875</v>
      </c>
    </row>
    <row r="193" spans="1:12" x14ac:dyDescent="0.2">
      <c r="A193" t="s">
        <v>73</v>
      </c>
      <c r="B193">
        <v>1767073772</v>
      </c>
      <c r="C193" t="s">
        <v>19</v>
      </c>
      <c r="D193" t="s">
        <v>137</v>
      </c>
      <c r="E193" s="3">
        <f t="shared" si="16"/>
        <v>4758.8348388671875</v>
      </c>
      <c r="F193" s="3">
        <f t="shared" si="17"/>
        <v>240.325927734375</v>
      </c>
      <c r="G193" s="3">
        <f t="shared" si="18"/>
        <v>4999.1607666015625</v>
      </c>
      <c r="H193" s="4">
        <f t="shared" si="23"/>
        <v>115</v>
      </c>
      <c r="I193" s="3">
        <f t="shared" si="19"/>
        <v>66.7572021484375</v>
      </c>
      <c r="J193" s="3">
        <f t="shared" si="20"/>
        <v>0.95367431640625</v>
      </c>
      <c r="K193" s="3">
        <f t="shared" si="21"/>
        <v>67.71087646484375</v>
      </c>
      <c r="L193" s="3">
        <f t="shared" si="22"/>
        <v>785.82763671875</v>
      </c>
    </row>
    <row r="194" spans="1:12" x14ac:dyDescent="0.2">
      <c r="A194" t="s">
        <v>73</v>
      </c>
      <c r="B194">
        <v>1767073779</v>
      </c>
      <c r="C194" t="s">
        <v>13</v>
      </c>
      <c r="D194" t="s">
        <v>138</v>
      </c>
      <c r="E194" s="3">
        <f t="shared" ref="E194:E257" si="24">IF(RIGHT(TRIM(LEFT($D194,FIND("/",$D194)-1)),2)="kB",VALUE(LEFT(TRIM(LEFT($D194,FIND("/",$D194)-1)),LEN(TRIM(LEFT($D194,FIND("/",$D194)-1)))-2))*1000/1024/1024,IF(RIGHT(TRIM(LEFT($D194,FIND("/",$D194)-1)),2)="MB",VALUE(LEFT(TRIM(LEFT($D194,FIND("/",$D194)-1)),LEN(TRIM(LEFT($D194,FIND("/",$D194)-1)))-2))*1000*1000/1024/1024,IF(RIGHT(TRIM(LEFT($D194,FIND("/",$D194)-1)),2)="GB",VALUE(LEFT(TRIM(LEFT($D194,FIND("/",$D194)-1)),LEN(TRIM(LEFT($D194,FIND("/",$D194)-1)))-2))*1000*1000*1000/1024/1024,0)))</f>
        <v>21.7437744140625</v>
      </c>
      <c r="F194" s="3">
        <f t="shared" ref="F194:F257" si="25">IF(RIGHT(TRIM(MID($D194,FIND("/",$D194)+1,999)),2)="kB",VALUE(LEFT(TRIM(MID($D194,FIND("/",$D194)+1,999)),LEN(TRIM(MID($D194,FIND("/",$D194)+1,999)))-2))*1000/1024/1024,IF(RIGHT(TRIM(MID($D194,FIND("/",$D194)+1,999)),2)="MB",VALUE(LEFT(TRIM(MID($D194,FIND("/",$D194)+1,999)),LEN(TRIM(MID($D194,FIND("/",$D194)+1,999)))-2))*1000*1000/1024/1024,IF(RIGHT(TRIM(MID($D194,FIND("/",$D194)+1,999)),2)="GB",VALUE(LEFT(TRIM(MID($D194,FIND("/",$D194)+1,999)),LEN(TRIM(MID($D194,FIND("/",$D194)+1,999)))-2))*1000*1000*1000/1024/1024,0)))</f>
        <v>4777.9083251953125</v>
      </c>
      <c r="G194" s="3">
        <f t="shared" ref="G194:G257" si="26">$E194+$F194</f>
        <v>4799.652099609375</v>
      </c>
      <c r="H194" s="4">
        <f t="shared" si="23"/>
        <v>120</v>
      </c>
      <c r="I194" s="3">
        <f t="shared" ref="I194:I257" si="27">IF($H194=0,0,MAX(0,$E194-SUMIFS($E$2:$E$349,$A$2:$A$349,$A194,$C$2:$C$349,$C194,$H$2:$H$349,$H194-5)))</f>
        <v>9.5367431640625E-2</v>
      </c>
      <c r="J194" s="3">
        <f t="shared" ref="J194:J257" si="28">IF($H194=0,0,MAX(0,$F194-SUMIFS($F$2:$F$349,$A$2:$A$349,$A194,$C$2:$C$349,$C194,$H$2:$H$349,$H194-5)))</f>
        <v>0</v>
      </c>
      <c r="K194" s="3">
        <f t="shared" ref="K194:K257" si="29">IF($H194=0,0,MAX(0,$G194-SUMIFS($G$2:$G$349,$A$2:$A$349,$A194,$C$2:$C$349,$C194,$H$2:$H$349,$H194-5)))</f>
        <v>9.5367431640625E-2</v>
      </c>
      <c r="L194" s="3">
        <f t="shared" ref="L194:L257" si="30">MAX(0,$G194-SUMIFS($G$2:$G$349,$A$2:$A$349,$A194,$C$2:$C$349,$C194,$H$2:$H$349,0))</f>
        <v>0.286102294921875</v>
      </c>
    </row>
    <row r="195" spans="1:12" x14ac:dyDescent="0.2">
      <c r="A195" t="s">
        <v>73</v>
      </c>
      <c r="B195">
        <v>1767073779</v>
      </c>
      <c r="C195" t="s">
        <v>15</v>
      </c>
      <c r="D195" t="s">
        <v>135</v>
      </c>
      <c r="E195" s="3">
        <f t="shared" si="24"/>
        <v>5016.326904296875</v>
      </c>
      <c r="F195" s="3">
        <f t="shared" si="25"/>
        <v>4787.445068359375</v>
      </c>
      <c r="G195" s="3">
        <f t="shared" si="26"/>
        <v>9803.77197265625</v>
      </c>
      <c r="H195" s="4">
        <f t="shared" ref="H195:H258" si="31">IF($A195&lt;&gt;$A194,0,IF($B195=$B194,$H194,$H194+5))</f>
        <v>120</v>
      </c>
      <c r="I195" s="3">
        <f t="shared" si="27"/>
        <v>0</v>
      </c>
      <c r="J195" s="3">
        <f t="shared" si="28"/>
        <v>0</v>
      </c>
      <c r="K195" s="3">
        <f t="shared" si="29"/>
        <v>0</v>
      </c>
      <c r="L195" s="3">
        <f t="shared" si="30"/>
        <v>801.08642578125</v>
      </c>
    </row>
    <row r="196" spans="1:12" x14ac:dyDescent="0.2">
      <c r="A196" t="s">
        <v>73</v>
      </c>
      <c r="B196">
        <v>1767073779</v>
      </c>
      <c r="C196" t="s">
        <v>17</v>
      </c>
      <c r="D196" t="s">
        <v>139</v>
      </c>
      <c r="E196" s="3">
        <f t="shared" si="24"/>
        <v>1.6021728515625</v>
      </c>
      <c r="F196" s="3">
        <f t="shared" si="25"/>
        <v>0.78868865966796875</v>
      </c>
      <c r="G196" s="3">
        <f t="shared" si="26"/>
        <v>2.3908615112304688</v>
      </c>
      <c r="H196" s="4">
        <f t="shared" si="31"/>
        <v>120</v>
      </c>
      <c r="I196" s="3">
        <f t="shared" si="27"/>
        <v>9.5367431640625E-3</v>
      </c>
      <c r="J196" s="3">
        <f t="shared" si="28"/>
        <v>2.86102294921875E-3</v>
      </c>
      <c r="K196" s="3">
        <f t="shared" si="29"/>
        <v>1.239776611328125E-2</v>
      </c>
      <c r="L196" s="3">
        <f t="shared" si="30"/>
        <v>0.22411346435546875</v>
      </c>
    </row>
    <row r="197" spans="1:12" x14ac:dyDescent="0.2">
      <c r="A197" t="s">
        <v>73</v>
      </c>
      <c r="B197">
        <v>1767073779</v>
      </c>
      <c r="C197" t="s">
        <v>19</v>
      </c>
      <c r="D197" t="s">
        <v>140</v>
      </c>
      <c r="E197" s="3">
        <f t="shared" si="24"/>
        <v>4768.37158203125</v>
      </c>
      <c r="F197" s="3">
        <f t="shared" si="25"/>
        <v>240.325927734375</v>
      </c>
      <c r="G197" s="3">
        <f t="shared" si="26"/>
        <v>5008.697509765625</v>
      </c>
      <c r="H197" s="4">
        <f t="shared" si="31"/>
        <v>120</v>
      </c>
      <c r="I197" s="3">
        <f t="shared" si="27"/>
        <v>9.5367431640625</v>
      </c>
      <c r="J197" s="3">
        <f t="shared" si="28"/>
        <v>0</v>
      </c>
      <c r="K197" s="3">
        <f t="shared" si="29"/>
        <v>9.5367431640625</v>
      </c>
      <c r="L197" s="3">
        <f t="shared" si="30"/>
        <v>795.3643798828125</v>
      </c>
    </row>
    <row r="198" spans="1:12" x14ac:dyDescent="0.2">
      <c r="A198" t="s">
        <v>73</v>
      </c>
      <c r="B198">
        <v>1767073787</v>
      </c>
      <c r="C198" t="s">
        <v>13</v>
      </c>
      <c r="D198" t="s">
        <v>138</v>
      </c>
      <c r="E198" s="3">
        <f t="shared" si="24"/>
        <v>21.7437744140625</v>
      </c>
      <c r="F198" s="3">
        <f t="shared" si="25"/>
        <v>4777.9083251953125</v>
      </c>
      <c r="G198" s="3">
        <f t="shared" si="26"/>
        <v>4799.652099609375</v>
      </c>
      <c r="H198" s="4">
        <f t="shared" si="31"/>
        <v>125</v>
      </c>
      <c r="I198" s="3">
        <f t="shared" si="27"/>
        <v>0</v>
      </c>
      <c r="J198" s="3">
        <f t="shared" si="28"/>
        <v>0</v>
      </c>
      <c r="K198" s="3">
        <f t="shared" si="29"/>
        <v>0</v>
      </c>
      <c r="L198" s="3">
        <f t="shared" si="30"/>
        <v>0.286102294921875</v>
      </c>
    </row>
    <row r="199" spans="1:12" x14ac:dyDescent="0.2">
      <c r="A199" t="s">
        <v>73</v>
      </c>
      <c r="B199">
        <v>1767073787</v>
      </c>
      <c r="C199" t="s">
        <v>15</v>
      </c>
      <c r="D199" t="s">
        <v>141</v>
      </c>
      <c r="E199" s="3">
        <f t="shared" si="24"/>
        <v>5016.326904296875</v>
      </c>
      <c r="F199" s="3">
        <f t="shared" si="25"/>
        <v>4844.66552734375</v>
      </c>
      <c r="G199" s="3">
        <f t="shared" si="26"/>
        <v>9860.992431640625</v>
      </c>
      <c r="H199" s="4">
        <f t="shared" si="31"/>
        <v>125</v>
      </c>
      <c r="I199" s="3">
        <f t="shared" si="27"/>
        <v>0</v>
      </c>
      <c r="J199" s="3">
        <f t="shared" si="28"/>
        <v>57.220458984375</v>
      </c>
      <c r="K199" s="3">
        <f t="shared" si="29"/>
        <v>57.220458984375</v>
      </c>
      <c r="L199" s="3">
        <f t="shared" si="30"/>
        <v>858.306884765625</v>
      </c>
    </row>
    <row r="200" spans="1:12" x14ac:dyDescent="0.2">
      <c r="A200" t="s">
        <v>73</v>
      </c>
      <c r="B200">
        <v>1767073787</v>
      </c>
      <c r="C200" t="s">
        <v>17</v>
      </c>
      <c r="D200" t="s">
        <v>142</v>
      </c>
      <c r="E200" s="3">
        <f t="shared" si="24"/>
        <v>1.6021728515625</v>
      </c>
      <c r="F200" s="3">
        <f t="shared" si="25"/>
        <v>0.789642333984375</v>
      </c>
      <c r="G200" s="3">
        <f t="shared" si="26"/>
        <v>2.391815185546875</v>
      </c>
      <c r="H200" s="4">
        <f t="shared" si="31"/>
        <v>125</v>
      </c>
      <c r="I200" s="3">
        <f t="shared" si="27"/>
        <v>0</v>
      </c>
      <c r="J200" s="3">
        <f t="shared" si="28"/>
        <v>9.5367431640625E-4</v>
      </c>
      <c r="K200" s="3">
        <f t="shared" si="29"/>
        <v>9.5367431640625E-4</v>
      </c>
      <c r="L200" s="3">
        <f t="shared" si="30"/>
        <v>0.225067138671875</v>
      </c>
    </row>
    <row r="201" spans="1:12" x14ac:dyDescent="0.2">
      <c r="A201" t="s">
        <v>73</v>
      </c>
      <c r="B201">
        <v>1767073787</v>
      </c>
      <c r="C201" t="s">
        <v>19</v>
      </c>
      <c r="D201" t="s">
        <v>143</v>
      </c>
      <c r="E201" s="3">
        <f t="shared" si="24"/>
        <v>4825.592041015625</v>
      </c>
      <c r="F201" s="3">
        <f t="shared" si="25"/>
        <v>240.325927734375</v>
      </c>
      <c r="G201" s="3">
        <f t="shared" si="26"/>
        <v>5065.91796875</v>
      </c>
      <c r="H201" s="4">
        <f t="shared" si="31"/>
        <v>125</v>
      </c>
      <c r="I201" s="3">
        <f t="shared" si="27"/>
        <v>57.220458984375</v>
      </c>
      <c r="J201" s="3">
        <f t="shared" si="28"/>
        <v>0</v>
      </c>
      <c r="K201" s="3">
        <f t="shared" si="29"/>
        <v>57.220458984375</v>
      </c>
      <c r="L201" s="3">
        <f t="shared" si="30"/>
        <v>852.5848388671875</v>
      </c>
    </row>
    <row r="202" spans="1:12" x14ac:dyDescent="0.2">
      <c r="A202" t="s">
        <v>73</v>
      </c>
      <c r="B202">
        <v>1767073794</v>
      </c>
      <c r="C202" t="s">
        <v>13</v>
      </c>
      <c r="D202" t="s">
        <v>138</v>
      </c>
      <c r="E202" s="3">
        <f t="shared" si="24"/>
        <v>21.7437744140625</v>
      </c>
      <c r="F202" s="3">
        <f t="shared" si="25"/>
        <v>4777.9083251953125</v>
      </c>
      <c r="G202" s="3">
        <f t="shared" si="26"/>
        <v>4799.652099609375</v>
      </c>
      <c r="H202" s="4">
        <f t="shared" si="31"/>
        <v>130</v>
      </c>
      <c r="I202" s="3">
        <f t="shared" si="27"/>
        <v>0</v>
      </c>
      <c r="J202" s="3">
        <f t="shared" si="28"/>
        <v>0</v>
      </c>
      <c r="K202" s="3">
        <f t="shared" si="29"/>
        <v>0</v>
      </c>
      <c r="L202" s="3">
        <f t="shared" si="30"/>
        <v>0.286102294921875</v>
      </c>
    </row>
    <row r="203" spans="1:12" x14ac:dyDescent="0.2">
      <c r="A203" t="s">
        <v>73</v>
      </c>
      <c r="B203">
        <v>1767073794</v>
      </c>
      <c r="C203" t="s">
        <v>15</v>
      </c>
      <c r="D203" t="s">
        <v>144</v>
      </c>
      <c r="E203" s="3">
        <f t="shared" si="24"/>
        <v>5016.326904296875</v>
      </c>
      <c r="F203" s="3">
        <f t="shared" si="25"/>
        <v>4892.3492431640625</v>
      </c>
      <c r="G203" s="3">
        <f t="shared" si="26"/>
        <v>9908.6761474609375</v>
      </c>
      <c r="H203" s="4">
        <f t="shared" si="31"/>
        <v>130</v>
      </c>
      <c r="I203" s="3">
        <f t="shared" si="27"/>
        <v>0</v>
      </c>
      <c r="J203" s="3">
        <f t="shared" si="28"/>
        <v>47.6837158203125</v>
      </c>
      <c r="K203" s="3">
        <f t="shared" si="29"/>
        <v>47.6837158203125</v>
      </c>
      <c r="L203" s="3">
        <f t="shared" si="30"/>
        <v>905.9906005859375</v>
      </c>
    </row>
    <row r="204" spans="1:12" x14ac:dyDescent="0.2">
      <c r="A204" t="s">
        <v>73</v>
      </c>
      <c r="B204">
        <v>1767073794</v>
      </c>
      <c r="C204" t="s">
        <v>17</v>
      </c>
      <c r="D204" t="s">
        <v>145</v>
      </c>
      <c r="E204" s="3">
        <f t="shared" si="24"/>
        <v>1.6117095947265625</v>
      </c>
      <c r="F204" s="3">
        <f t="shared" si="25"/>
        <v>0.7915496826171875</v>
      </c>
      <c r="G204" s="3">
        <f t="shared" si="26"/>
        <v>2.40325927734375</v>
      </c>
      <c r="H204" s="4">
        <f t="shared" si="31"/>
        <v>130</v>
      </c>
      <c r="I204" s="3">
        <f t="shared" si="27"/>
        <v>9.5367431640625E-3</v>
      </c>
      <c r="J204" s="3">
        <f t="shared" si="28"/>
        <v>1.9073486328125E-3</v>
      </c>
      <c r="K204" s="3">
        <f t="shared" si="29"/>
        <v>1.1444091796875E-2</v>
      </c>
      <c r="L204" s="3">
        <f t="shared" si="30"/>
        <v>0.23651123046875</v>
      </c>
    </row>
    <row r="205" spans="1:12" x14ac:dyDescent="0.2">
      <c r="A205" t="s">
        <v>73</v>
      </c>
      <c r="B205">
        <v>1767073794</v>
      </c>
      <c r="C205" t="s">
        <v>19</v>
      </c>
      <c r="D205" t="s">
        <v>146</v>
      </c>
      <c r="E205" s="3">
        <f t="shared" si="24"/>
        <v>4873.2757568359375</v>
      </c>
      <c r="F205" s="3">
        <f t="shared" si="25"/>
        <v>240.325927734375</v>
      </c>
      <c r="G205" s="3">
        <f t="shared" si="26"/>
        <v>5113.6016845703125</v>
      </c>
      <c r="H205" s="4">
        <f t="shared" si="31"/>
        <v>130</v>
      </c>
      <c r="I205" s="3">
        <f t="shared" si="27"/>
        <v>47.6837158203125</v>
      </c>
      <c r="J205" s="3">
        <f t="shared" si="28"/>
        <v>0</v>
      </c>
      <c r="K205" s="3">
        <f t="shared" si="29"/>
        <v>47.6837158203125</v>
      </c>
      <c r="L205" s="3">
        <f t="shared" si="30"/>
        <v>900.2685546875</v>
      </c>
    </row>
    <row r="206" spans="1:12" x14ac:dyDescent="0.2">
      <c r="A206" t="s">
        <v>73</v>
      </c>
      <c r="B206">
        <v>1767073802</v>
      </c>
      <c r="C206" t="s">
        <v>13</v>
      </c>
      <c r="D206" t="s">
        <v>138</v>
      </c>
      <c r="E206" s="3">
        <f t="shared" si="24"/>
        <v>21.7437744140625</v>
      </c>
      <c r="F206" s="3">
        <f t="shared" si="25"/>
        <v>4777.9083251953125</v>
      </c>
      <c r="G206" s="3">
        <f t="shared" si="26"/>
        <v>4799.652099609375</v>
      </c>
      <c r="H206" s="4">
        <f t="shared" si="31"/>
        <v>135</v>
      </c>
      <c r="I206" s="3">
        <f t="shared" si="27"/>
        <v>0</v>
      </c>
      <c r="J206" s="3">
        <f t="shared" si="28"/>
        <v>0</v>
      </c>
      <c r="K206" s="3">
        <f t="shared" si="29"/>
        <v>0</v>
      </c>
      <c r="L206" s="3">
        <f t="shared" si="30"/>
        <v>0.286102294921875</v>
      </c>
    </row>
    <row r="207" spans="1:12" x14ac:dyDescent="0.2">
      <c r="A207" t="s">
        <v>73</v>
      </c>
      <c r="B207">
        <v>1767073802</v>
      </c>
      <c r="C207" t="s">
        <v>15</v>
      </c>
      <c r="D207" t="s">
        <v>147</v>
      </c>
      <c r="E207" s="3">
        <f t="shared" si="24"/>
        <v>5016.326904296875</v>
      </c>
      <c r="F207" s="3">
        <f t="shared" si="25"/>
        <v>4911.4227294921875</v>
      </c>
      <c r="G207" s="3">
        <f t="shared" si="26"/>
        <v>9927.7496337890625</v>
      </c>
      <c r="H207" s="4">
        <f t="shared" si="31"/>
        <v>135</v>
      </c>
      <c r="I207" s="3">
        <f t="shared" si="27"/>
        <v>0</v>
      </c>
      <c r="J207" s="3">
        <f t="shared" si="28"/>
        <v>19.073486328125</v>
      </c>
      <c r="K207" s="3">
        <f t="shared" si="29"/>
        <v>19.073486328125</v>
      </c>
      <c r="L207" s="3">
        <f t="shared" si="30"/>
        <v>925.0640869140625</v>
      </c>
    </row>
    <row r="208" spans="1:12" x14ac:dyDescent="0.2">
      <c r="A208" t="s">
        <v>73</v>
      </c>
      <c r="B208">
        <v>1767073802</v>
      </c>
      <c r="C208" t="s">
        <v>17</v>
      </c>
      <c r="D208" t="s">
        <v>148</v>
      </c>
      <c r="E208" s="3">
        <f t="shared" si="24"/>
        <v>1.621246337890625</v>
      </c>
      <c r="F208" s="3">
        <f t="shared" si="25"/>
        <v>0.79345703125</v>
      </c>
      <c r="G208" s="3">
        <f t="shared" si="26"/>
        <v>2.414703369140625</v>
      </c>
      <c r="H208" s="4">
        <f t="shared" si="31"/>
        <v>135</v>
      </c>
      <c r="I208" s="3">
        <f t="shared" si="27"/>
        <v>9.5367431640625E-3</v>
      </c>
      <c r="J208" s="3">
        <f t="shared" si="28"/>
        <v>1.9073486328125E-3</v>
      </c>
      <c r="K208" s="3">
        <f t="shared" si="29"/>
        <v>1.1444091796875E-2</v>
      </c>
      <c r="L208" s="3">
        <f t="shared" si="30"/>
        <v>0.247955322265625</v>
      </c>
    </row>
    <row r="209" spans="1:12" x14ac:dyDescent="0.2">
      <c r="A209" t="s">
        <v>73</v>
      </c>
      <c r="B209">
        <v>1767073802</v>
      </c>
      <c r="C209" t="s">
        <v>19</v>
      </c>
      <c r="D209" t="s">
        <v>149</v>
      </c>
      <c r="E209" s="3">
        <f t="shared" si="24"/>
        <v>4901.885986328125</v>
      </c>
      <c r="F209" s="3">
        <f t="shared" si="25"/>
        <v>241.27960205078125</v>
      </c>
      <c r="G209" s="3">
        <f t="shared" si="26"/>
        <v>5143.1655883789062</v>
      </c>
      <c r="H209" s="4">
        <f t="shared" si="31"/>
        <v>135</v>
      </c>
      <c r="I209" s="3">
        <f t="shared" si="27"/>
        <v>28.6102294921875</v>
      </c>
      <c r="J209" s="3">
        <f t="shared" si="28"/>
        <v>0.95367431640625</v>
      </c>
      <c r="K209" s="3">
        <f t="shared" si="29"/>
        <v>29.56390380859375</v>
      </c>
      <c r="L209" s="3">
        <f t="shared" si="30"/>
        <v>929.83245849609375</v>
      </c>
    </row>
    <row r="210" spans="1:12" x14ac:dyDescent="0.2">
      <c r="A210" t="s">
        <v>73</v>
      </c>
      <c r="B210">
        <v>1767073810</v>
      </c>
      <c r="C210" t="s">
        <v>13</v>
      </c>
      <c r="D210" t="s">
        <v>138</v>
      </c>
      <c r="E210" s="3">
        <f t="shared" si="24"/>
        <v>21.7437744140625</v>
      </c>
      <c r="F210" s="3">
        <f t="shared" si="25"/>
        <v>4777.9083251953125</v>
      </c>
      <c r="G210" s="3">
        <f t="shared" si="26"/>
        <v>4799.652099609375</v>
      </c>
      <c r="H210" s="4">
        <f t="shared" si="31"/>
        <v>140</v>
      </c>
      <c r="I210" s="3">
        <f t="shared" si="27"/>
        <v>0</v>
      </c>
      <c r="J210" s="3">
        <f t="shared" si="28"/>
        <v>0</v>
      </c>
      <c r="K210" s="3">
        <f t="shared" si="29"/>
        <v>0</v>
      </c>
      <c r="L210" s="3">
        <f t="shared" si="30"/>
        <v>0.286102294921875</v>
      </c>
    </row>
    <row r="211" spans="1:12" x14ac:dyDescent="0.2">
      <c r="A211" t="s">
        <v>73</v>
      </c>
      <c r="B211">
        <v>1767073810</v>
      </c>
      <c r="C211" t="s">
        <v>15</v>
      </c>
      <c r="D211" t="s">
        <v>147</v>
      </c>
      <c r="E211" s="3">
        <f t="shared" si="24"/>
        <v>5016.326904296875</v>
      </c>
      <c r="F211" s="3">
        <f t="shared" si="25"/>
        <v>4911.4227294921875</v>
      </c>
      <c r="G211" s="3">
        <f t="shared" si="26"/>
        <v>9927.7496337890625</v>
      </c>
      <c r="H211" s="4">
        <f t="shared" si="31"/>
        <v>140</v>
      </c>
      <c r="I211" s="3">
        <f t="shared" si="27"/>
        <v>0</v>
      </c>
      <c r="J211" s="3">
        <f t="shared" si="28"/>
        <v>0</v>
      </c>
      <c r="K211" s="3">
        <f t="shared" si="29"/>
        <v>0</v>
      </c>
      <c r="L211" s="3">
        <f t="shared" si="30"/>
        <v>925.0640869140625</v>
      </c>
    </row>
    <row r="212" spans="1:12" x14ac:dyDescent="0.2">
      <c r="A212" t="s">
        <v>73</v>
      </c>
      <c r="B212">
        <v>1767073810</v>
      </c>
      <c r="C212" t="s">
        <v>17</v>
      </c>
      <c r="D212" t="s">
        <v>150</v>
      </c>
      <c r="E212" s="3">
        <f t="shared" si="24"/>
        <v>1.6307830810546875</v>
      </c>
      <c r="F212" s="3">
        <f t="shared" si="25"/>
        <v>0.79631805419921875</v>
      </c>
      <c r="G212" s="3">
        <f t="shared" si="26"/>
        <v>2.4271011352539062</v>
      </c>
      <c r="H212" s="4">
        <f t="shared" si="31"/>
        <v>140</v>
      </c>
      <c r="I212" s="3">
        <f t="shared" si="27"/>
        <v>9.5367431640625E-3</v>
      </c>
      <c r="J212" s="3">
        <f t="shared" si="28"/>
        <v>2.86102294921875E-3</v>
      </c>
      <c r="K212" s="3">
        <f t="shared" si="29"/>
        <v>1.239776611328125E-2</v>
      </c>
      <c r="L212" s="3">
        <f t="shared" si="30"/>
        <v>0.26035308837890625</v>
      </c>
    </row>
    <row r="213" spans="1:12" x14ac:dyDescent="0.2">
      <c r="A213" t="s">
        <v>73</v>
      </c>
      <c r="B213">
        <v>1767073810</v>
      </c>
      <c r="C213" t="s">
        <v>19</v>
      </c>
      <c r="D213" t="s">
        <v>149</v>
      </c>
      <c r="E213" s="3">
        <f t="shared" si="24"/>
        <v>4901.885986328125</v>
      </c>
      <c r="F213" s="3">
        <f t="shared" si="25"/>
        <v>241.27960205078125</v>
      </c>
      <c r="G213" s="3">
        <f t="shared" si="26"/>
        <v>5143.1655883789062</v>
      </c>
      <c r="H213" s="4">
        <f t="shared" si="31"/>
        <v>140</v>
      </c>
      <c r="I213" s="3">
        <f t="shared" si="27"/>
        <v>0</v>
      </c>
      <c r="J213" s="3">
        <f t="shared" si="28"/>
        <v>0</v>
      </c>
      <c r="K213" s="3">
        <f t="shared" si="29"/>
        <v>0</v>
      </c>
      <c r="L213" s="3">
        <f t="shared" si="30"/>
        <v>929.83245849609375</v>
      </c>
    </row>
    <row r="214" spans="1:12" x14ac:dyDescent="0.2">
      <c r="A214" t="s">
        <v>73</v>
      </c>
      <c r="B214">
        <v>1767073817</v>
      </c>
      <c r="C214" t="s">
        <v>13</v>
      </c>
      <c r="D214" t="s">
        <v>138</v>
      </c>
      <c r="E214" s="3">
        <f t="shared" si="24"/>
        <v>21.7437744140625</v>
      </c>
      <c r="F214" s="3">
        <f t="shared" si="25"/>
        <v>4777.9083251953125</v>
      </c>
      <c r="G214" s="3">
        <f t="shared" si="26"/>
        <v>4799.652099609375</v>
      </c>
      <c r="H214" s="4">
        <f t="shared" si="31"/>
        <v>145</v>
      </c>
      <c r="I214" s="3">
        <f t="shared" si="27"/>
        <v>0</v>
      </c>
      <c r="J214" s="3">
        <f t="shared" si="28"/>
        <v>0</v>
      </c>
      <c r="K214" s="3">
        <f t="shared" si="29"/>
        <v>0</v>
      </c>
      <c r="L214" s="3">
        <f t="shared" si="30"/>
        <v>0.286102294921875</v>
      </c>
    </row>
    <row r="215" spans="1:12" x14ac:dyDescent="0.2">
      <c r="A215" t="s">
        <v>73</v>
      </c>
      <c r="B215">
        <v>1767073817</v>
      </c>
      <c r="C215" t="s">
        <v>15</v>
      </c>
      <c r="D215" t="s">
        <v>151</v>
      </c>
      <c r="E215" s="3">
        <f t="shared" si="24"/>
        <v>5016.326904296875</v>
      </c>
      <c r="F215" s="3">
        <f t="shared" si="25"/>
        <v>4978.179931640625</v>
      </c>
      <c r="G215" s="3">
        <f t="shared" si="26"/>
        <v>9994.5068359375</v>
      </c>
      <c r="H215" s="4">
        <f t="shared" si="31"/>
        <v>145</v>
      </c>
      <c r="I215" s="3">
        <f t="shared" si="27"/>
        <v>0</v>
      </c>
      <c r="J215" s="3">
        <f t="shared" si="28"/>
        <v>66.7572021484375</v>
      </c>
      <c r="K215" s="3">
        <f t="shared" si="29"/>
        <v>66.7572021484375</v>
      </c>
      <c r="L215" s="3">
        <f t="shared" si="30"/>
        <v>991.8212890625</v>
      </c>
    </row>
    <row r="216" spans="1:12" x14ac:dyDescent="0.2">
      <c r="A216" t="s">
        <v>73</v>
      </c>
      <c r="B216">
        <v>1767073817</v>
      </c>
      <c r="C216" t="s">
        <v>17</v>
      </c>
      <c r="D216" t="s">
        <v>152</v>
      </c>
      <c r="E216" s="3">
        <f t="shared" si="24"/>
        <v>1.6307830810546875</v>
      </c>
      <c r="F216" s="3">
        <f t="shared" si="25"/>
        <v>0.797271728515625</v>
      </c>
      <c r="G216" s="3">
        <f t="shared" si="26"/>
        <v>2.4280548095703125</v>
      </c>
      <c r="H216" s="4">
        <f t="shared" si="31"/>
        <v>145</v>
      </c>
      <c r="I216" s="3">
        <f t="shared" si="27"/>
        <v>0</v>
      </c>
      <c r="J216" s="3">
        <f t="shared" si="28"/>
        <v>9.5367431640625E-4</v>
      </c>
      <c r="K216" s="3">
        <f t="shared" si="29"/>
        <v>9.5367431640625E-4</v>
      </c>
      <c r="L216" s="3">
        <f t="shared" si="30"/>
        <v>0.2613067626953125</v>
      </c>
    </row>
    <row r="217" spans="1:12" x14ac:dyDescent="0.2">
      <c r="A217" t="s">
        <v>73</v>
      </c>
      <c r="B217">
        <v>1767073817</v>
      </c>
      <c r="C217" t="s">
        <v>19</v>
      </c>
      <c r="D217" t="s">
        <v>153</v>
      </c>
      <c r="E217" s="3">
        <f t="shared" si="24"/>
        <v>4959.1064453125</v>
      </c>
      <c r="F217" s="3">
        <f t="shared" si="25"/>
        <v>241.27960205078125</v>
      </c>
      <c r="G217" s="3">
        <f t="shared" si="26"/>
        <v>5200.3860473632812</v>
      </c>
      <c r="H217" s="4">
        <f t="shared" si="31"/>
        <v>145</v>
      </c>
      <c r="I217" s="3">
        <f t="shared" si="27"/>
        <v>57.220458984375</v>
      </c>
      <c r="J217" s="3">
        <f t="shared" si="28"/>
        <v>0</v>
      </c>
      <c r="K217" s="3">
        <f t="shared" si="29"/>
        <v>57.220458984375</v>
      </c>
      <c r="L217" s="3">
        <f t="shared" si="30"/>
        <v>987.05291748046875</v>
      </c>
    </row>
    <row r="218" spans="1:12" x14ac:dyDescent="0.2">
      <c r="A218" t="s">
        <v>73</v>
      </c>
      <c r="B218">
        <v>1767073824</v>
      </c>
      <c r="C218" t="s">
        <v>13</v>
      </c>
      <c r="D218" t="s">
        <v>138</v>
      </c>
      <c r="E218" s="3">
        <f t="shared" si="24"/>
        <v>21.7437744140625</v>
      </c>
      <c r="F218" s="3">
        <f t="shared" si="25"/>
        <v>4777.9083251953125</v>
      </c>
      <c r="G218" s="3">
        <f t="shared" si="26"/>
        <v>4799.652099609375</v>
      </c>
      <c r="H218" s="4">
        <f t="shared" si="31"/>
        <v>150</v>
      </c>
      <c r="I218" s="3">
        <f t="shared" si="27"/>
        <v>0</v>
      </c>
      <c r="J218" s="3">
        <f t="shared" si="28"/>
        <v>0</v>
      </c>
      <c r="K218" s="3">
        <f t="shared" si="29"/>
        <v>0</v>
      </c>
      <c r="L218" s="3">
        <f t="shared" si="30"/>
        <v>0.286102294921875</v>
      </c>
    </row>
    <row r="219" spans="1:12" x14ac:dyDescent="0.2">
      <c r="A219" t="s">
        <v>73</v>
      </c>
      <c r="B219">
        <v>1767073824</v>
      </c>
      <c r="C219" t="s">
        <v>15</v>
      </c>
      <c r="D219" t="s">
        <v>154</v>
      </c>
      <c r="E219" s="3">
        <f t="shared" si="24"/>
        <v>5016.326904296875</v>
      </c>
      <c r="F219" s="3">
        <f t="shared" si="25"/>
        <v>5035.400390625</v>
      </c>
      <c r="G219" s="3">
        <f t="shared" si="26"/>
        <v>10051.727294921875</v>
      </c>
      <c r="H219" s="4">
        <f t="shared" si="31"/>
        <v>150</v>
      </c>
      <c r="I219" s="3">
        <f t="shared" si="27"/>
        <v>0</v>
      </c>
      <c r="J219" s="3">
        <f t="shared" si="28"/>
        <v>57.220458984375</v>
      </c>
      <c r="K219" s="3">
        <f t="shared" si="29"/>
        <v>57.220458984375</v>
      </c>
      <c r="L219" s="3">
        <f t="shared" si="30"/>
        <v>1049.041748046875</v>
      </c>
    </row>
    <row r="220" spans="1:12" x14ac:dyDescent="0.2">
      <c r="A220" t="s">
        <v>73</v>
      </c>
      <c r="B220">
        <v>1767073824</v>
      </c>
      <c r="C220" t="s">
        <v>17</v>
      </c>
      <c r="D220" t="s">
        <v>155</v>
      </c>
      <c r="E220" s="3">
        <f t="shared" si="24"/>
        <v>1.64031982421875</v>
      </c>
      <c r="F220" s="3">
        <f t="shared" si="25"/>
        <v>0.80013275146484375</v>
      </c>
      <c r="G220" s="3">
        <f t="shared" si="26"/>
        <v>2.4404525756835938</v>
      </c>
      <c r="H220" s="4">
        <f t="shared" si="31"/>
        <v>150</v>
      </c>
      <c r="I220" s="3">
        <f t="shared" si="27"/>
        <v>9.5367431640625E-3</v>
      </c>
      <c r="J220" s="3">
        <f t="shared" si="28"/>
        <v>2.86102294921875E-3</v>
      </c>
      <c r="K220" s="3">
        <f t="shared" si="29"/>
        <v>1.239776611328125E-2</v>
      </c>
      <c r="L220" s="3">
        <f t="shared" si="30"/>
        <v>0.27370452880859375</v>
      </c>
    </row>
    <row r="221" spans="1:12" x14ac:dyDescent="0.2">
      <c r="A221" t="s">
        <v>73</v>
      </c>
      <c r="B221">
        <v>1767073824</v>
      </c>
      <c r="C221" t="s">
        <v>19</v>
      </c>
      <c r="D221" t="s">
        <v>156</v>
      </c>
      <c r="E221" s="3">
        <f t="shared" si="24"/>
        <v>5016.326904296875</v>
      </c>
      <c r="F221" s="3">
        <f t="shared" si="25"/>
        <v>241.27960205078125</v>
      </c>
      <c r="G221" s="3">
        <f t="shared" si="26"/>
        <v>5257.6065063476562</v>
      </c>
      <c r="H221" s="4">
        <f t="shared" si="31"/>
        <v>150</v>
      </c>
      <c r="I221" s="3">
        <f t="shared" si="27"/>
        <v>57.220458984375</v>
      </c>
      <c r="J221" s="3">
        <f t="shared" si="28"/>
        <v>0</v>
      </c>
      <c r="K221" s="3">
        <f t="shared" si="29"/>
        <v>57.220458984375</v>
      </c>
      <c r="L221" s="3">
        <f t="shared" si="30"/>
        <v>1044.2733764648438</v>
      </c>
    </row>
    <row r="222" spans="1:12" x14ac:dyDescent="0.2">
      <c r="A222" t="s">
        <v>73</v>
      </c>
      <c r="B222">
        <v>1767073832</v>
      </c>
      <c r="C222" t="s">
        <v>13</v>
      </c>
      <c r="D222" t="s">
        <v>138</v>
      </c>
      <c r="E222" s="3">
        <f t="shared" si="24"/>
        <v>21.7437744140625</v>
      </c>
      <c r="F222" s="3">
        <f t="shared" si="25"/>
        <v>4777.9083251953125</v>
      </c>
      <c r="G222" s="3">
        <f t="shared" si="26"/>
        <v>4799.652099609375</v>
      </c>
      <c r="H222" s="4">
        <f t="shared" si="31"/>
        <v>155</v>
      </c>
      <c r="I222" s="3">
        <f t="shared" si="27"/>
        <v>0</v>
      </c>
      <c r="J222" s="3">
        <f t="shared" si="28"/>
        <v>0</v>
      </c>
      <c r="K222" s="3">
        <f t="shared" si="29"/>
        <v>0</v>
      </c>
      <c r="L222" s="3">
        <f t="shared" si="30"/>
        <v>0.286102294921875</v>
      </c>
    </row>
    <row r="223" spans="1:12" x14ac:dyDescent="0.2">
      <c r="A223" t="s">
        <v>73</v>
      </c>
      <c r="B223">
        <v>1767073832</v>
      </c>
      <c r="C223" t="s">
        <v>15</v>
      </c>
      <c r="D223" t="s">
        <v>157</v>
      </c>
      <c r="E223" s="3">
        <f t="shared" si="24"/>
        <v>5016.326904296875</v>
      </c>
      <c r="F223" s="3">
        <f t="shared" si="25"/>
        <v>5044.9371337890625</v>
      </c>
      <c r="G223" s="3">
        <f t="shared" si="26"/>
        <v>10061.264038085938</v>
      </c>
      <c r="H223" s="4">
        <f t="shared" si="31"/>
        <v>155</v>
      </c>
      <c r="I223" s="3">
        <f t="shared" si="27"/>
        <v>0</v>
      </c>
      <c r="J223" s="3">
        <f t="shared" si="28"/>
        <v>9.5367431640625</v>
      </c>
      <c r="K223" s="3">
        <f t="shared" si="29"/>
        <v>9.5367431640625</v>
      </c>
      <c r="L223" s="3">
        <f t="shared" si="30"/>
        <v>1058.5784912109375</v>
      </c>
    </row>
    <row r="224" spans="1:12" x14ac:dyDescent="0.2">
      <c r="A224" t="s">
        <v>73</v>
      </c>
      <c r="B224">
        <v>1767073832</v>
      </c>
      <c r="C224" t="s">
        <v>17</v>
      </c>
      <c r="D224" t="s">
        <v>158</v>
      </c>
      <c r="E224" s="3">
        <f t="shared" si="24"/>
        <v>1.6498565673828125</v>
      </c>
      <c r="F224" s="3">
        <f t="shared" si="25"/>
        <v>0.80108642578125</v>
      </c>
      <c r="G224" s="3">
        <f t="shared" si="26"/>
        <v>2.4509429931640625</v>
      </c>
      <c r="H224" s="4">
        <f t="shared" si="31"/>
        <v>155</v>
      </c>
      <c r="I224" s="3">
        <f t="shared" si="27"/>
        <v>9.5367431640625E-3</v>
      </c>
      <c r="J224" s="3">
        <f t="shared" si="28"/>
        <v>9.5367431640625E-4</v>
      </c>
      <c r="K224" s="3">
        <f t="shared" si="29"/>
        <v>1.049041748046875E-2</v>
      </c>
      <c r="L224" s="3">
        <f t="shared" si="30"/>
        <v>0.2841949462890625</v>
      </c>
    </row>
    <row r="225" spans="1:12" x14ac:dyDescent="0.2">
      <c r="A225" t="s">
        <v>73</v>
      </c>
      <c r="B225">
        <v>1767073832</v>
      </c>
      <c r="C225" t="s">
        <v>19</v>
      </c>
      <c r="D225" t="s">
        <v>159</v>
      </c>
      <c r="E225" s="3">
        <f t="shared" si="24"/>
        <v>5025.8636474609375</v>
      </c>
      <c r="F225" s="3">
        <f t="shared" si="25"/>
        <v>241.27960205078125</v>
      </c>
      <c r="G225" s="3">
        <f t="shared" si="26"/>
        <v>5267.1432495117188</v>
      </c>
      <c r="H225" s="4">
        <f t="shared" si="31"/>
        <v>155</v>
      </c>
      <c r="I225" s="3">
        <f t="shared" si="27"/>
        <v>9.5367431640625</v>
      </c>
      <c r="J225" s="3">
        <f t="shared" si="28"/>
        <v>0</v>
      </c>
      <c r="K225" s="3">
        <f t="shared" si="29"/>
        <v>9.5367431640625</v>
      </c>
      <c r="L225" s="3">
        <f t="shared" si="30"/>
        <v>1053.8101196289062</v>
      </c>
    </row>
    <row r="226" spans="1:12" x14ac:dyDescent="0.2">
      <c r="A226" t="s">
        <v>73</v>
      </c>
      <c r="B226">
        <v>1767073839</v>
      </c>
      <c r="C226" t="s">
        <v>13</v>
      </c>
      <c r="D226" t="s">
        <v>138</v>
      </c>
      <c r="E226" s="3">
        <f t="shared" si="24"/>
        <v>21.7437744140625</v>
      </c>
      <c r="F226" s="3">
        <f t="shared" si="25"/>
        <v>4777.9083251953125</v>
      </c>
      <c r="G226" s="3">
        <f t="shared" si="26"/>
        <v>4799.652099609375</v>
      </c>
      <c r="H226" s="4">
        <f t="shared" si="31"/>
        <v>160</v>
      </c>
      <c r="I226" s="3">
        <f t="shared" si="27"/>
        <v>0</v>
      </c>
      <c r="J226" s="3">
        <f t="shared" si="28"/>
        <v>0</v>
      </c>
      <c r="K226" s="3">
        <f t="shared" si="29"/>
        <v>0</v>
      </c>
      <c r="L226" s="3">
        <f t="shared" si="30"/>
        <v>0.286102294921875</v>
      </c>
    </row>
    <row r="227" spans="1:12" x14ac:dyDescent="0.2">
      <c r="A227" t="s">
        <v>73</v>
      </c>
      <c r="B227">
        <v>1767073839</v>
      </c>
      <c r="C227" t="s">
        <v>15</v>
      </c>
      <c r="D227" t="s">
        <v>157</v>
      </c>
      <c r="E227" s="3">
        <f t="shared" si="24"/>
        <v>5016.326904296875</v>
      </c>
      <c r="F227" s="3">
        <f t="shared" si="25"/>
        <v>5044.9371337890625</v>
      </c>
      <c r="G227" s="3">
        <f t="shared" si="26"/>
        <v>10061.264038085938</v>
      </c>
      <c r="H227" s="4">
        <f t="shared" si="31"/>
        <v>160</v>
      </c>
      <c r="I227" s="3">
        <f t="shared" si="27"/>
        <v>0</v>
      </c>
      <c r="J227" s="3">
        <f t="shared" si="28"/>
        <v>0</v>
      </c>
      <c r="K227" s="3">
        <f t="shared" si="29"/>
        <v>0</v>
      </c>
      <c r="L227" s="3">
        <f t="shared" si="30"/>
        <v>1058.5784912109375</v>
      </c>
    </row>
    <row r="228" spans="1:12" x14ac:dyDescent="0.2">
      <c r="A228" t="s">
        <v>73</v>
      </c>
      <c r="B228">
        <v>1767073839</v>
      </c>
      <c r="C228" t="s">
        <v>17</v>
      </c>
      <c r="D228" t="s">
        <v>160</v>
      </c>
      <c r="E228" s="3">
        <f t="shared" si="24"/>
        <v>1.6498565673828125</v>
      </c>
      <c r="F228" s="3">
        <f t="shared" si="25"/>
        <v>0.80394744873046875</v>
      </c>
      <c r="G228" s="3">
        <f t="shared" si="26"/>
        <v>2.4538040161132812</v>
      </c>
      <c r="H228" s="4">
        <f t="shared" si="31"/>
        <v>160</v>
      </c>
      <c r="I228" s="3">
        <f t="shared" si="27"/>
        <v>0</v>
      </c>
      <c r="J228" s="3">
        <f t="shared" si="28"/>
        <v>2.86102294921875E-3</v>
      </c>
      <c r="K228" s="3">
        <f t="shared" si="29"/>
        <v>2.86102294921875E-3</v>
      </c>
      <c r="L228" s="3">
        <f t="shared" si="30"/>
        <v>0.28705596923828125</v>
      </c>
    </row>
    <row r="229" spans="1:12" x14ac:dyDescent="0.2">
      <c r="A229" t="s">
        <v>73</v>
      </c>
      <c r="B229">
        <v>1767073839</v>
      </c>
      <c r="C229" t="s">
        <v>19</v>
      </c>
      <c r="D229" t="s">
        <v>161</v>
      </c>
      <c r="E229" s="3">
        <f t="shared" si="24"/>
        <v>5025.8636474609375</v>
      </c>
      <c r="F229" s="3">
        <f t="shared" si="25"/>
        <v>243.18695068359375</v>
      </c>
      <c r="G229" s="3">
        <f t="shared" si="26"/>
        <v>5269.0505981445312</v>
      </c>
      <c r="H229" s="4">
        <f t="shared" si="31"/>
        <v>160</v>
      </c>
      <c r="I229" s="3">
        <f t="shared" si="27"/>
        <v>0</v>
      </c>
      <c r="J229" s="3">
        <f t="shared" si="28"/>
        <v>1.9073486328125</v>
      </c>
      <c r="K229" s="3">
        <f t="shared" si="29"/>
        <v>1.9073486328125</v>
      </c>
      <c r="L229" s="3">
        <f t="shared" si="30"/>
        <v>1055.7174682617188</v>
      </c>
    </row>
    <row r="230" spans="1:12" x14ac:dyDescent="0.2">
      <c r="A230" t="s">
        <v>73</v>
      </c>
      <c r="B230">
        <v>1767073847</v>
      </c>
      <c r="C230" t="s">
        <v>13</v>
      </c>
      <c r="D230" t="s">
        <v>138</v>
      </c>
      <c r="E230" s="3">
        <f t="shared" si="24"/>
        <v>21.7437744140625</v>
      </c>
      <c r="F230" s="3">
        <f t="shared" si="25"/>
        <v>4777.9083251953125</v>
      </c>
      <c r="G230" s="3">
        <f t="shared" si="26"/>
        <v>4799.652099609375</v>
      </c>
      <c r="H230" s="4">
        <f t="shared" si="31"/>
        <v>165</v>
      </c>
      <c r="I230" s="3">
        <f t="shared" si="27"/>
        <v>0</v>
      </c>
      <c r="J230" s="3">
        <f t="shared" si="28"/>
        <v>0</v>
      </c>
      <c r="K230" s="3">
        <f t="shared" si="29"/>
        <v>0</v>
      </c>
      <c r="L230" s="3">
        <f t="shared" si="30"/>
        <v>0.286102294921875</v>
      </c>
    </row>
    <row r="231" spans="1:12" x14ac:dyDescent="0.2">
      <c r="A231" t="s">
        <v>73</v>
      </c>
      <c r="B231">
        <v>1767073847</v>
      </c>
      <c r="C231" t="s">
        <v>15</v>
      </c>
      <c r="D231" t="s">
        <v>162</v>
      </c>
      <c r="E231" s="3">
        <f t="shared" si="24"/>
        <v>5025.8636474609375</v>
      </c>
      <c r="F231" s="3">
        <f t="shared" si="25"/>
        <v>5044.9371337890625</v>
      </c>
      <c r="G231" s="3">
        <f t="shared" si="26"/>
        <v>10070.80078125</v>
      </c>
      <c r="H231" s="4">
        <f t="shared" si="31"/>
        <v>165</v>
      </c>
      <c r="I231" s="3">
        <f t="shared" si="27"/>
        <v>9.5367431640625</v>
      </c>
      <c r="J231" s="3">
        <f t="shared" si="28"/>
        <v>0</v>
      </c>
      <c r="K231" s="3">
        <f t="shared" si="29"/>
        <v>9.5367431640625</v>
      </c>
      <c r="L231" s="3">
        <f t="shared" si="30"/>
        <v>1068.115234375</v>
      </c>
    </row>
    <row r="232" spans="1:12" x14ac:dyDescent="0.2">
      <c r="A232" t="s">
        <v>73</v>
      </c>
      <c r="B232">
        <v>1767073847</v>
      </c>
      <c r="C232" t="s">
        <v>17</v>
      </c>
      <c r="D232" t="s">
        <v>163</v>
      </c>
      <c r="E232" s="3">
        <f t="shared" si="24"/>
        <v>1.659393310546875</v>
      </c>
      <c r="F232" s="3">
        <f t="shared" si="25"/>
        <v>0.80585479736328125</v>
      </c>
      <c r="G232" s="3">
        <f t="shared" si="26"/>
        <v>2.4652481079101562</v>
      </c>
      <c r="H232" s="4">
        <f t="shared" si="31"/>
        <v>165</v>
      </c>
      <c r="I232" s="3">
        <f t="shared" si="27"/>
        <v>9.5367431640625E-3</v>
      </c>
      <c r="J232" s="3">
        <f t="shared" si="28"/>
        <v>1.9073486328125E-3</v>
      </c>
      <c r="K232" s="3">
        <f t="shared" si="29"/>
        <v>1.1444091796875E-2</v>
      </c>
      <c r="L232" s="3">
        <f t="shared" si="30"/>
        <v>0.29850006103515625</v>
      </c>
    </row>
    <row r="233" spans="1:12" x14ac:dyDescent="0.2">
      <c r="A233" t="s">
        <v>73</v>
      </c>
      <c r="B233">
        <v>1767073847</v>
      </c>
      <c r="C233" t="s">
        <v>19</v>
      </c>
      <c r="D233" t="s">
        <v>164</v>
      </c>
      <c r="E233" s="3">
        <f t="shared" si="24"/>
        <v>5025.8636474609375</v>
      </c>
      <c r="F233" s="3">
        <f t="shared" si="25"/>
        <v>253.6773681640625</v>
      </c>
      <c r="G233" s="3">
        <f t="shared" si="26"/>
        <v>5279.541015625</v>
      </c>
      <c r="H233" s="4">
        <f t="shared" si="31"/>
        <v>165</v>
      </c>
      <c r="I233" s="3">
        <f t="shared" si="27"/>
        <v>0</v>
      </c>
      <c r="J233" s="3">
        <f t="shared" si="28"/>
        <v>10.49041748046875</v>
      </c>
      <c r="K233" s="3">
        <f t="shared" si="29"/>
        <v>10.49041748046875</v>
      </c>
      <c r="L233" s="3">
        <f t="shared" si="30"/>
        <v>1066.2078857421875</v>
      </c>
    </row>
    <row r="234" spans="1:12" x14ac:dyDescent="0.2">
      <c r="A234" t="s">
        <v>73</v>
      </c>
      <c r="B234">
        <v>1767073854</v>
      </c>
      <c r="C234" t="s">
        <v>13</v>
      </c>
      <c r="D234" t="s">
        <v>138</v>
      </c>
      <c r="E234" s="3">
        <f t="shared" si="24"/>
        <v>21.7437744140625</v>
      </c>
      <c r="F234" s="3">
        <f t="shared" si="25"/>
        <v>4777.9083251953125</v>
      </c>
      <c r="G234" s="3">
        <f t="shared" si="26"/>
        <v>4799.652099609375</v>
      </c>
      <c r="H234" s="4">
        <f t="shared" si="31"/>
        <v>170</v>
      </c>
      <c r="I234" s="3">
        <f t="shared" si="27"/>
        <v>0</v>
      </c>
      <c r="J234" s="3">
        <f t="shared" si="28"/>
        <v>0</v>
      </c>
      <c r="K234" s="3">
        <f t="shared" si="29"/>
        <v>0</v>
      </c>
      <c r="L234" s="3">
        <f t="shared" si="30"/>
        <v>0.286102294921875</v>
      </c>
    </row>
    <row r="235" spans="1:12" x14ac:dyDescent="0.2">
      <c r="A235" t="s">
        <v>73</v>
      </c>
      <c r="B235">
        <v>1767073854</v>
      </c>
      <c r="C235" t="s">
        <v>15</v>
      </c>
      <c r="D235" t="s">
        <v>165</v>
      </c>
      <c r="E235" s="3">
        <f t="shared" si="24"/>
        <v>5044.9371337890625</v>
      </c>
      <c r="F235" s="3">
        <f t="shared" si="25"/>
        <v>5044.9371337890625</v>
      </c>
      <c r="G235" s="3">
        <f t="shared" si="26"/>
        <v>10089.874267578125</v>
      </c>
      <c r="H235" s="4">
        <f t="shared" si="31"/>
        <v>170</v>
      </c>
      <c r="I235" s="3">
        <f t="shared" si="27"/>
        <v>19.073486328125</v>
      </c>
      <c r="J235" s="3">
        <f t="shared" si="28"/>
        <v>0</v>
      </c>
      <c r="K235" s="3">
        <f t="shared" si="29"/>
        <v>19.073486328125</v>
      </c>
      <c r="L235" s="3">
        <f t="shared" si="30"/>
        <v>1087.188720703125</v>
      </c>
    </row>
    <row r="236" spans="1:12" x14ac:dyDescent="0.2">
      <c r="A236" t="s">
        <v>73</v>
      </c>
      <c r="B236">
        <v>1767073854</v>
      </c>
      <c r="C236" t="s">
        <v>17</v>
      </c>
      <c r="D236" t="s">
        <v>166</v>
      </c>
      <c r="E236" s="3">
        <f t="shared" si="24"/>
        <v>1.6689300537109375</v>
      </c>
      <c r="F236" s="3">
        <f t="shared" si="25"/>
        <v>0.80776214599609375</v>
      </c>
      <c r="G236" s="3">
        <f t="shared" si="26"/>
        <v>2.4766921997070312</v>
      </c>
      <c r="H236" s="4">
        <f t="shared" si="31"/>
        <v>170</v>
      </c>
      <c r="I236" s="3">
        <f t="shared" si="27"/>
        <v>9.5367431640625E-3</v>
      </c>
      <c r="J236" s="3">
        <f t="shared" si="28"/>
        <v>1.9073486328125E-3</v>
      </c>
      <c r="K236" s="3">
        <f t="shared" si="29"/>
        <v>1.1444091796875E-2</v>
      </c>
      <c r="L236" s="3">
        <f t="shared" si="30"/>
        <v>0.30994415283203125</v>
      </c>
    </row>
    <row r="237" spans="1:12" x14ac:dyDescent="0.2">
      <c r="A237" t="s">
        <v>73</v>
      </c>
      <c r="B237">
        <v>1767073854</v>
      </c>
      <c r="C237" t="s">
        <v>19</v>
      </c>
      <c r="D237" t="s">
        <v>167</v>
      </c>
      <c r="E237" s="3">
        <f t="shared" si="24"/>
        <v>5025.8636474609375</v>
      </c>
      <c r="F237" s="3">
        <f t="shared" si="25"/>
        <v>272.7508544921875</v>
      </c>
      <c r="G237" s="3">
        <f t="shared" si="26"/>
        <v>5298.614501953125</v>
      </c>
      <c r="H237" s="4">
        <f t="shared" si="31"/>
        <v>170</v>
      </c>
      <c r="I237" s="3">
        <f t="shared" si="27"/>
        <v>0</v>
      </c>
      <c r="J237" s="3">
        <f t="shared" si="28"/>
        <v>19.073486328125</v>
      </c>
      <c r="K237" s="3">
        <f t="shared" si="29"/>
        <v>19.073486328125</v>
      </c>
      <c r="L237" s="3">
        <f t="shared" si="30"/>
        <v>1085.2813720703125</v>
      </c>
    </row>
    <row r="238" spans="1:12" x14ac:dyDescent="0.2">
      <c r="A238" t="s">
        <v>73</v>
      </c>
      <c r="B238">
        <v>1767073862</v>
      </c>
      <c r="C238" t="s">
        <v>13</v>
      </c>
      <c r="D238" t="s">
        <v>138</v>
      </c>
      <c r="E238" s="3">
        <f t="shared" si="24"/>
        <v>21.7437744140625</v>
      </c>
      <c r="F238" s="3">
        <f t="shared" si="25"/>
        <v>4777.9083251953125</v>
      </c>
      <c r="G238" s="3">
        <f t="shared" si="26"/>
        <v>4799.652099609375</v>
      </c>
      <c r="H238" s="4">
        <f t="shared" si="31"/>
        <v>175</v>
      </c>
      <c r="I238" s="3">
        <f t="shared" si="27"/>
        <v>0</v>
      </c>
      <c r="J238" s="3">
        <f t="shared" si="28"/>
        <v>0</v>
      </c>
      <c r="K238" s="3">
        <f t="shared" si="29"/>
        <v>0</v>
      </c>
      <c r="L238" s="3">
        <f t="shared" si="30"/>
        <v>0.286102294921875</v>
      </c>
    </row>
    <row r="239" spans="1:12" x14ac:dyDescent="0.2">
      <c r="A239" t="s">
        <v>73</v>
      </c>
      <c r="B239">
        <v>1767073862</v>
      </c>
      <c r="C239" t="s">
        <v>15</v>
      </c>
      <c r="D239" t="s">
        <v>168</v>
      </c>
      <c r="E239" s="3">
        <f t="shared" si="24"/>
        <v>5054.473876953125</v>
      </c>
      <c r="F239" s="3">
        <f t="shared" si="25"/>
        <v>5044.9371337890625</v>
      </c>
      <c r="G239" s="3">
        <f t="shared" si="26"/>
        <v>10099.411010742188</v>
      </c>
      <c r="H239" s="4">
        <f t="shared" si="31"/>
        <v>175</v>
      </c>
      <c r="I239" s="3">
        <f t="shared" si="27"/>
        <v>9.5367431640625</v>
      </c>
      <c r="J239" s="3">
        <f t="shared" si="28"/>
        <v>0</v>
      </c>
      <c r="K239" s="3">
        <f t="shared" si="29"/>
        <v>9.5367431640625</v>
      </c>
      <c r="L239" s="3">
        <f t="shared" si="30"/>
        <v>1096.7254638671875</v>
      </c>
    </row>
    <row r="240" spans="1:12" x14ac:dyDescent="0.2">
      <c r="A240" t="s">
        <v>73</v>
      </c>
      <c r="B240">
        <v>1767073862</v>
      </c>
      <c r="C240" t="s">
        <v>17</v>
      </c>
      <c r="D240" t="s">
        <v>169</v>
      </c>
      <c r="E240" s="3">
        <f t="shared" si="24"/>
        <v>1.6689300537109375</v>
      </c>
      <c r="F240" s="3">
        <f t="shared" si="25"/>
        <v>0.80966949462890625</v>
      </c>
      <c r="G240" s="3">
        <f t="shared" si="26"/>
        <v>2.4785995483398438</v>
      </c>
      <c r="H240" s="4">
        <f t="shared" si="31"/>
        <v>175</v>
      </c>
      <c r="I240" s="3">
        <f t="shared" si="27"/>
        <v>0</v>
      </c>
      <c r="J240" s="3">
        <f t="shared" si="28"/>
        <v>1.9073486328125E-3</v>
      </c>
      <c r="K240" s="3">
        <f t="shared" si="29"/>
        <v>1.9073486328125E-3</v>
      </c>
      <c r="L240" s="3">
        <f t="shared" si="30"/>
        <v>0.31185150146484375</v>
      </c>
    </row>
    <row r="241" spans="1:12" x14ac:dyDescent="0.2">
      <c r="A241" t="s">
        <v>73</v>
      </c>
      <c r="B241">
        <v>1767073862</v>
      </c>
      <c r="C241" t="s">
        <v>19</v>
      </c>
      <c r="D241" t="s">
        <v>170</v>
      </c>
      <c r="E241" s="3">
        <f t="shared" si="24"/>
        <v>5025.8636474609375</v>
      </c>
      <c r="F241" s="3">
        <f t="shared" si="25"/>
        <v>283.24127197265625</v>
      </c>
      <c r="G241" s="3">
        <f t="shared" si="26"/>
        <v>5309.1049194335938</v>
      </c>
      <c r="H241" s="4">
        <f t="shared" si="31"/>
        <v>175</v>
      </c>
      <c r="I241" s="3">
        <f t="shared" si="27"/>
        <v>0</v>
      </c>
      <c r="J241" s="3">
        <f t="shared" si="28"/>
        <v>10.49041748046875</v>
      </c>
      <c r="K241" s="3">
        <f t="shared" si="29"/>
        <v>10.49041748046875</v>
      </c>
      <c r="L241" s="3">
        <f t="shared" si="30"/>
        <v>1095.7717895507812</v>
      </c>
    </row>
    <row r="242" spans="1:12" x14ac:dyDescent="0.2">
      <c r="A242" t="s">
        <v>73</v>
      </c>
      <c r="B242">
        <v>1767073869</v>
      </c>
      <c r="C242" t="s">
        <v>13</v>
      </c>
      <c r="D242" t="s">
        <v>171</v>
      </c>
      <c r="E242" s="3">
        <f t="shared" si="24"/>
        <v>21.839141845703125</v>
      </c>
      <c r="F242" s="3">
        <f t="shared" si="25"/>
        <v>4777.9083251953125</v>
      </c>
      <c r="G242" s="3">
        <f t="shared" si="26"/>
        <v>4799.7474670410156</v>
      </c>
      <c r="H242" s="4">
        <f t="shared" si="31"/>
        <v>180</v>
      </c>
      <c r="I242" s="3">
        <f t="shared" si="27"/>
        <v>9.5367431640625E-2</v>
      </c>
      <c r="J242" s="3">
        <f t="shared" si="28"/>
        <v>0</v>
      </c>
      <c r="K242" s="3">
        <f t="shared" si="29"/>
        <v>9.5367431640625E-2</v>
      </c>
      <c r="L242" s="3">
        <f t="shared" si="30"/>
        <v>0.3814697265625</v>
      </c>
    </row>
    <row r="243" spans="1:12" x14ac:dyDescent="0.2">
      <c r="A243" t="s">
        <v>73</v>
      </c>
      <c r="B243">
        <v>1767073869</v>
      </c>
      <c r="C243" t="s">
        <v>15</v>
      </c>
      <c r="D243" t="s">
        <v>172</v>
      </c>
      <c r="E243" s="3">
        <f t="shared" si="24"/>
        <v>5064.0106201171875</v>
      </c>
      <c r="F243" s="3">
        <f t="shared" si="25"/>
        <v>5044.9371337890625</v>
      </c>
      <c r="G243" s="3">
        <f t="shared" si="26"/>
        <v>10108.94775390625</v>
      </c>
      <c r="H243" s="4">
        <f t="shared" si="31"/>
        <v>180</v>
      </c>
      <c r="I243" s="3">
        <f t="shared" si="27"/>
        <v>9.5367431640625</v>
      </c>
      <c r="J243" s="3">
        <f t="shared" si="28"/>
        <v>0</v>
      </c>
      <c r="K243" s="3">
        <f t="shared" si="29"/>
        <v>9.5367431640625</v>
      </c>
      <c r="L243" s="3">
        <f t="shared" si="30"/>
        <v>1106.26220703125</v>
      </c>
    </row>
    <row r="244" spans="1:12" x14ac:dyDescent="0.2">
      <c r="A244" t="s">
        <v>73</v>
      </c>
      <c r="B244">
        <v>1767073869</v>
      </c>
      <c r="C244" t="s">
        <v>17</v>
      </c>
      <c r="D244" t="s">
        <v>173</v>
      </c>
      <c r="E244" s="3">
        <f t="shared" si="24"/>
        <v>1.678466796875</v>
      </c>
      <c r="F244" s="3">
        <f t="shared" si="25"/>
        <v>0.8144378662109375</v>
      </c>
      <c r="G244" s="3">
        <f t="shared" si="26"/>
        <v>2.4929046630859375</v>
      </c>
      <c r="H244" s="4">
        <f t="shared" si="31"/>
        <v>180</v>
      </c>
      <c r="I244" s="3">
        <f t="shared" si="27"/>
        <v>9.5367431640625E-3</v>
      </c>
      <c r="J244" s="3">
        <f t="shared" si="28"/>
        <v>4.76837158203125E-3</v>
      </c>
      <c r="K244" s="3">
        <f t="shared" si="29"/>
        <v>1.430511474609375E-2</v>
      </c>
      <c r="L244" s="3">
        <f t="shared" si="30"/>
        <v>0.3261566162109375</v>
      </c>
    </row>
    <row r="245" spans="1:12" x14ac:dyDescent="0.2">
      <c r="A245" t="s">
        <v>73</v>
      </c>
      <c r="B245">
        <v>1767073869</v>
      </c>
      <c r="C245" t="s">
        <v>19</v>
      </c>
      <c r="D245" t="s">
        <v>174</v>
      </c>
      <c r="E245" s="3">
        <f t="shared" si="24"/>
        <v>5025.8636474609375</v>
      </c>
      <c r="F245" s="3">
        <f t="shared" si="25"/>
        <v>286.102294921875</v>
      </c>
      <c r="G245" s="3">
        <f t="shared" si="26"/>
        <v>5311.9659423828125</v>
      </c>
      <c r="H245" s="4">
        <f t="shared" si="31"/>
        <v>180</v>
      </c>
      <c r="I245" s="3">
        <f t="shared" si="27"/>
        <v>0</v>
      </c>
      <c r="J245" s="3">
        <f t="shared" si="28"/>
        <v>2.86102294921875</v>
      </c>
      <c r="K245" s="3">
        <f t="shared" si="29"/>
        <v>2.86102294921875</v>
      </c>
      <c r="L245" s="3">
        <f t="shared" si="30"/>
        <v>1098.6328125</v>
      </c>
    </row>
    <row r="246" spans="1:12" x14ac:dyDescent="0.2">
      <c r="A246" t="s">
        <v>73</v>
      </c>
      <c r="B246">
        <v>1767073876</v>
      </c>
      <c r="C246" t="s">
        <v>13</v>
      </c>
      <c r="D246" t="s">
        <v>171</v>
      </c>
      <c r="E246" s="3">
        <f t="shared" si="24"/>
        <v>21.839141845703125</v>
      </c>
      <c r="F246" s="3">
        <f t="shared" si="25"/>
        <v>4777.9083251953125</v>
      </c>
      <c r="G246" s="3">
        <f t="shared" si="26"/>
        <v>4799.7474670410156</v>
      </c>
      <c r="H246" s="4">
        <f t="shared" si="31"/>
        <v>185</v>
      </c>
      <c r="I246" s="3">
        <f t="shared" si="27"/>
        <v>0</v>
      </c>
      <c r="J246" s="3">
        <f t="shared" si="28"/>
        <v>0</v>
      </c>
      <c r="K246" s="3">
        <f t="shared" si="29"/>
        <v>0</v>
      </c>
      <c r="L246" s="3">
        <f t="shared" si="30"/>
        <v>0.3814697265625</v>
      </c>
    </row>
    <row r="247" spans="1:12" x14ac:dyDescent="0.2">
      <c r="A247" t="s">
        <v>73</v>
      </c>
      <c r="B247">
        <v>1767073876</v>
      </c>
      <c r="C247" t="s">
        <v>15</v>
      </c>
      <c r="D247" t="s">
        <v>172</v>
      </c>
      <c r="E247" s="3">
        <f t="shared" si="24"/>
        <v>5064.0106201171875</v>
      </c>
      <c r="F247" s="3">
        <f t="shared" si="25"/>
        <v>5044.9371337890625</v>
      </c>
      <c r="G247" s="3">
        <f t="shared" si="26"/>
        <v>10108.94775390625</v>
      </c>
      <c r="H247" s="4">
        <f t="shared" si="31"/>
        <v>185</v>
      </c>
      <c r="I247" s="3">
        <f t="shared" si="27"/>
        <v>0</v>
      </c>
      <c r="J247" s="3">
        <f t="shared" si="28"/>
        <v>0</v>
      </c>
      <c r="K247" s="3">
        <f t="shared" si="29"/>
        <v>0</v>
      </c>
      <c r="L247" s="3">
        <f t="shared" si="30"/>
        <v>1106.26220703125</v>
      </c>
    </row>
    <row r="248" spans="1:12" x14ac:dyDescent="0.2">
      <c r="A248" t="s">
        <v>73</v>
      </c>
      <c r="B248">
        <v>1767073876</v>
      </c>
      <c r="C248" t="s">
        <v>17</v>
      </c>
      <c r="D248" t="s">
        <v>175</v>
      </c>
      <c r="E248" s="3">
        <f t="shared" si="24"/>
        <v>1.6880035400390625</v>
      </c>
      <c r="F248" s="3">
        <f t="shared" si="25"/>
        <v>0.827789306640625</v>
      </c>
      <c r="G248" s="3">
        <f t="shared" si="26"/>
        <v>2.5157928466796875</v>
      </c>
      <c r="H248" s="4">
        <f t="shared" si="31"/>
        <v>185</v>
      </c>
      <c r="I248" s="3">
        <f t="shared" si="27"/>
        <v>9.5367431640625E-3</v>
      </c>
      <c r="J248" s="3">
        <f t="shared" si="28"/>
        <v>1.33514404296875E-2</v>
      </c>
      <c r="K248" s="3">
        <f t="shared" si="29"/>
        <v>2.288818359375E-2</v>
      </c>
      <c r="L248" s="3">
        <f t="shared" si="30"/>
        <v>0.3490447998046875</v>
      </c>
    </row>
    <row r="249" spans="1:12" x14ac:dyDescent="0.2">
      <c r="A249" t="s">
        <v>73</v>
      </c>
      <c r="B249">
        <v>1767073876</v>
      </c>
      <c r="C249" t="s">
        <v>19</v>
      </c>
      <c r="D249" t="s">
        <v>174</v>
      </c>
      <c r="E249" s="3">
        <f t="shared" si="24"/>
        <v>5025.8636474609375</v>
      </c>
      <c r="F249" s="3">
        <f t="shared" si="25"/>
        <v>286.102294921875</v>
      </c>
      <c r="G249" s="3">
        <f t="shared" si="26"/>
        <v>5311.9659423828125</v>
      </c>
      <c r="H249" s="4">
        <f t="shared" si="31"/>
        <v>185</v>
      </c>
      <c r="I249" s="3">
        <f t="shared" si="27"/>
        <v>0</v>
      </c>
      <c r="J249" s="3">
        <f t="shared" si="28"/>
        <v>0</v>
      </c>
      <c r="K249" s="3">
        <f t="shared" si="29"/>
        <v>0</v>
      </c>
      <c r="L249" s="3">
        <f t="shared" si="30"/>
        <v>1098.6328125</v>
      </c>
    </row>
    <row r="250" spans="1:12" x14ac:dyDescent="0.2">
      <c r="A250" t="s">
        <v>73</v>
      </c>
      <c r="B250">
        <v>1767073883</v>
      </c>
      <c r="C250" t="s">
        <v>13</v>
      </c>
      <c r="D250" t="s">
        <v>171</v>
      </c>
      <c r="E250" s="3">
        <f t="shared" si="24"/>
        <v>21.839141845703125</v>
      </c>
      <c r="F250" s="3">
        <f t="shared" si="25"/>
        <v>4777.9083251953125</v>
      </c>
      <c r="G250" s="3">
        <f t="shared" si="26"/>
        <v>4799.7474670410156</v>
      </c>
      <c r="H250" s="4">
        <f t="shared" si="31"/>
        <v>190</v>
      </c>
      <c r="I250" s="3">
        <f t="shared" si="27"/>
        <v>0</v>
      </c>
      <c r="J250" s="3">
        <f t="shared" si="28"/>
        <v>0</v>
      </c>
      <c r="K250" s="3">
        <f t="shared" si="29"/>
        <v>0</v>
      </c>
      <c r="L250" s="3">
        <f t="shared" si="30"/>
        <v>0.3814697265625</v>
      </c>
    </row>
    <row r="251" spans="1:12" x14ac:dyDescent="0.2">
      <c r="A251" t="s">
        <v>73</v>
      </c>
      <c r="B251">
        <v>1767073883</v>
      </c>
      <c r="C251" t="s">
        <v>15</v>
      </c>
      <c r="D251" t="s">
        <v>176</v>
      </c>
      <c r="E251" s="3">
        <f t="shared" si="24"/>
        <v>5064.0106201171875</v>
      </c>
      <c r="F251" s="3">
        <f t="shared" si="25"/>
        <v>5054.473876953125</v>
      </c>
      <c r="G251" s="3">
        <f t="shared" si="26"/>
        <v>10118.484497070312</v>
      </c>
      <c r="H251" s="4">
        <f t="shared" si="31"/>
        <v>190</v>
      </c>
      <c r="I251" s="3">
        <f t="shared" si="27"/>
        <v>0</v>
      </c>
      <c r="J251" s="3">
        <f t="shared" si="28"/>
        <v>9.5367431640625</v>
      </c>
      <c r="K251" s="3">
        <f t="shared" si="29"/>
        <v>9.5367431640625</v>
      </c>
      <c r="L251" s="3">
        <f t="shared" si="30"/>
        <v>1115.7989501953125</v>
      </c>
    </row>
    <row r="252" spans="1:12" x14ac:dyDescent="0.2">
      <c r="A252" t="s">
        <v>73</v>
      </c>
      <c r="B252">
        <v>1767073883</v>
      </c>
      <c r="C252" t="s">
        <v>17</v>
      </c>
      <c r="D252" t="s">
        <v>177</v>
      </c>
      <c r="E252" s="3">
        <f t="shared" si="24"/>
        <v>1.697540283203125</v>
      </c>
      <c r="F252" s="3">
        <f t="shared" si="25"/>
        <v>0.83160400390625</v>
      </c>
      <c r="G252" s="3">
        <f t="shared" si="26"/>
        <v>2.529144287109375</v>
      </c>
      <c r="H252" s="4">
        <f t="shared" si="31"/>
        <v>190</v>
      </c>
      <c r="I252" s="3">
        <f t="shared" si="27"/>
        <v>9.5367431640625E-3</v>
      </c>
      <c r="J252" s="3">
        <f t="shared" si="28"/>
        <v>3.814697265625E-3</v>
      </c>
      <c r="K252" s="3">
        <f t="shared" si="29"/>
        <v>1.33514404296875E-2</v>
      </c>
      <c r="L252" s="3">
        <f t="shared" si="30"/>
        <v>0.362396240234375</v>
      </c>
    </row>
    <row r="253" spans="1:12" x14ac:dyDescent="0.2">
      <c r="A253" t="s">
        <v>73</v>
      </c>
      <c r="B253">
        <v>1767073883</v>
      </c>
      <c r="C253" t="s">
        <v>19</v>
      </c>
      <c r="D253" t="s">
        <v>174</v>
      </c>
      <c r="E253" s="3">
        <f t="shared" si="24"/>
        <v>5025.8636474609375</v>
      </c>
      <c r="F253" s="3">
        <f t="shared" si="25"/>
        <v>286.102294921875</v>
      </c>
      <c r="G253" s="3">
        <f t="shared" si="26"/>
        <v>5311.9659423828125</v>
      </c>
      <c r="H253" s="4">
        <f t="shared" si="31"/>
        <v>190</v>
      </c>
      <c r="I253" s="3">
        <f t="shared" si="27"/>
        <v>0</v>
      </c>
      <c r="J253" s="3">
        <f t="shared" si="28"/>
        <v>0</v>
      </c>
      <c r="K253" s="3">
        <f t="shared" si="29"/>
        <v>0</v>
      </c>
      <c r="L253" s="3">
        <f t="shared" si="30"/>
        <v>1098.6328125</v>
      </c>
    </row>
    <row r="254" spans="1:12" x14ac:dyDescent="0.2">
      <c r="A254" t="s">
        <v>73</v>
      </c>
      <c r="B254">
        <v>1767073891</v>
      </c>
      <c r="C254" t="s">
        <v>13</v>
      </c>
      <c r="D254" t="s">
        <v>171</v>
      </c>
      <c r="E254" s="3">
        <f t="shared" si="24"/>
        <v>21.839141845703125</v>
      </c>
      <c r="F254" s="3">
        <f t="shared" si="25"/>
        <v>4777.9083251953125</v>
      </c>
      <c r="G254" s="3">
        <f t="shared" si="26"/>
        <v>4799.7474670410156</v>
      </c>
      <c r="H254" s="4">
        <f t="shared" si="31"/>
        <v>195</v>
      </c>
      <c r="I254" s="3">
        <f t="shared" si="27"/>
        <v>0</v>
      </c>
      <c r="J254" s="3">
        <f t="shared" si="28"/>
        <v>0</v>
      </c>
      <c r="K254" s="3">
        <f t="shared" si="29"/>
        <v>0</v>
      </c>
      <c r="L254" s="3">
        <f t="shared" si="30"/>
        <v>0.3814697265625</v>
      </c>
    </row>
    <row r="255" spans="1:12" x14ac:dyDescent="0.2">
      <c r="A255" t="s">
        <v>73</v>
      </c>
      <c r="B255">
        <v>1767073891</v>
      </c>
      <c r="C255" t="s">
        <v>15</v>
      </c>
      <c r="D255" t="s">
        <v>178</v>
      </c>
      <c r="E255" s="3">
        <f t="shared" si="24"/>
        <v>5064.0106201171875</v>
      </c>
      <c r="F255" s="3">
        <f t="shared" si="25"/>
        <v>5092.620849609375</v>
      </c>
      <c r="G255" s="3">
        <f t="shared" si="26"/>
        <v>10156.631469726562</v>
      </c>
      <c r="H255" s="4">
        <f t="shared" si="31"/>
        <v>195</v>
      </c>
      <c r="I255" s="3">
        <f t="shared" si="27"/>
        <v>0</v>
      </c>
      <c r="J255" s="3">
        <f t="shared" si="28"/>
        <v>38.14697265625</v>
      </c>
      <c r="K255" s="3">
        <f t="shared" si="29"/>
        <v>38.14697265625</v>
      </c>
      <c r="L255" s="3">
        <f t="shared" si="30"/>
        <v>1153.9459228515625</v>
      </c>
    </row>
    <row r="256" spans="1:12" x14ac:dyDescent="0.2">
      <c r="A256" t="s">
        <v>73</v>
      </c>
      <c r="B256">
        <v>1767073891</v>
      </c>
      <c r="C256" t="s">
        <v>17</v>
      </c>
      <c r="D256" t="s">
        <v>179</v>
      </c>
      <c r="E256" s="3">
        <f t="shared" si="24"/>
        <v>1.7070770263671875</v>
      </c>
      <c r="F256" s="3">
        <f t="shared" si="25"/>
        <v>0.8335113525390625</v>
      </c>
      <c r="G256" s="3">
        <f t="shared" si="26"/>
        <v>2.54058837890625</v>
      </c>
      <c r="H256" s="4">
        <f t="shared" si="31"/>
        <v>195</v>
      </c>
      <c r="I256" s="3">
        <f t="shared" si="27"/>
        <v>9.5367431640625E-3</v>
      </c>
      <c r="J256" s="3">
        <f t="shared" si="28"/>
        <v>1.9073486328125E-3</v>
      </c>
      <c r="K256" s="3">
        <f t="shared" si="29"/>
        <v>1.1444091796875E-2</v>
      </c>
      <c r="L256" s="3">
        <f t="shared" si="30"/>
        <v>0.37384033203125</v>
      </c>
    </row>
    <row r="257" spans="1:12" x14ac:dyDescent="0.2">
      <c r="A257" t="s">
        <v>73</v>
      </c>
      <c r="B257">
        <v>1767073891</v>
      </c>
      <c r="C257" t="s">
        <v>19</v>
      </c>
      <c r="D257" t="s">
        <v>180</v>
      </c>
      <c r="E257" s="3">
        <f t="shared" si="24"/>
        <v>5073.54736328125</v>
      </c>
      <c r="F257" s="3">
        <f t="shared" si="25"/>
        <v>286.102294921875</v>
      </c>
      <c r="G257" s="3">
        <f t="shared" si="26"/>
        <v>5359.649658203125</v>
      </c>
      <c r="H257" s="4">
        <f t="shared" si="31"/>
        <v>195</v>
      </c>
      <c r="I257" s="3">
        <f t="shared" si="27"/>
        <v>47.6837158203125</v>
      </c>
      <c r="J257" s="3">
        <f t="shared" si="28"/>
        <v>0</v>
      </c>
      <c r="K257" s="3">
        <f t="shared" si="29"/>
        <v>47.6837158203125</v>
      </c>
      <c r="L257" s="3">
        <f t="shared" si="30"/>
        <v>1146.3165283203125</v>
      </c>
    </row>
    <row r="258" spans="1:12" x14ac:dyDescent="0.2">
      <c r="A258" t="s">
        <v>73</v>
      </c>
      <c r="B258">
        <v>1767073898</v>
      </c>
      <c r="C258" t="s">
        <v>13</v>
      </c>
      <c r="D258" t="s">
        <v>171</v>
      </c>
      <c r="E258" s="3">
        <f t="shared" ref="E258:E321" si="32">IF(RIGHT(TRIM(LEFT($D258,FIND("/",$D258)-1)),2)="kB",VALUE(LEFT(TRIM(LEFT($D258,FIND("/",$D258)-1)),LEN(TRIM(LEFT($D258,FIND("/",$D258)-1)))-2))*1000/1024/1024,IF(RIGHT(TRIM(LEFT($D258,FIND("/",$D258)-1)),2)="MB",VALUE(LEFT(TRIM(LEFT($D258,FIND("/",$D258)-1)),LEN(TRIM(LEFT($D258,FIND("/",$D258)-1)))-2))*1000*1000/1024/1024,IF(RIGHT(TRIM(LEFT($D258,FIND("/",$D258)-1)),2)="GB",VALUE(LEFT(TRIM(LEFT($D258,FIND("/",$D258)-1)),LEN(TRIM(LEFT($D258,FIND("/",$D258)-1)))-2))*1000*1000*1000/1024/1024,0)))</f>
        <v>21.839141845703125</v>
      </c>
      <c r="F258" s="3">
        <f t="shared" ref="F258:F321" si="33">IF(RIGHT(TRIM(MID($D258,FIND("/",$D258)+1,999)),2)="kB",VALUE(LEFT(TRIM(MID($D258,FIND("/",$D258)+1,999)),LEN(TRIM(MID($D258,FIND("/",$D258)+1,999)))-2))*1000/1024/1024,IF(RIGHT(TRIM(MID($D258,FIND("/",$D258)+1,999)),2)="MB",VALUE(LEFT(TRIM(MID($D258,FIND("/",$D258)+1,999)),LEN(TRIM(MID($D258,FIND("/",$D258)+1,999)))-2))*1000*1000/1024/1024,IF(RIGHT(TRIM(MID($D258,FIND("/",$D258)+1,999)),2)="GB",VALUE(LEFT(TRIM(MID($D258,FIND("/",$D258)+1,999)),LEN(TRIM(MID($D258,FIND("/",$D258)+1,999)))-2))*1000*1000*1000/1024/1024,0)))</f>
        <v>4777.9083251953125</v>
      </c>
      <c r="G258" s="3">
        <f t="shared" ref="G258:G321" si="34">$E258+$F258</f>
        <v>4799.7474670410156</v>
      </c>
      <c r="H258" s="4">
        <f t="shared" si="31"/>
        <v>200</v>
      </c>
      <c r="I258" s="3">
        <f t="shared" ref="I258:I321" si="35">IF($H258=0,0,MAX(0,$E258-SUMIFS($E$2:$E$349,$A$2:$A$349,$A258,$C$2:$C$349,$C258,$H$2:$H$349,$H258-5)))</f>
        <v>0</v>
      </c>
      <c r="J258" s="3">
        <f t="shared" ref="J258:J321" si="36">IF($H258=0,0,MAX(0,$F258-SUMIFS($F$2:$F$349,$A$2:$A$349,$A258,$C$2:$C$349,$C258,$H$2:$H$349,$H258-5)))</f>
        <v>0</v>
      </c>
      <c r="K258" s="3">
        <f t="shared" ref="K258:K321" si="37">IF($H258=0,0,MAX(0,$G258-SUMIFS($G$2:$G$349,$A$2:$A$349,$A258,$C$2:$C$349,$C258,$H$2:$H$349,$H258-5)))</f>
        <v>0</v>
      </c>
      <c r="L258" s="3">
        <f t="shared" ref="L258:L321" si="38">MAX(0,$G258-SUMIFS($G$2:$G$349,$A$2:$A$349,$A258,$C$2:$C$349,$C258,$H$2:$H$349,0))</f>
        <v>0.3814697265625</v>
      </c>
    </row>
    <row r="259" spans="1:12" x14ac:dyDescent="0.2">
      <c r="A259" t="s">
        <v>73</v>
      </c>
      <c r="B259">
        <v>1767073898</v>
      </c>
      <c r="C259" t="s">
        <v>15</v>
      </c>
      <c r="D259" t="s">
        <v>178</v>
      </c>
      <c r="E259" s="3">
        <f t="shared" si="32"/>
        <v>5064.0106201171875</v>
      </c>
      <c r="F259" s="3">
        <f t="shared" si="33"/>
        <v>5092.620849609375</v>
      </c>
      <c r="G259" s="3">
        <f t="shared" si="34"/>
        <v>10156.631469726562</v>
      </c>
      <c r="H259" s="4">
        <f t="shared" ref="H259:H322" si="39">IF($A259&lt;&gt;$A258,0,IF($B259=$B258,$H258,$H258+5))</f>
        <v>200</v>
      </c>
      <c r="I259" s="3">
        <f t="shared" si="35"/>
        <v>0</v>
      </c>
      <c r="J259" s="3">
        <f t="shared" si="36"/>
        <v>0</v>
      </c>
      <c r="K259" s="3">
        <f t="shared" si="37"/>
        <v>0</v>
      </c>
      <c r="L259" s="3">
        <f t="shared" si="38"/>
        <v>1153.9459228515625</v>
      </c>
    </row>
    <row r="260" spans="1:12" x14ac:dyDescent="0.2">
      <c r="A260" t="s">
        <v>73</v>
      </c>
      <c r="B260">
        <v>1767073898</v>
      </c>
      <c r="C260" t="s">
        <v>17</v>
      </c>
      <c r="D260" t="s">
        <v>181</v>
      </c>
      <c r="E260" s="3">
        <f t="shared" si="32"/>
        <v>1.71661376953125</v>
      </c>
      <c r="F260" s="3">
        <f t="shared" si="33"/>
        <v>0.83637237548828125</v>
      </c>
      <c r="G260" s="3">
        <f t="shared" si="34"/>
        <v>2.5529861450195312</v>
      </c>
      <c r="H260" s="4">
        <f t="shared" si="39"/>
        <v>200</v>
      </c>
      <c r="I260" s="3">
        <f t="shared" si="35"/>
        <v>9.5367431640625E-3</v>
      </c>
      <c r="J260" s="3">
        <f t="shared" si="36"/>
        <v>2.86102294921875E-3</v>
      </c>
      <c r="K260" s="3">
        <f t="shared" si="37"/>
        <v>1.239776611328125E-2</v>
      </c>
      <c r="L260" s="3">
        <f t="shared" si="38"/>
        <v>0.38623809814453125</v>
      </c>
    </row>
    <row r="261" spans="1:12" x14ac:dyDescent="0.2">
      <c r="A261" t="s">
        <v>73</v>
      </c>
      <c r="B261">
        <v>1767073898</v>
      </c>
      <c r="C261" t="s">
        <v>19</v>
      </c>
      <c r="D261" t="s">
        <v>180</v>
      </c>
      <c r="E261" s="3">
        <f t="shared" si="32"/>
        <v>5073.54736328125</v>
      </c>
      <c r="F261" s="3">
        <f t="shared" si="33"/>
        <v>286.102294921875</v>
      </c>
      <c r="G261" s="3">
        <f t="shared" si="34"/>
        <v>5359.649658203125</v>
      </c>
      <c r="H261" s="4">
        <f t="shared" si="39"/>
        <v>200</v>
      </c>
      <c r="I261" s="3">
        <f t="shared" si="35"/>
        <v>0</v>
      </c>
      <c r="J261" s="3">
        <f t="shared" si="36"/>
        <v>0</v>
      </c>
      <c r="K261" s="3">
        <f t="shared" si="37"/>
        <v>0</v>
      </c>
      <c r="L261" s="3">
        <f t="shared" si="38"/>
        <v>1146.3165283203125</v>
      </c>
    </row>
    <row r="262" spans="1:12" x14ac:dyDescent="0.2">
      <c r="A262" t="s">
        <v>182</v>
      </c>
      <c r="B262">
        <v>1767073918</v>
      </c>
      <c r="C262" t="s">
        <v>13</v>
      </c>
      <c r="D262" t="s">
        <v>183</v>
      </c>
      <c r="E262" s="3">
        <f t="shared" si="32"/>
        <v>22.602081298828125</v>
      </c>
      <c r="F262" s="3">
        <f t="shared" si="33"/>
        <v>5187.98828125</v>
      </c>
      <c r="G262" s="3">
        <f t="shared" si="34"/>
        <v>5210.5903625488281</v>
      </c>
      <c r="H262" s="4">
        <f t="shared" si="39"/>
        <v>0</v>
      </c>
      <c r="I262" s="3">
        <f t="shared" si="35"/>
        <v>0</v>
      </c>
      <c r="J262" s="3">
        <f t="shared" si="36"/>
        <v>0</v>
      </c>
      <c r="K262" s="3">
        <f t="shared" si="37"/>
        <v>0</v>
      </c>
      <c r="L262" s="3">
        <f t="shared" si="38"/>
        <v>0</v>
      </c>
    </row>
    <row r="263" spans="1:12" x14ac:dyDescent="0.2">
      <c r="A263" t="s">
        <v>182</v>
      </c>
      <c r="B263">
        <v>1767073918</v>
      </c>
      <c r="C263" t="s">
        <v>15</v>
      </c>
      <c r="D263" t="s">
        <v>184</v>
      </c>
      <c r="E263" s="3">
        <f t="shared" si="32"/>
        <v>5464.5538330078125</v>
      </c>
      <c r="F263" s="3">
        <f t="shared" si="33"/>
        <v>5092.620849609375</v>
      </c>
      <c r="G263" s="3">
        <f t="shared" si="34"/>
        <v>10557.174682617188</v>
      </c>
      <c r="H263" s="4">
        <f t="shared" si="39"/>
        <v>0</v>
      </c>
      <c r="I263" s="3">
        <f t="shared" si="35"/>
        <v>0</v>
      </c>
      <c r="J263" s="3">
        <f t="shared" si="36"/>
        <v>0</v>
      </c>
      <c r="K263" s="3">
        <f t="shared" si="37"/>
        <v>0</v>
      </c>
      <c r="L263" s="3">
        <f t="shared" si="38"/>
        <v>0</v>
      </c>
    </row>
    <row r="264" spans="1:12" x14ac:dyDescent="0.2">
      <c r="A264" t="s">
        <v>182</v>
      </c>
      <c r="B264">
        <v>1767073918</v>
      </c>
      <c r="C264" t="s">
        <v>17</v>
      </c>
      <c r="D264" t="s">
        <v>185</v>
      </c>
      <c r="E264" s="3">
        <f t="shared" si="32"/>
        <v>1.7261505126953125</v>
      </c>
      <c r="F264" s="3">
        <f t="shared" si="33"/>
        <v>0.84018707275390625</v>
      </c>
      <c r="G264" s="3">
        <f t="shared" si="34"/>
        <v>2.5663375854492188</v>
      </c>
      <c r="H264" s="4">
        <f t="shared" si="39"/>
        <v>0</v>
      </c>
      <c r="I264" s="3">
        <f t="shared" si="35"/>
        <v>0</v>
      </c>
      <c r="J264" s="3">
        <f t="shared" si="36"/>
        <v>0</v>
      </c>
      <c r="K264" s="3">
        <f t="shared" si="37"/>
        <v>0</v>
      </c>
      <c r="L264" s="3">
        <f t="shared" si="38"/>
        <v>0</v>
      </c>
    </row>
    <row r="265" spans="1:12" x14ac:dyDescent="0.2">
      <c r="A265" t="s">
        <v>182</v>
      </c>
      <c r="B265">
        <v>1767073918</v>
      </c>
      <c r="C265" t="s">
        <v>19</v>
      </c>
      <c r="D265" t="s">
        <v>186</v>
      </c>
      <c r="E265" s="3">
        <f t="shared" si="32"/>
        <v>5073.54736328125</v>
      </c>
      <c r="F265" s="3">
        <f t="shared" si="33"/>
        <v>287.05596923828125</v>
      </c>
      <c r="G265" s="3">
        <f t="shared" si="34"/>
        <v>5360.6033325195312</v>
      </c>
      <c r="H265" s="4">
        <f t="shared" si="39"/>
        <v>0</v>
      </c>
      <c r="I265" s="3">
        <f t="shared" si="35"/>
        <v>0</v>
      </c>
      <c r="J265" s="3">
        <f t="shared" si="36"/>
        <v>0</v>
      </c>
      <c r="K265" s="3">
        <f t="shared" si="37"/>
        <v>0</v>
      </c>
      <c r="L265" s="3">
        <f t="shared" si="38"/>
        <v>0</v>
      </c>
    </row>
    <row r="266" spans="1:12" x14ac:dyDescent="0.2">
      <c r="A266" t="s">
        <v>182</v>
      </c>
      <c r="B266">
        <v>1767073926</v>
      </c>
      <c r="C266" t="s">
        <v>13</v>
      </c>
      <c r="D266" t="s">
        <v>183</v>
      </c>
      <c r="E266" s="3">
        <f t="shared" si="32"/>
        <v>22.602081298828125</v>
      </c>
      <c r="F266" s="3">
        <f t="shared" si="33"/>
        <v>5187.98828125</v>
      </c>
      <c r="G266" s="3">
        <f t="shared" si="34"/>
        <v>5210.5903625488281</v>
      </c>
      <c r="H266" s="4">
        <f t="shared" si="39"/>
        <v>5</v>
      </c>
      <c r="I266" s="3">
        <f t="shared" si="35"/>
        <v>0</v>
      </c>
      <c r="J266" s="3">
        <f t="shared" si="36"/>
        <v>0</v>
      </c>
      <c r="K266" s="3">
        <f t="shared" si="37"/>
        <v>0</v>
      </c>
      <c r="L266" s="3">
        <f t="shared" si="38"/>
        <v>0</v>
      </c>
    </row>
    <row r="267" spans="1:12" x14ac:dyDescent="0.2">
      <c r="A267" t="s">
        <v>182</v>
      </c>
      <c r="B267">
        <v>1767073926</v>
      </c>
      <c r="C267" t="s">
        <v>15</v>
      </c>
      <c r="D267" t="s">
        <v>184</v>
      </c>
      <c r="E267" s="3">
        <f t="shared" si="32"/>
        <v>5464.5538330078125</v>
      </c>
      <c r="F267" s="3">
        <f t="shared" si="33"/>
        <v>5092.620849609375</v>
      </c>
      <c r="G267" s="3">
        <f t="shared" si="34"/>
        <v>10557.174682617188</v>
      </c>
      <c r="H267" s="4">
        <f t="shared" si="39"/>
        <v>5</v>
      </c>
      <c r="I267" s="3">
        <f t="shared" si="35"/>
        <v>0</v>
      </c>
      <c r="J267" s="3">
        <f t="shared" si="36"/>
        <v>0</v>
      </c>
      <c r="K267" s="3">
        <f t="shared" si="37"/>
        <v>0</v>
      </c>
      <c r="L267" s="3">
        <f t="shared" si="38"/>
        <v>0</v>
      </c>
    </row>
    <row r="268" spans="1:12" x14ac:dyDescent="0.2">
      <c r="A268" t="s">
        <v>182</v>
      </c>
      <c r="B268">
        <v>1767073926</v>
      </c>
      <c r="C268" t="s">
        <v>17</v>
      </c>
      <c r="D268" t="s">
        <v>187</v>
      </c>
      <c r="E268" s="3">
        <f t="shared" si="32"/>
        <v>1.735687255859375</v>
      </c>
      <c r="F268" s="3">
        <f t="shared" si="33"/>
        <v>0.85163116455078125</v>
      </c>
      <c r="G268" s="3">
        <f t="shared" si="34"/>
        <v>2.5873184204101562</v>
      </c>
      <c r="H268" s="4">
        <f t="shared" si="39"/>
        <v>5</v>
      </c>
      <c r="I268" s="3">
        <f t="shared" si="35"/>
        <v>9.5367431640625E-3</v>
      </c>
      <c r="J268" s="3">
        <f t="shared" si="36"/>
        <v>1.1444091796875E-2</v>
      </c>
      <c r="K268" s="3">
        <f t="shared" si="37"/>
        <v>2.09808349609375E-2</v>
      </c>
      <c r="L268" s="3">
        <f t="shared" si="38"/>
        <v>2.09808349609375E-2</v>
      </c>
    </row>
    <row r="269" spans="1:12" x14ac:dyDescent="0.2">
      <c r="A269" t="s">
        <v>182</v>
      </c>
      <c r="B269">
        <v>1767073926</v>
      </c>
      <c r="C269" t="s">
        <v>19</v>
      </c>
      <c r="D269" t="s">
        <v>186</v>
      </c>
      <c r="E269" s="3">
        <f t="shared" si="32"/>
        <v>5073.54736328125</v>
      </c>
      <c r="F269" s="3">
        <f t="shared" si="33"/>
        <v>287.05596923828125</v>
      </c>
      <c r="G269" s="3">
        <f t="shared" si="34"/>
        <v>5360.6033325195312</v>
      </c>
      <c r="H269" s="4">
        <f t="shared" si="39"/>
        <v>5</v>
      </c>
      <c r="I269" s="3">
        <f t="shared" si="35"/>
        <v>0</v>
      </c>
      <c r="J269" s="3">
        <f t="shared" si="36"/>
        <v>0</v>
      </c>
      <c r="K269" s="3">
        <f t="shared" si="37"/>
        <v>0</v>
      </c>
      <c r="L269" s="3">
        <f t="shared" si="38"/>
        <v>0</v>
      </c>
    </row>
    <row r="270" spans="1:12" x14ac:dyDescent="0.2">
      <c r="A270" t="s">
        <v>182</v>
      </c>
      <c r="B270">
        <v>1767073933</v>
      </c>
      <c r="C270" t="s">
        <v>13</v>
      </c>
      <c r="D270" t="s">
        <v>183</v>
      </c>
      <c r="E270" s="3">
        <f t="shared" si="32"/>
        <v>22.602081298828125</v>
      </c>
      <c r="F270" s="3">
        <f t="shared" si="33"/>
        <v>5187.98828125</v>
      </c>
      <c r="G270" s="3">
        <f t="shared" si="34"/>
        <v>5210.5903625488281</v>
      </c>
      <c r="H270" s="4">
        <f t="shared" si="39"/>
        <v>10</v>
      </c>
      <c r="I270" s="3">
        <f t="shared" si="35"/>
        <v>0</v>
      </c>
      <c r="J270" s="3">
        <f t="shared" si="36"/>
        <v>0</v>
      </c>
      <c r="K270" s="3">
        <f t="shared" si="37"/>
        <v>0</v>
      </c>
      <c r="L270" s="3">
        <f t="shared" si="38"/>
        <v>0</v>
      </c>
    </row>
    <row r="271" spans="1:12" x14ac:dyDescent="0.2">
      <c r="A271" t="s">
        <v>182</v>
      </c>
      <c r="B271">
        <v>1767073933</v>
      </c>
      <c r="C271" t="s">
        <v>15</v>
      </c>
      <c r="D271" t="s">
        <v>188</v>
      </c>
      <c r="E271" s="3">
        <f t="shared" si="32"/>
        <v>5474.090576171875</v>
      </c>
      <c r="F271" s="3">
        <f t="shared" si="33"/>
        <v>5092.620849609375</v>
      </c>
      <c r="G271" s="3">
        <f t="shared" si="34"/>
        <v>10566.71142578125</v>
      </c>
      <c r="H271" s="4">
        <f t="shared" si="39"/>
        <v>10</v>
      </c>
      <c r="I271" s="3">
        <f t="shared" si="35"/>
        <v>9.5367431640625</v>
      </c>
      <c r="J271" s="3">
        <f t="shared" si="36"/>
        <v>0</v>
      </c>
      <c r="K271" s="3">
        <f t="shared" si="37"/>
        <v>9.5367431640625</v>
      </c>
      <c r="L271" s="3">
        <f t="shared" si="38"/>
        <v>9.5367431640625</v>
      </c>
    </row>
    <row r="272" spans="1:12" x14ac:dyDescent="0.2">
      <c r="A272" t="s">
        <v>182</v>
      </c>
      <c r="B272">
        <v>1767073933</v>
      </c>
      <c r="C272" t="s">
        <v>17</v>
      </c>
      <c r="D272" t="s">
        <v>189</v>
      </c>
      <c r="E272" s="3">
        <f t="shared" si="32"/>
        <v>1.735687255859375</v>
      </c>
      <c r="F272" s="3">
        <f t="shared" si="33"/>
        <v>0.858306884765625</v>
      </c>
      <c r="G272" s="3">
        <f t="shared" si="34"/>
        <v>2.593994140625</v>
      </c>
      <c r="H272" s="4">
        <f t="shared" si="39"/>
        <v>10</v>
      </c>
      <c r="I272" s="3">
        <f t="shared" si="35"/>
        <v>0</v>
      </c>
      <c r="J272" s="3">
        <f t="shared" si="36"/>
        <v>6.67572021484375E-3</v>
      </c>
      <c r="K272" s="3">
        <f t="shared" si="37"/>
        <v>6.67572021484375E-3</v>
      </c>
      <c r="L272" s="3">
        <f t="shared" si="38"/>
        <v>2.765655517578125E-2</v>
      </c>
    </row>
    <row r="273" spans="1:12" x14ac:dyDescent="0.2">
      <c r="A273" t="s">
        <v>182</v>
      </c>
      <c r="B273">
        <v>1767073933</v>
      </c>
      <c r="C273" t="s">
        <v>19</v>
      </c>
      <c r="D273" t="s">
        <v>186</v>
      </c>
      <c r="E273" s="3">
        <f t="shared" si="32"/>
        <v>5073.54736328125</v>
      </c>
      <c r="F273" s="3">
        <f t="shared" si="33"/>
        <v>287.05596923828125</v>
      </c>
      <c r="G273" s="3">
        <f t="shared" si="34"/>
        <v>5360.6033325195312</v>
      </c>
      <c r="H273" s="4">
        <f t="shared" si="39"/>
        <v>10</v>
      </c>
      <c r="I273" s="3">
        <f t="shared" si="35"/>
        <v>0</v>
      </c>
      <c r="J273" s="3">
        <f t="shared" si="36"/>
        <v>0</v>
      </c>
      <c r="K273" s="3">
        <f t="shared" si="37"/>
        <v>0</v>
      </c>
      <c r="L273" s="3">
        <f t="shared" si="38"/>
        <v>0</v>
      </c>
    </row>
    <row r="274" spans="1:12" x14ac:dyDescent="0.2">
      <c r="A274" t="s">
        <v>182</v>
      </c>
      <c r="B274">
        <v>1767073941</v>
      </c>
      <c r="C274" t="s">
        <v>13</v>
      </c>
      <c r="D274" t="s">
        <v>183</v>
      </c>
      <c r="E274" s="3">
        <f t="shared" si="32"/>
        <v>22.602081298828125</v>
      </c>
      <c r="F274" s="3">
        <f t="shared" si="33"/>
        <v>5187.98828125</v>
      </c>
      <c r="G274" s="3">
        <f t="shared" si="34"/>
        <v>5210.5903625488281</v>
      </c>
      <c r="H274" s="4">
        <f t="shared" si="39"/>
        <v>15</v>
      </c>
      <c r="I274" s="3">
        <f t="shared" si="35"/>
        <v>0</v>
      </c>
      <c r="J274" s="3">
        <f t="shared" si="36"/>
        <v>0</v>
      </c>
      <c r="K274" s="3">
        <f t="shared" si="37"/>
        <v>0</v>
      </c>
      <c r="L274" s="3">
        <f t="shared" si="38"/>
        <v>0</v>
      </c>
    </row>
    <row r="275" spans="1:12" x14ac:dyDescent="0.2">
      <c r="A275" t="s">
        <v>182</v>
      </c>
      <c r="B275">
        <v>1767073941</v>
      </c>
      <c r="C275" t="s">
        <v>15</v>
      </c>
      <c r="D275" t="s">
        <v>190</v>
      </c>
      <c r="E275" s="3">
        <f t="shared" si="32"/>
        <v>5474.090576171875</v>
      </c>
      <c r="F275" s="3">
        <f t="shared" si="33"/>
        <v>5140.3045654296875</v>
      </c>
      <c r="G275" s="3">
        <f t="shared" si="34"/>
        <v>10614.395141601562</v>
      </c>
      <c r="H275" s="4">
        <f t="shared" si="39"/>
        <v>15</v>
      </c>
      <c r="I275" s="3">
        <f t="shared" si="35"/>
        <v>0</v>
      </c>
      <c r="J275" s="3">
        <f t="shared" si="36"/>
        <v>47.6837158203125</v>
      </c>
      <c r="K275" s="3">
        <f t="shared" si="37"/>
        <v>47.6837158203125</v>
      </c>
      <c r="L275" s="3">
        <f t="shared" si="38"/>
        <v>57.220458984375</v>
      </c>
    </row>
    <row r="276" spans="1:12" x14ac:dyDescent="0.2">
      <c r="A276" t="s">
        <v>182</v>
      </c>
      <c r="B276">
        <v>1767073941</v>
      </c>
      <c r="C276" t="s">
        <v>17</v>
      </c>
      <c r="D276" t="s">
        <v>191</v>
      </c>
      <c r="E276" s="3">
        <f t="shared" si="32"/>
        <v>1.7452239990234375</v>
      </c>
      <c r="F276" s="3">
        <f t="shared" si="33"/>
        <v>0.8602142333984375</v>
      </c>
      <c r="G276" s="3">
        <f t="shared" si="34"/>
        <v>2.605438232421875</v>
      </c>
      <c r="H276" s="4">
        <f t="shared" si="39"/>
        <v>15</v>
      </c>
      <c r="I276" s="3">
        <f t="shared" si="35"/>
        <v>9.5367431640625E-3</v>
      </c>
      <c r="J276" s="3">
        <f t="shared" si="36"/>
        <v>1.9073486328125E-3</v>
      </c>
      <c r="K276" s="3">
        <f t="shared" si="37"/>
        <v>1.1444091796875E-2</v>
      </c>
      <c r="L276" s="3">
        <f t="shared" si="38"/>
        <v>3.910064697265625E-2</v>
      </c>
    </row>
    <row r="277" spans="1:12" x14ac:dyDescent="0.2">
      <c r="A277" t="s">
        <v>182</v>
      </c>
      <c r="B277">
        <v>1767073941</v>
      </c>
      <c r="C277" t="s">
        <v>19</v>
      </c>
      <c r="D277" t="s">
        <v>192</v>
      </c>
      <c r="E277" s="3">
        <f t="shared" si="32"/>
        <v>5121.2310791015625</v>
      </c>
      <c r="F277" s="3">
        <f t="shared" si="33"/>
        <v>287.05596923828125</v>
      </c>
      <c r="G277" s="3">
        <f t="shared" si="34"/>
        <v>5408.2870483398438</v>
      </c>
      <c r="H277" s="4">
        <f t="shared" si="39"/>
        <v>15</v>
      </c>
      <c r="I277" s="3">
        <f t="shared" si="35"/>
        <v>47.6837158203125</v>
      </c>
      <c r="J277" s="3">
        <f t="shared" si="36"/>
        <v>0</v>
      </c>
      <c r="K277" s="3">
        <f t="shared" si="37"/>
        <v>47.6837158203125</v>
      </c>
      <c r="L277" s="3">
        <f t="shared" si="38"/>
        <v>47.6837158203125</v>
      </c>
    </row>
    <row r="278" spans="1:12" x14ac:dyDescent="0.2">
      <c r="A278" t="s">
        <v>182</v>
      </c>
      <c r="B278">
        <v>1767073949</v>
      </c>
      <c r="C278" t="s">
        <v>13</v>
      </c>
      <c r="D278" t="s">
        <v>193</v>
      </c>
      <c r="E278" s="3">
        <f t="shared" si="32"/>
        <v>22.69744873046875</v>
      </c>
      <c r="F278" s="3">
        <f t="shared" si="33"/>
        <v>5187.98828125</v>
      </c>
      <c r="G278" s="3">
        <f t="shared" si="34"/>
        <v>5210.6857299804688</v>
      </c>
      <c r="H278" s="4">
        <f t="shared" si="39"/>
        <v>20</v>
      </c>
      <c r="I278" s="3">
        <f t="shared" si="35"/>
        <v>9.5367431640625E-2</v>
      </c>
      <c r="J278" s="3">
        <f t="shared" si="36"/>
        <v>0</v>
      </c>
      <c r="K278" s="3">
        <f t="shared" si="37"/>
        <v>9.5367431640625E-2</v>
      </c>
      <c r="L278" s="3">
        <f t="shared" si="38"/>
        <v>9.5367431640625E-2</v>
      </c>
    </row>
    <row r="279" spans="1:12" x14ac:dyDescent="0.2">
      <c r="A279" t="s">
        <v>182</v>
      </c>
      <c r="B279">
        <v>1767073949</v>
      </c>
      <c r="C279" t="s">
        <v>15</v>
      </c>
      <c r="D279" t="s">
        <v>194</v>
      </c>
      <c r="E279" s="3">
        <f t="shared" si="32"/>
        <v>5474.090576171875</v>
      </c>
      <c r="F279" s="3">
        <f t="shared" si="33"/>
        <v>5178.4515380859375</v>
      </c>
      <c r="G279" s="3">
        <f t="shared" si="34"/>
        <v>10652.542114257812</v>
      </c>
      <c r="H279" s="4">
        <f t="shared" si="39"/>
        <v>20</v>
      </c>
      <c r="I279" s="3">
        <f t="shared" si="35"/>
        <v>0</v>
      </c>
      <c r="J279" s="3">
        <f t="shared" si="36"/>
        <v>38.14697265625</v>
      </c>
      <c r="K279" s="3">
        <f t="shared" si="37"/>
        <v>38.14697265625</v>
      </c>
      <c r="L279" s="3">
        <f t="shared" si="38"/>
        <v>95.367431640625</v>
      </c>
    </row>
    <row r="280" spans="1:12" x14ac:dyDescent="0.2">
      <c r="A280" t="s">
        <v>182</v>
      </c>
      <c r="B280">
        <v>1767073949</v>
      </c>
      <c r="C280" t="s">
        <v>17</v>
      </c>
      <c r="D280" t="s">
        <v>195</v>
      </c>
      <c r="E280" s="3">
        <f t="shared" si="32"/>
        <v>1.7547607421875</v>
      </c>
      <c r="F280" s="3">
        <f t="shared" si="33"/>
        <v>0.86212158203125</v>
      </c>
      <c r="G280" s="3">
        <f t="shared" si="34"/>
        <v>2.61688232421875</v>
      </c>
      <c r="H280" s="4">
        <f t="shared" si="39"/>
        <v>20</v>
      </c>
      <c r="I280" s="3">
        <f t="shared" si="35"/>
        <v>9.5367431640625E-3</v>
      </c>
      <c r="J280" s="3">
        <f t="shared" si="36"/>
        <v>1.9073486328125E-3</v>
      </c>
      <c r="K280" s="3">
        <f t="shared" si="37"/>
        <v>1.1444091796875E-2</v>
      </c>
      <c r="L280" s="3">
        <f t="shared" si="38"/>
        <v>5.054473876953125E-2</v>
      </c>
    </row>
    <row r="281" spans="1:12" x14ac:dyDescent="0.2">
      <c r="A281" t="s">
        <v>182</v>
      </c>
      <c r="B281">
        <v>1767073949</v>
      </c>
      <c r="C281" t="s">
        <v>19</v>
      </c>
      <c r="D281" t="s">
        <v>196</v>
      </c>
      <c r="E281" s="3">
        <f t="shared" si="32"/>
        <v>5159.3780517578125</v>
      </c>
      <c r="F281" s="3">
        <f t="shared" si="33"/>
        <v>287.05596923828125</v>
      </c>
      <c r="G281" s="3">
        <f t="shared" si="34"/>
        <v>5446.4340209960938</v>
      </c>
      <c r="H281" s="4">
        <f t="shared" si="39"/>
        <v>20</v>
      </c>
      <c r="I281" s="3">
        <f t="shared" si="35"/>
        <v>38.14697265625</v>
      </c>
      <c r="J281" s="3">
        <f t="shared" si="36"/>
        <v>0</v>
      </c>
      <c r="K281" s="3">
        <f t="shared" si="37"/>
        <v>38.14697265625</v>
      </c>
      <c r="L281" s="3">
        <f t="shared" si="38"/>
        <v>85.8306884765625</v>
      </c>
    </row>
    <row r="282" spans="1:12" x14ac:dyDescent="0.2">
      <c r="A282" t="s">
        <v>182</v>
      </c>
      <c r="B282">
        <v>1767073956</v>
      </c>
      <c r="C282" t="s">
        <v>13</v>
      </c>
      <c r="D282" t="s">
        <v>193</v>
      </c>
      <c r="E282" s="3">
        <f t="shared" si="32"/>
        <v>22.69744873046875</v>
      </c>
      <c r="F282" s="3">
        <f t="shared" si="33"/>
        <v>5187.98828125</v>
      </c>
      <c r="G282" s="3">
        <f t="shared" si="34"/>
        <v>5210.6857299804688</v>
      </c>
      <c r="H282" s="4">
        <f t="shared" si="39"/>
        <v>25</v>
      </c>
      <c r="I282" s="3">
        <f t="shared" si="35"/>
        <v>0</v>
      </c>
      <c r="J282" s="3">
        <f t="shared" si="36"/>
        <v>0</v>
      </c>
      <c r="K282" s="3">
        <f t="shared" si="37"/>
        <v>0</v>
      </c>
      <c r="L282" s="3">
        <f t="shared" si="38"/>
        <v>9.5367431640625E-2</v>
      </c>
    </row>
    <row r="283" spans="1:12" x14ac:dyDescent="0.2">
      <c r="A283" t="s">
        <v>182</v>
      </c>
      <c r="B283">
        <v>1767073956</v>
      </c>
      <c r="C283" t="s">
        <v>15</v>
      </c>
      <c r="D283" t="s">
        <v>197</v>
      </c>
      <c r="E283" s="3">
        <f t="shared" si="32"/>
        <v>5474.090576171875</v>
      </c>
      <c r="F283" s="3">
        <f t="shared" si="33"/>
        <v>5226.13525390625</v>
      </c>
      <c r="G283" s="3">
        <f t="shared" si="34"/>
        <v>10700.225830078125</v>
      </c>
      <c r="H283" s="4">
        <f t="shared" si="39"/>
        <v>25</v>
      </c>
      <c r="I283" s="3">
        <f t="shared" si="35"/>
        <v>0</v>
      </c>
      <c r="J283" s="3">
        <f t="shared" si="36"/>
        <v>47.6837158203125</v>
      </c>
      <c r="K283" s="3">
        <f t="shared" si="37"/>
        <v>47.6837158203125</v>
      </c>
      <c r="L283" s="3">
        <f t="shared" si="38"/>
        <v>143.0511474609375</v>
      </c>
    </row>
    <row r="284" spans="1:12" x14ac:dyDescent="0.2">
      <c r="A284" t="s">
        <v>182</v>
      </c>
      <c r="B284">
        <v>1767073956</v>
      </c>
      <c r="C284" t="s">
        <v>17</v>
      </c>
      <c r="D284" t="s">
        <v>198</v>
      </c>
      <c r="E284" s="3">
        <f t="shared" si="32"/>
        <v>1.7547607421875</v>
      </c>
      <c r="F284" s="3">
        <f t="shared" si="33"/>
        <v>0.8640289306640625</v>
      </c>
      <c r="G284" s="3">
        <f t="shared" si="34"/>
        <v>2.6187896728515625</v>
      </c>
      <c r="H284" s="4">
        <f t="shared" si="39"/>
        <v>25</v>
      </c>
      <c r="I284" s="3">
        <f t="shared" si="35"/>
        <v>0</v>
      </c>
      <c r="J284" s="3">
        <f t="shared" si="36"/>
        <v>1.9073486328125E-3</v>
      </c>
      <c r="K284" s="3">
        <f t="shared" si="37"/>
        <v>1.9073486328125E-3</v>
      </c>
      <c r="L284" s="3">
        <f t="shared" si="38"/>
        <v>5.245208740234375E-2</v>
      </c>
    </row>
    <row r="285" spans="1:12" x14ac:dyDescent="0.2">
      <c r="A285" t="s">
        <v>182</v>
      </c>
      <c r="B285">
        <v>1767073956</v>
      </c>
      <c r="C285" t="s">
        <v>19</v>
      </c>
      <c r="D285" t="s">
        <v>199</v>
      </c>
      <c r="E285" s="3">
        <f t="shared" si="32"/>
        <v>5207.061767578125</v>
      </c>
      <c r="F285" s="3">
        <f t="shared" si="33"/>
        <v>288.0096435546875</v>
      </c>
      <c r="G285" s="3">
        <f t="shared" si="34"/>
        <v>5495.0714111328125</v>
      </c>
      <c r="H285" s="4">
        <f t="shared" si="39"/>
        <v>25</v>
      </c>
      <c r="I285" s="3">
        <f t="shared" si="35"/>
        <v>47.6837158203125</v>
      </c>
      <c r="J285" s="3">
        <f t="shared" si="36"/>
        <v>0.95367431640625</v>
      </c>
      <c r="K285" s="3">
        <f t="shared" si="37"/>
        <v>48.63739013671875</v>
      </c>
      <c r="L285" s="3">
        <f t="shared" si="38"/>
        <v>134.46807861328125</v>
      </c>
    </row>
    <row r="286" spans="1:12" x14ac:dyDescent="0.2">
      <c r="A286" t="s">
        <v>182</v>
      </c>
      <c r="B286">
        <v>1767073963</v>
      </c>
      <c r="C286" t="s">
        <v>13</v>
      </c>
      <c r="D286" t="s">
        <v>193</v>
      </c>
      <c r="E286" s="3">
        <f t="shared" si="32"/>
        <v>22.69744873046875</v>
      </c>
      <c r="F286" s="3">
        <f t="shared" si="33"/>
        <v>5187.98828125</v>
      </c>
      <c r="G286" s="3">
        <f t="shared" si="34"/>
        <v>5210.6857299804688</v>
      </c>
      <c r="H286" s="4">
        <f t="shared" si="39"/>
        <v>30</v>
      </c>
      <c r="I286" s="3">
        <f t="shared" si="35"/>
        <v>0</v>
      </c>
      <c r="J286" s="3">
        <f t="shared" si="36"/>
        <v>0</v>
      </c>
      <c r="K286" s="3">
        <f t="shared" si="37"/>
        <v>0</v>
      </c>
      <c r="L286" s="3">
        <f t="shared" si="38"/>
        <v>9.5367431640625E-2</v>
      </c>
    </row>
    <row r="287" spans="1:12" x14ac:dyDescent="0.2">
      <c r="A287" t="s">
        <v>182</v>
      </c>
      <c r="B287">
        <v>1767073963</v>
      </c>
      <c r="C287" t="s">
        <v>15</v>
      </c>
      <c r="D287" t="s">
        <v>197</v>
      </c>
      <c r="E287" s="3">
        <f t="shared" si="32"/>
        <v>5474.090576171875</v>
      </c>
      <c r="F287" s="3">
        <f t="shared" si="33"/>
        <v>5226.13525390625</v>
      </c>
      <c r="G287" s="3">
        <f t="shared" si="34"/>
        <v>10700.225830078125</v>
      </c>
      <c r="H287" s="4">
        <f t="shared" si="39"/>
        <v>30</v>
      </c>
      <c r="I287" s="3">
        <f t="shared" si="35"/>
        <v>0</v>
      </c>
      <c r="J287" s="3">
        <f t="shared" si="36"/>
        <v>0</v>
      </c>
      <c r="K287" s="3">
        <f t="shared" si="37"/>
        <v>0</v>
      </c>
      <c r="L287" s="3">
        <f t="shared" si="38"/>
        <v>143.0511474609375</v>
      </c>
    </row>
    <row r="288" spans="1:12" x14ac:dyDescent="0.2">
      <c r="A288" t="s">
        <v>182</v>
      </c>
      <c r="B288">
        <v>1767073963</v>
      </c>
      <c r="C288" t="s">
        <v>17</v>
      </c>
      <c r="D288" t="s">
        <v>200</v>
      </c>
      <c r="E288" s="3">
        <f t="shared" si="32"/>
        <v>1.7642974853515625</v>
      </c>
      <c r="F288" s="3">
        <f t="shared" si="33"/>
        <v>0.86688995361328125</v>
      </c>
      <c r="G288" s="3">
        <f t="shared" si="34"/>
        <v>2.6311874389648438</v>
      </c>
      <c r="H288" s="4">
        <f t="shared" si="39"/>
        <v>30</v>
      </c>
      <c r="I288" s="3">
        <f t="shared" si="35"/>
        <v>9.5367431640625E-3</v>
      </c>
      <c r="J288" s="3">
        <f t="shared" si="36"/>
        <v>2.86102294921875E-3</v>
      </c>
      <c r="K288" s="3">
        <f t="shared" si="37"/>
        <v>1.239776611328125E-2</v>
      </c>
      <c r="L288" s="3">
        <f t="shared" si="38"/>
        <v>6.4849853515625E-2</v>
      </c>
    </row>
    <row r="289" spans="1:12" x14ac:dyDescent="0.2">
      <c r="A289" t="s">
        <v>182</v>
      </c>
      <c r="B289">
        <v>1767073963</v>
      </c>
      <c r="C289" t="s">
        <v>19</v>
      </c>
      <c r="D289" t="s">
        <v>199</v>
      </c>
      <c r="E289" s="3">
        <f t="shared" si="32"/>
        <v>5207.061767578125</v>
      </c>
      <c r="F289" s="3">
        <f t="shared" si="33"/>
        <v>288.0096435546875</v>
      </c>
      <c r="G289" s="3">
        <f t="shared" si="34"/>
        <v>5495.0714111328125</v>
      </c>
      <c r="H289" s="4">
        <f t="shared" si="39"/>
        <v>30</v>
      </c>
      <c r="I289" s="3">
        <f t="shared" si="35"/>
        <v>0</v>
      </c>
      <c r="J289" s="3">
        <f t="shared" si="36"/>
        <v>0</v>
      </c>
      <c r="K289" s="3">
        <f t="shared" si="37"/>
        <v>0</v>
      </c>
      <c r="L289" s="3">
        <f t="shared" si="38"/>
        <v>134.46807861328125</v>
      </c>
    </row>
    <row r="290" spans="1:12" x14ac:dyDescent="0.2">
      <c r="A290" t="s">
        <v>182</v>
      </c>
      <c r="B290">
        <v>1767073971</v>
      </c>
      <c r="C290" t="s">
        <v>13</v>
      </c>
      <c r="D290" t="s">
        <v>193</v>
      </c>
      <c r="E290" s="3">
        <f t="shared" si="32"/>
        <v>22.69744873046875</v>
      </c>
      <c r="F290" s="3">
        <f t="shared" si="33"/>
        <v>5187.98828125</v>
      </c>
      <c r="G290" s="3">
        <f t="shared" si="34"/>
        <v>5210.6857299804688</v>
      </c>
      <c r="H290" s="4">
        <f t="shared" si="39"/>
        <v>35</v>
      </c>
      <c r="I290" s="3">
        <f t="shared" si="35"/>
        <v>0</v>
      </c>
      <c r="J290" s="3">
        <f t="shared" si="36"/>
        <v>0</v>
      </c>
      <c r="K290" s="3">
        <f t="shared" si="37"/>
        <v>0</v>
      </c>
      <c r="L290" s="3">
        <f t="shared" si="38"/>
        <v>9.5367431640625E-2</v>
      </c>
    </row>
    <row r="291" spans="1:12" x14ac:dyDescent="0.2">
      <c r="A291" t="s">
        <v>182</v>
      </c>
      <c r="B291">
        <v>1767073971</v>
      </c>
      <c r="C291" t="s">
        <v>15</v>
      </c>
      <c r="D291" t="s">
        <v>201</v>
      </c>
      <c r="E291" s="3">
        <f t="shared" si="32"/>
        <v>5474.090576171875</v>
      </c>
      <c r="F291" s="3">
        <f t="shared" si="33"/>
        <v>5273.8189697265625</v>
      </c>
      <c r="G291" s="3">
        <f t="shared" si="34"/>
        <v>10747.909545898438</v>
      </c>
      <c r="H291" s="4">
        <f t="shared" si="39"/>
        <v>35</v>
      </c>
      <c r="I291" s="3">
        <f t="shared" si="35"/>
        <v>0</v>
      </c>
      <c r="J291" s="3">
        <f t="shared" si="36"/>
        <v>47.6837158203125</v>
      </c>
      <c r="K291" s="3">
        <f t="shared" si="37"/>
        <v>47.6837158203125</v>
      </c>
      <c r="L291" s="3">
        <f t="shared" si="38"/>
        <v>190.73486328125</v>
      </c>
    </row>
    <row r="292" spans="1:12" x14ac:dyDescent="0.2">
      <c r="A292" t="s">
        <v>182</v>
      </c>
      <c r="B292">
        <v>1767073971</v>
      </c>
      <c r="C292" t="s">
        <v>17</v>
      </c>
      <c r="D292" t="s">
        <v>202</v>
      </c>
      <c r="E292" s="3">
        <f t="shared" si="32"/>
        <v>1.773834228515625</v>
      </c>
      <c r="F292" s="3">
        <f t="shared" si="33"/>
        <v>0.8678436279296875</v>
      </c>
      <c r="G292" s="3">
        <f t="shared" si="34"/>
        <v>2.6416778564453125</v>
      </c>
      <c r="H292" s="4">
        <f t="shared" si="39"/>
        <v>35</v>
      </c>
      <c r="I292" s="3">
        <f t="shared" si="35"/>
        <v>9.5367431640625E-3</v>
      </c>
      <c r="J292" s="3">
        <f t="shared" si="36"/>
        <v>9.5367431640625E-4</v>
      </c>
      <c r="K292" s="3">
        <f t="shared" si="37"/>
        <v>1.049041748046875E-2</v>
      </c>
      <c r="L292" s="3">
        <f t="shared" si="38"/>
        <v>7.534027099609375E-2</v>
      </c>
    </row>
    <row r="293" spans="1:12" x14ac:dyDescent="0.2">
      <c r="A293" t="s">
        <v>182</v>
      </c>
      <c r="B293">
        <v>1767073971</v>
      </c>
      <c r="C293" t="s">
        <v>19</v>
      </c>
      <c r="D293" t="s">
        <v>203</v>
      </c>
      <c r="E293" s="3">
        <f t="shared" si="32"/>
        <v>5254.7454833984375</v>
      </c>
      <c r="F293" s="3">
        <f t="shared" si="33"/>
        <v>288.0096435546875</v>
      </c>
      <c r="G293" s="3">
        <f t="shared" si="34"/>
        <v>5542.755126953125</v>
      </c>
      <c r="H293" s="4">
        <f t="shared" si="39"/>
        <v>35</v>
      </c>
      <c r="I293" s="3">
        <f t="shared" si="35"/>
        <v>47.6837158203125</v>
      </c>
      <c r="J293" s="3">
        <f t="shared" si="36"/>
        <v>0</v>
      </c>
      <c r="K293" s="3">
        <f t="shared" si="37"/>
        <v>47.6837158203125</v>
      </c>
      <c r="L293" s="3">
        <f t="shared" si="38"/>
        <v>182.15179443359375</v>
      </c>
    </row>
    <row r="294" spans="1:12" x14ac:dyDescent="0.2">
      <c r="A294" t="s">
        <v>182</v>
      </c>
      <c r="B294">
        <v>1767073978</v>
      </c>
      <c r="C294" t="s">
        <v>13</v>
      </c>
      <c r="D294" t="s">
        <v>193</v>
      </c>
      <c r="E294" s="3">
        <f t="shared" si="32"/>
        <v>22.69744873046875</v>
      </c>
      <c r="F294" s="3">
        <f t="shared" si="33"/>
        <v>5187.98828125</v>
      </c>
      <c r="G294" s="3">
        <f t="shared" si="34"/>
        <v>5210.6857299804688</v>
      </c>
      <c r="H294" s="4">
        <f t="shared" si="39"/>
        <v>40</v>
      </c>
      <c r="I294" s="3">
        <f t="shared" si="35"/>
        <v>0</v>
      </c>
      <c r="J294" s="3">
        <f t="shared" si="36"/>
        <v>0</v>
      </c>
      <c r="K294" s="3">
        <f t="shared" si="37"/>
        <v>0</v>
      </c>
      <c r="L294" s="3">
        <f t="shared" si="38"/>
        <v>9.5367431640625E-2</v>
      </c>
    </row>
    <row r="295" spans="1:12" x14ac:dyDescent="0.2">
      <c r="A295" t="s">
        <v>182</v>
      </c>
      <c r="B295">
        <v>1767073978</v>
      </c>
      <c r="C295" t="s">
        <v>15</v>
      </c>
      <c r="D295" t="s">
        <v>204</v>
      </c>
      <c r="E295" s="3">
        <f t="shared" si="32"/>
        <v>5474.090576171875</v>
      </c>
      <c r="F295" s="3">
        <f t="shared" si="33"/>
        <v>5311.9659423828125</v>
      </c>
      <c r="G295" s="3">
        <f t="shared" si="34"/>
        <v>10786.056518554688</v>
      </c>
      <c r="H295" s="4">
        <f t="shared" si="39"/>
        <v>40</v>
      </c>
      <c r="I295" s="3">
        <f t="shared" si="35"/>
        <v>0</v>
      </c>
      <c r="J295" s="3">
        <f t="shared" si="36"/>
        <v>38.14697265625</v>
      </c>
      <c r="K295" s="3">
        <f t="shared" si="37"/>
        <v>38.14697265625</v>
      </c>
      <c r="L295" s="3">
        <f t="shared" si="38"/>
        <v>228.8818359375</v>
      </c>
    </row>
    <row r="296" spans="1:12" x14ac:dyDescent="0.2">
      <c r="A296" t="s">
        <v>182</v>
      </c>
      <c r="B296">
        <v>1767073978</v>
      </c>
      <c r="C296" t="s">
        <v>17</v>
      </c>
      <c r="D296" t="s">
        <v>205</v>
      </c>
      <c r="E296" s="3">
        <f t="shared" si="32"/>
        <v>1.7833709716796875</v>
      </c>
      <c r="F296" s="3">
        <f t="shared" si="33"/>
        <v>0.8697509765625</v>
      </c>
      <c r="G296" s="3">
        <f t="shared" si="34"/>
        <v>2.6531219482421875</v>
      </c>
      <c r="H296" s="4">
        <f t="shared" si="39"/>
        <v>40</v>
      </c>
      <c r="I296" s="3">
        <f t="shared" si="35"/>
        <v>9.5367431640625E-3</v>
      </c>
      <c r="J296" s="3">
        <f t="shared" si="36"/>
        <v>1.9073486328125E-3</v>
      </c>
      <c r="K296" s="3">
        <f t="shared" si="37"/>
        <v>1.1444091796875E-2</v>
      </c>
      <c r="L296" s="3">
        <f t="shared" si="38"/>
        <v>8.678436279296875E-2</v>
      </c>
    </row>
    <row r="297" spans="1:12" x14ac:dyDescent="0.2">
      <c r="A297" t="s">
        <v>182</v>
      </c>
      <c r="B297">
        <v>1767073978</v>
      </c>
      <c r="C297" t="s">
        <v>19</v>
      </c>
      <c r="D297" t="s">
        <v>206</v>
      </c>
      <c r="E297" s="3">
        <f t="shared" si="32"/>
        <v>5302.42919921875</v>
      </c>
      <c r="F297" s="3">
        <f t="shared" si="33"/>
        <v>288.0096435546875</v>
      </c>
      <c r="G297" s="3">
        <f t="shared" si="34"/>
        <v>5590.4388427734375</v>
      </c>
      <c r="H297" s="4">
        <f t="shared" si="39"/>
        <v>40</v>
      </c>
      <c r="I297" s="3">
        <f t="shared" si="35"/>
        <v>47.6837158203125</v>
      </c>
      <c r="J297" s="3">
        <f t="shared" si="36"/>
        <v>0</v>
      </c>
      <c r="K297" s="3">
        <f t="shared" si="37"/>
        <v>47.6837158203125</v>
      </c>
      <c r="L297" s="3">
        <f t="shared" si="38"/>
        <v>229.83551025390625</v>
      </c>
    </row>
    <row r="298" spans="1:12" x14ac:dyDescent="0.2">
      <c r="A298" t="s">
        <v>182</v>
      </c>
      <c r="B298">
        <v>1767073986</v>
      </c>
      <c r="C298" t="s">
        <v>13</v>
      </c>
      <c r="D298" t="s">
        <v>193</v>
      </c>
      <c r="E298" s="3">
        <f t="shared" si="32"/>
        <v>22.69744873046875</v>
      </c>
      <c r="F298" s="3">
        <f t="shared" si="33"/>
        <v>5187.98828125</v>
      </c>
      <c r="G298" s="3">
        <f t="shared" si="34"/>
        <v>5210.6857299804688</v>
      </c>
      <c r="H298" s="4">
        <f t="shared" si="39"/>
        <v>45</v>
      </c>
      <c r="I298" s="3">
        <f t="shared" si="35"/>
        <v>0</v>
      </c>
      <c r="J298" s="3">
        <f t="shared" si="36"/>
        <v>0</v>
      </c>
      <c r="K298" s="3">
        <f t="shared" si="37"/>
        <v>0</v>
      </c>
      <c r="L298" s="3">
        <f t="shared" si="38"/>
        <v>9.5367431640625E-2</v>
      </c>
    </row>
    <row r="299" spans="1:12" x14ac:dyDescent="0.2">
      <c r="A299" t="s">
        <v>182</v>
      </c>
      <c r="B299">
        <v>1767073986</v>
      </c>
      <c r="C299" t="s">
        <v>15</v>
      </c>
      <c r="D299" t="s">
        <v>207</v>
      </c>
      <c r="E299" s="3">
        <f t="shared" si="32"/>
        <v>5474.090576171875</v>
      </c>
      <c r="F299" s="3">
        <f t="shared" si="33"/>
        <v>5350.1129150390625</v>
      </c>
      <c r="G299" s="3">
        <f t="shared" si="34"/>
        <v>10824.203491210938</v>
      </c>
      <c r="H299" s="4">
        <f t="shared" si="39"/>
        <v>45</v>
      </c>
      <c r="I299" s="3">
        <f t="shared" si="35"/>
        <v>0</v>
      </c>
      <c r="J299" s="3">
        <f t="shared" si="36"/>
        <v>38.14697265625</v>
      </c>
      <c r="K299" s="3">
        <f t="shared" si="37"/>
        <v>38.14697265625</v>
      </c>
      <c r="L299" s="3">
        <f t="shared" si="38"/>
        <v>267.02880859375</v>
      </c>
    </row>
    <row r="300" spans="1:12" x14ac:dyDescent="0.2">
      <c r="A300" t="s">
        <v>182</v>
      </c>
      <c r="B300">
        <v>1767073986</v>
      </c>
      <c r="C300" t="s">
        <v>17</v>
      </c>
      <c r="D300" t="s">
        <v>208</v>
      </c>
      <c r="E300" s="3">
        <f t="shared" si="32"/>
        <v>1.7833709716796875</v>
      </c>
      <c r="F300" s="3">
        <f t="shared" si="33"/>
        <v>0.8716583251953125</v>
      </c>
      <c r="G300" s="3">
        <f t="shared" si="34"/>
        <v>2.655029296875</v>
      </c>
      <c r="H300" s="4">
        <f t="shared" si="39"/>
        <v>45</v>
      </c>
      <c r="I300" s="3">
        <f t="shared" si="35"/>
        <v>0</v>
      </c>
      <c r="J300" s="3">
        <f t="shared" si="36"/>
        <v>1.9073486328125E-3</v>
      </c>
      <c r="K300" s="3">
        <f t="shared" si="37"/>
        <v>1.9073486328125E-3</v>
      </c>
      <c r="L300" s="3">
        <f t="shared" si="38"/>
        <v>8.869171142578125E-2</v>
      </c>
    </row>
    <row r="301" spans="1:12" x14ac:dyDescent="0.2">
      <c r="A301" t="s">
        <v>182</v>
      </c>
      <c r="B301">
        <v>1767073986</v>
      </c>
      <c r="C301" t="s">
        <v>19</v>
      </c>
      <c r="D301" t="s">
        <v>209</v>
      </c>
      <c r="E301" s="3">
        <f t="shared" si="32"/>
        <v>5331.0394287109375</v>
      </c>
      <c r="F301" s="3">
        <f t="shared" si="33"/>
        <v>288.96331787109375</v>
      </c>
      <c r="G301" s="3">
        <f t="shared" si="34"/>
        <v>5620.0027465820312</v>
      </c>
      <c r="H301" s="4">
        <f t="shared" si="39"/>
        <v>45</v>
      </c>
      <c r="I301" s="3">
        <f t="shared" si="35"/>
        <v>28.6102294921875</v>
      </c>
      <c r="J301" s="3">
        <f t="shared" si="36"/>
        <v>0.95367431640625</v>
      </c>
      <c r="K301" s="3">
        <f t="shared" si="37"/>
        <v>29.56390380859375</v>
      </c>
      <c r="L301" s="3">
        <f t="shared" si="38"/>
        <v>259.3994140625</v>
      </c>
    </row>
    <row r="302" spans="1:12" x14ac:dyDescent="0.2">
      <c r="A302" t="s">
        <v>182</v>
      </c>
      <c r="B302">
        <v>1767073993</v>
      </c>
      <c r="C302" t="s">
        <v>13</v>
      </c>
      <c r="D302" t="s">
        <v>193</v>
      </c>
      <c r="E302" s="3">
        <f t="shared" si="32"/>
        <v>22.69744873046875</v>
      </c>
      <c r="F302" s="3">
        <f t="shared" si="33"/>
        <v>5187.98828125</v>
      </c>
      <c r="G302" s="3">
        <f t="shared" si="34"/>
        <v>5210.6857299804688</v>
      </c>
      <c r="H302" s="4">
        <f t="shared" si="39"/>
        <v>50</v>
      </c>
      <c r="I302" s="3">
        <f t="shared" si="35"/>
        <v>0</v>
      </c>
      <c r="J302" s="3">
        <f t="shared" si="36"/>
        <v>0</v>
      </c>
      <c r="K302" s="3">
        <f t="shared" si="37"/>
        <v>0</v>
      </c>
      <c r="L302" s="3">
        <f t="shared" si="38"/>
        <v>9.5367431640625E-2</v>
      </c>
    </row>
    <row r="303" spans="1:12" x14ac:dyDescent="0.2">
      <c r="A303" t="s">
        <v>182</v>
      </c>
      <c r="B303">
        <v>1767073993</v>
      </c>
      <c r="C303" t="s">
        <v>15</v>
      </c>
      <c r="D303" t="s">
        <v>207</v>
      </c>
      <c r="E303" s="3">
        <f t="shared" si="32"/>
        <v>5474.090576171875</v>
      </c>
      <c r="F303" s="3">
        <f t="shared" si="33"/>
        <v>5350.1129150390625</v>
      </c>
      <c r="G303" s="3">
        <f t="shared" si="34"/>
        <v>10824.203491210938</v>
      </c>
      <c r="H303" s="4">
        <f t="shared" si="39"/>
        <v>50</v>
      </c>
      <c r="I303" s="3">
        <f t="shared" si="35"/>
        <v>0</v>
      </c>
      <c r="J303" s="3">
        <f t="shared" si="36"/>
        <v>0</v>
      </c>
      <c r="K303" s="3">
        <f t="shared" si="37"/>
        <v>0</v>
      </c>
      <c r="L303" s="3">
        <f t="shared" si="38"/>
        <v>267.02880859375</v>
      </c>
    </row>
    <row r="304" spans="1:12" x14ac:dyDescent="0.2">
      <c r="A304" t="s">
        <v>182</v>
      </c>
      <c r="B304">
        <v>1767073993</v>
      </c>
      <c r="C304" t="s">
        <v>17</v>
      </c>
      <c r="D304" t="s">
        <v>210</v>
      </c>
      <c r="E304" s="3">
        <f t="shared" si="32"/>
        <v>1.79290771484375</v>
      </c>
      <c r="F304" s="3">
        <f t="shared" si="33"/>
        <v>0.87451934814453125</v>
      </c>
      <c r="G304" s="3">
        <f t="shared" si="34"/>
        <v>2.6674270629882812</v>
      </c>
      <c r="H304" s="4">
        <f t="shared" si="39"/>
        <v>50</v>
      </c>
      <c r="I304" s="3">
        <f t="shared" si="35"/>
        <v>9.5367431640625E-3</v>
      </c>
      <c r="J304" s="3">
        <f t="shared" si="36"/>
        <v>2.86102294921875E-3</v>
      </c>
      <c r="K304" s="3">
        <f t="shared" si="37"/>
        <v>1.239776611328125E-2</v>
      </c>
      <c r="L304" s="3">
        <f t="shared" si="38"/>
        <v>0.1010894775390625</v>
      </c>
    </row>
    <row r="305" spans="1:12" x14ac:dyDescent="0.2">
      <c r="A305" t="s">
        <v>182</v>
      </c>
      <c r="B305">
        <v>1767073993</v>
      </c>
      <c r="C305" t="s">
        <v>19</v>
      </c>
      <c r="D305" t="s">
        <v>209</v>
      </c>
      <c r="E305" s="3">
        <f t="shared" si="32"/>
        <v>5331.0394287109375</v>
      </c>
      <c r="F305" s="3">
        <f t="shared" si="33"/>
        <v>288.96331787109375</v>
      </c>
      <c r="G305" s="3">
        <f t="shared" si="34"/>
        <v>5620.0027465820312</v>
      </c>
      <c r="H305" s="4">
        <f t="shared" si="39"/>
        <v>50</v>
      </c>
      <c r="I305" s="3">
        <f t="shared" si="35"/>
        <v>0</v>
      </c>
      <c r="J305" s="3">
        <f t="shared" si="36"/>
        <v>0</v>
      </c>
      <c r="K305" s="3">
        <f t="shared" si="37"/>
        <v>0</v>
      </c>
      <c r="L305" s="3">
        <f t="shared" si="38"/>
        <v>259.3994140625</v>
      </c>
    </row>
    <row r="306" spans="1:12" x14ac:dyDescent="0.2">
      <c r="A306" t="s">
        <v>182</v>
      </c>
      <c r="B306">
        <v>1767074001</v>
      </c>
      <c r="C306" t="s">
        <v>13</v>
      </c>
      <c r="D306" t="s">
        <v>193</v>
      </c>
      <c r="E306" s="3">
        <f t="shared" si="32"/>
        <v>22.69744873046875</v>
      </c>
      <c r="F306" s="3">
        <f t="shared" si="33"/>
        <v>5187.98828125</v>
      </c>
      <c r="G306" s="3">
        <f t="shared" si="34"/>
        <v>5210.6857299804688</v>
      </c>
      <c r="H306" s="4">
        <f t="shared" si="39"/>
        <v>55</v>
      </c>
      <c r="I306" s="3">
        <f t="shared" si="35"/>
        <v>0</v>
      </c>
      <c r="J306" s="3">
        <f t="shared" si="36"/>
        <v>0</v>
      </c>
      <c r="K306" s="3">
        <f t="shared" si="37"/>
        <v>0</v>
      </c>
      <c r="L306" s="3">
        <f t="shared" si="38"/>
        <v>9.5367431640625E-2</v>
      </c>
    </row>
    <row r="307" spans="1:12" x14ac:dyDescent="0.2">
      <c r="A307" t="s">
        <v>182</v>
      </c>
      <c r="B307">
        <v>1767074001</v>
      </c>
      <c r="C307" t="s">
        <v>15</v>
      </c>
      <c r="D307" t="s">
        <v>211</v>
      </c>
      <c r="E307" s="3">
        <f t="shared" si="32"/>
        <v>5474.090576171875</v>
      </c>
      <c r="F307" s="3">
        <f t="shared" si="33"/>
        <v>5407.3333740234375</v>
      </c>
      <c r="G307" s="3">
        <f t="shared" si="34"/>
        <v>10881.423950195312</v>
      </c>
      <c r="H307" s="4">
        <f t="shared" si="39"/>
        <v>55</v>
      </c>
      <c r="I307" s="3">
        <f t="shared" si="35"/>
        <v>0</v>
      </c>
      <c r="J307" s="3">
        <f t="shared" si="36"/>
        <v>57.220458984375</v>
      </c>
      <c r="K307" s="3">
        <f t="shared" si="37"/>
        <v>57.220458984375</v>
      </c>
      <c r="L307" s="3">
        <f t="shared" si="38"/>
        <v>324.249267578125</v>
      </c>
    </row>
    <row r="308" spans="1:12" x14ac:dyDescent="0.2">
      <c r="A308" t="s">
        <v>182</v>
      </c>
      <c r="B308">
        <v>1767074001</v>
      </c>
      <c r="C308" t="s">
        <v>17</v>
      </c>
      <c r="D308" t="s">
        <v>212</v>
      </c>
      <c r="E308" s="3">
        <f t="shared" si="32"/>
        <v>1.8024444580078125</v>
      </c>
      <c r="F308" s="3">
        <f t="shared" si="33"/>
        <v>0.8754730224609375</v>
      </c>
      <c r="G308" s="3">
        <f t="shared" si="34"/>
        <v>2.67791748046875</v>
      </c>
      <c r="H308" s="4">
        <f t="shared" si="39"/>
        <v>55</v>
      </c>
      <c r="I308" s="3">
        <f t="shared" si="35"/>
        <v>9.5367431640625E-3</v>
      </c>
      <c r="J308" s="3">
        <f t="shared" si="36"/>
        <v>9.5367431640625E-4</v>
      </c>
      <c r="K308" s="3">
        <f t="shared" si="37"/>
        <v>1.049041748046875E-2</v>
      </c>
      <c r="L308" s="3">
        <f t="shared" si="38"/>
        <v>0.11157989501953125</v>
      </c>
    </row>
    <row r="309" spans="1:12" x14ac:dyDescent="0.2">
      <c r="A309" t="s">
        <v>182</v>
      </c>
      <c r="B309">
        <v>1767074001</v>
      </c>
      <c r="C309" t="s">
        <v>19</v>
      </c>
      <c r="D309" t="s">
        <v>213</v>
      </c>
      <c r="E309" s="3">
        <f t="shared" si="32"/>
        <v>5388.2598876953125</v>
      </c>
      <c r="F309" s="3">
        <f t="shared" si="33"/>
        <v>288.96331787109375</v>
      </c>
      <c r="G309" s="3">
        <f t="shared" si="34"/>
        <v>5677.2232055664062</v>
      </c>
      <c r="H309" s="4">
        <f t="shared" si="39"/>
        <v>55</v>
      </c>
      <c r="I309" s="3">
        <f t="shared" si="35"/>
        <v>57.220458984375</v>
      </c>
      <c r="J309" s="3">
        <f t="shared" si="36"/>
        <v>0</v>
      </c>
      <c r="K309" s="3">
        <f t="shared" si="37"/>
        <v>57.220458984375</v>
      </c>
      <c r="L309" s="3">
        <f t="shared" si="38"/>
        <v>316.619873046875</v>
      </c>
    </row>
    <row r="310" spans="1:12" x14ac:dyDescent="0.2">
      <c r="A310" t="s">
        <v>182</v>
      </c>
      <c r="B310">
        <v>1767074008</v>
      </c>
      <c r="C310" t="s">
        <v>13</v>
      </c>
      <c r="D310" t="s">
        <v>193</v>
      </c>
      <c r="E310" s="3">
        <f t="shared" si="32"/>
        <v>22.69744873046875</v>
      </c>
      <c r="F310" s="3">
        <f t="shared" si="33"/>
        <v>5187.98828125</v>
      </c>
      <c r="G310" s="3">
        <f t="shared" si="34"/>
        <v>5210.6857299804688</v>
      </c>
      <c r="H310" s="4">
        <f t="shared" si="39"/>
        <v>60</v>
      </c>
      <c r="I310" s="3">
        <f t="shared" si="35"/>
        <v>0</v>
      </c>
      <c r="J310" s="3">
        <f t="shared" si="36"/>
        <v>0</v>
      </c>
      <c r="K310" s="3">
        <f t="shared" si="37"/>
        <v>0</v>
      </c>
      <c r="L310" s="3">
        <f t="shared" si="38"/>
        <v>9.5367431640625E-2</v>
      </c>
    </row>
    <row r="311" spans="1:12" x14ac:dyDescent="0.2">
      <c r="A311" t="s">
        <v>182</v>
      </c>
      <c r="B311">
        <v>1767074008</v>
      </c>
      <c r="C311" t="s">
        <v>15</v>
      </c>
      <c r="D311" t="s">
        <v>214</v>
      </c>
      <c r="E311" s="3">
        <f t="shared" si="32"/>
        <v>5474.090576171875</v>
      </c>
      <c r="F311" s="3">
        <f t="shared" si="33"/>
        <v>5455.01708984375</v>
      </c>
      <c r="G311" s="3">
        <f t="shared" si="34"/>
        <v>10929.107666015625</v>
      </c>
      <c r="H311" s="4">
        <f t="shared" si="39"/>
        <v>60</v>
      </c>
      <c r="I311" s="3">
        <f t="shared" si="35"/>
        <v>0</v>
      </c>
      <c r="J311" s="3">
        <f t="shared" si="36"/>
        <v>47.6837158203125</v>
      </c>
      <c r="K311" s="3">
        <f t="shared" si="37"/>
        <v>47.6837158203125</v>
      </c>
      <c r="L311" s="3">
        <f t="shared" si="38"/>
        <v>371.9329833984375</v>
      </c>
    </row>
    <row r="312" spans="1:12" x14ac:dyDescent="0.2">
      <c r="A312" t="s">
        <v>182</v>
      </c>
      <c r="B312">
        <v>1767074008</v>
      </c>
      <c r="C312" t="s">
        <v>17</v>
      </c>
      <c r="D312" t="s">
        <v>215</v>
      </c>
      <c r="E312" s="3">
        <f t="shared" si="32"/>
        <v>1.8024444580078125</v>
      </c>
      <c r="F312" s="3">
        <f t="shared" si="33"/>
        <v>0.87833404541015625</v>
      </c>
      <c r="G312" s="3">
        <f t="shared" si="34"/>
        <v>2.6807785034179688</v>
      </c>
      <c r="H312" s="4">
        <f t="shared" si="39"/>
        <v>60</v>
      </c>
      <c r="I312" s="3">
        <f t="shared" si="35"/>
        <v>0</v>
      </c>
      <c r="J312" s="3">
        <f t="shared" si="36"/>
        <v>2.86102294921875E-3</v>
      </c>
      <c r="K312" s="3">
        <f t="shared" si="37"/>
        <v>2.86102294921875E-3</v>
      </c>
      <c r="L312" s="3">
        <f t="shared" si="38"/>
        <v>0.11444091796875</v>
      </c>
    </row>
    <row r="313" spans="1:12" x14ac:dyDescent="0.2">
      <c r="A313" t="s">
        <v>182</v>
      </c>
      <c r="B313">
        <v>1767074008</v>
      </c>
      <c r="C313" t="s">
        <v>19</v>
      </c>
      <c r="D313" t="s">
        <v>216</v>
      </c>
      <c r="E313" s="3">
        <f t="shared" si="32"/>
        <v>5435.943603515625</v>
      </c>
      <c r="F313" s="3">
        <f t="shared" si="33"/>
        <v>288.96331787109375</v>
      </c>
      <c r="G313" s="3">
        <f t="shared" si="34"/>
        <v>5724.9069213867188</v>
      </c>
      <c r="H313" s="4">
        <f t="shared" si="39"/>
        <v>60</v>
      </c>
      <c r="I313" s="3">
        <f t="shared" si="35"/>
        <v>47.6837158203125</v>
      </c>
      <c r="J313" s="3">
        <f t="shared" si="36"/>
        <v>0</v>
      </c>
      <c r="K313" s="3">
        <f t="shared" si="37"/>
        <v>47.6837158203125</v>
      </c>
      <c r="L313" s="3">
        <f t="shared" si="38"/>
        <v>364.3035888671875</v>
      </c>
    </row>
    <row r="314" spans="1:12" x14ac:dyDescent="0.2">
      <c r="A314" t="s">
        <v>182</v>
      </c>
      <c r="B314">
        <v>1767074016</v>
      </c>
      <c r="C314" t="s">
        <v>13</v>
      </c>
      <c r="D314" t="s">
        <v>193</v>
      </c>
      <c r="E314" s="3">
        <f t="shared" si="32"/>
        <v>22.69744873046875</v>
      </c>
      <c r="F314" s="3">
        <f t="shared" si="33"/>
        <v>5187.98828125</v>
      </c>
      <c r="G314" s="3">
        <f t="shared" si="34"/>
        <v>5210.6857299804688</v>
      </c>
      <c r="H314" s="4">
        <f t="shared" si="39"/>
        <v>65</v>
      </c>
      <c r="I314" s="3">
        <f t="shared" si="35"/>
        <v>0</v>
      </c>
      <c r="J314" s="3">
        <f t="shared" si="36"/>
        <v>0</v>
      </c>
      <c r="K314" s="3">
        <f t="shared" si="37"/>
        <v>0</v>
      </c>
      <c r="L314" s="3">
        <f t="shared" si="38"/>
        <v>9.5367431640625E-2</v>
      </c>
    </row>
    <row r="315" spans="1:12" x14ac:dyDescent="0.2">
      <c r="A315" t="s">
        <v>182</v>
      </c>
      <c r="B315">
        <v>1767074016</v>
      </c>
      <c r="C315" t="s">
        <v>15</v>
      </c>
      <c r="D315" t="s">
        <v>217</v>
      </c>
      <c r="E315" s="3">
        <f t="shared" si="32"/>
        <v>5474.090576171875</v>
      </c>
      <c r="F315" s="3">
        <f t="shared" si="33"/>
        <v>5483.6273193359375</v>
      </c>
      <c r="G315" s="3">
        <f t="shared" si="34"/>
        <v>10957.717895507812</v>
      </c>
      <c r="H315" s="4">
        <f t="shared" si="39"/>
        <v>65</v>
      </c>
      <c r="I315" s="3">
        <f t="shared" si="35"/>
        <v>0</v>
      </c>
      <c r="J315" s="3">
        <f t="shared" si="36"/>
        <v>28.6102294921875</v>
      </c>
      <c r="K315" s="3">
        <f t="shared" si="37"/>
        <v>28.6102294921875</v>
      </c>
      <c r="L315" s="3">
        <f t="shared" si="38"/>
        <v>400.543212890625</v>
      </c>
    </row>
    <row r="316" spans="1:12" x14ac:dyDescent="0.2">
      <c r="A316" t="s">
        <v>182</v>
      </c>
      <c r="B316">
        <v>1767074016</v>
      </c>
      <c r="C316" t="s">
        <v>17</v>
      </c>
      <c r="D316" t="s">
        <v>218</v>
      </c>
      <c r="E316" s="3">
        <f t="shared" si="32"/>
        <v>1.811981201171875</v>
      </c>
      <c r="F316" s="3">
        <f t="shared" si="33"/>
        <v>0.88024139404296875</v>
      </c>
      <c r="G316" s="3">
        <f t="shared" si="34"/>
        <v>2.6922225952148438</v>
      </c>
      <c r="H316" s="4">
        <f t="shared" si="39"/>
        <v>65</v>
      </c>
      <c r="I316" s="3">
        <f t="shared" si="35"/>
        <v>9.5367431640625E-3</v>
      </c>
      <c r="J316" s="3">
        <f t="shared" si="36"/>
        <v>1.9073486328125E-3</v>
      </c>
      <c r="K316" s="3">
        <f t="shared" si="37"/>
        <v>1.1444091796875E-2</v>
      </c>
      <c r="L316" s="3">
        <f t="shared" si="38"/>
        <v>0.125885009765625</v>
      </c>
    </row>
    <row r="317" spans="1:12" x14ac:dyDescent="0.2">
      <c r="A317" t="s">
        <v>182</v>
      </c>
      <c r="B317">
        <v>1767074016</v>
      </c>
      <c r="C317" t="s">
        <v>19</v>
      </c>
      <c r="D317" t="s">
        <v>219</v>
      </c>
      <c r="E317" s="3">
        <f t="shared" si="32"/>
        <v>5464.5538330078125</v>
      </c>
      <c r="F317" s="3">
        <f t="shared" si="33"/>
        <v>288.96331787109375</v>
      </c>
      <c r="G317" s="3">
        <f t="shared" si="34"/>
        <v>5753.5171508789062</v>
      </c>
      <c r="H317" s="4">
        <f t="shared" si="39"/>
        <v>65</v>
      </c>
      <c r="I317" s="3">
        <f t="shared" si="35"/>
        <v>28.6102294921875</v>
      </c>
      <c r="J317" s="3">
        <f t="shared" si="36"/>
        <v>0</v>
      </c>
      <c r="K317" s="3">
        <f t="shared" si="37"/>
        <v>28.6102294921875</v>
      </c>
      <c r="L317" s="3">
        <f t="shared" si="38"/>
        <v>392.913818359375</v>
      </c>
    </row>
    <row r="318" spans="1:12" x14ac:dyDescent="0.2">
      <c r="A318" t="s">
        <v>182</v>
      </c>
      <c r="B318">
        <v>1767074023</v>
      </c>
      <c r="C318" t="s">
        <v>13</v>
      </c>
      <c r="D318" t="s">
        <v>193</v>
      </c>
      <c r="E318" s="3">
        <f t="shared" si="32"/>
        <v>22.69744873046875</v>
      </c>
      <c r="F318" s="3">
        <f t="shared" si="33"/>
        <v>5187.98828125</v>
      </c>
      <c r="G318" s="3">
        <f t="shared" si="34"/>
        <v>5210.6857299804688</v>
      </c>
      <c r="H318" s="4">
        <f t="shared" si="39"/>
        <v>70</v>
      </c>
      <c r="I318" s="3">
        <f t="shared" si="35"/>
        <v>0</v>
      </c>
      <c r="J318" s="3">
        <f t="shared" si="36"/>
        <v>0</v>
      </c>
      <c r="K318" s="3">
        <f t="shared" si="37"/>
        <v>0</v>
      </c>
      <c r="L318" s="3">
        <f t="shared" si="38"/>
        <v>9.5367431640625E-2</v>
      </c>
    </row>
    <row r="319" spans="1:12" x14ac:dyDescent="0.2">
      <c r="A319" t="s">
        <v>182</v>
      </c>
      <c r="B319">
        <v>1767074023</v>
      </c>
      <c r="C319" t="s">
        <v>15</v>
      </c>
      <c r="D319" t="s">
        <v>217</v>
      </c>
      <c r="E319" s="3">
        <f t="shared" si="32"/>
        <v>5474.090576171875</v>
      </c>
      <c r="F319" s="3">
        <f t="shared" si="33"/>
        <v>5483.6273193359375</v>
      </c>
      <c r="G319" s="3">
        <f t="shared" si="34"/>
        <v>10957.717895507812</v>
      </c>
      <c r="H319" s="4">
        <f t="shared" si="39"/>
        <v>70</v>
      </c>
      <c r="I319" s="3">
        <f t="shared" si="35"/>
        <v>0</v>
      </c>
      <c r="J319" s="3">
        <f t="shared" si="36"/>
        <v>0</v>
      </c>
      <c r="K319" s="3">
        <f t="shared" si="37"/>
        <v>0</v>
      </c>
      <c r="L319" s="3">
        <f t="shared" si="38"/>
        <v>400.543212890625</v>
      </c>
    </row>
    <row r="320" spans="1:12" x14ac:dyDescent="0.2">
      <c r="A320" t="s">
        <v>182</v>
      </c>
      <c r="B320">
        <v>1767074023</v>
      </c>
      <c r="C320" t="s">
        <v>17</v>
      </c>
      <c r="D320" t="s">
        <v>220</v>
      </c>
      <c r="E320" s="3">
        <f t="shared" si="32"/>
        <v>1.8215179443359375</v>
      </c>
      <c r="F320" s="3">
        <f t="shared" si="33"/>
        <v>0.88214874267578125</v>
      </c>
      <c r="G320" s="3">
        <f t="shared" si="34"/>
        <v>2.7036666870117188</v>
      </c>
      <c r="H320" s="4">
        <f t="shared" si="39"/>
        <v>70</v>
      </c>
      <c r="I320" s="3">
        <f t="shared" si="35"/>
        <v>9.5367431640625E-3</v>
      </c>
      <c r="J320" s="3">
        <f t="shared" si="36"/>
        <v>1.9073486328125E-3</v>
      </c>
      <c r="K320" s="3">
        <f t="shared" si="37"/>
        <v>1.1444091796875E-2</v>
      </c>
      <c r="L320" s="3">
        <f t="shared" si="38"/>
        <v>0.1373291015625</v>
      </c>
    </row>
    <row r="321" spans="1:12" x14ac:dyDescent="0.2">
      <c r="A321" t="s">
        <v>182</v>
      </c>
      <c r="B321">
        <v>1767074023</v>
      </c>
      <c r="C321" t="s">
        <v>19</v>
      </c>
      <c r="D321" t="s">
        <v>219</v>
      </c>
      <c r="E321" s="3">
        <f t="shared" si="32"/>
        <v>5464.5538330078125</v>
      </c>
      <c r="F321" s="3">
        <f t="shared" si="33"/>
        <v>288.96331787109375</v>
      </c>
      <c r="G321" s="3">
        <f t="shared" si="34"/>
        <v>5753.5171508789062</v>
      </c>
      <c r="H321" s="4">
        <f t="shared" si="39"/>
        <v>70</v>
      </c>
      <c r="I321" s="3">
        <f t="shared" si="35"/>
        <v>0</v>
      </c>
      <c r="J321" s="3">
        <f t="shared" si="36"/>
        <v>0</v>
      </c>
      <c r="K321" s="3">
        <f t="shared" si="37"/>
        <v>0</v>
      </c>
      <c r="L321" s="3">
        <f t="shared" si="38"/>
        <v>392.913818359375</v>
      </c>
    </row>
    <row r="322" spans="1:12" x14ac:dyDescent="0.2">
      <c r="A322" t="s">
        <v>182</v>
      </c>
      <c r="B322">
        <v>1767074031</v>
      </c>
      <c r="C322" t="s">
        <v>13</v>
      </c>
      <c r="D322" t="s">
        <v>193</v>
      </c>
      <c r="E322" s="3">
        <f t="shared" ref="E322:E349" si="40">IF(RIGHT(TRIM(LEFT($D322,FIND("/",$D322)-1)),2)="kB",VALUE(LEFT(TRIM(LEFT($D322,FIND("/",$D322)-1)),LEN(TRIM(LEFT($D322,FIND("/",$D322)-1)))-2))*1000/1024/1024,IF(RIGHT(TRIM(LEFT($D322,FIND("/",$D322)-1)),2)="MB",VALUE(LEFT(TRIM(LEFT($D322,FIND("/",$D322)-1)),LEN(TRIM(LEFT($D322,FIND("/",$D322)-1)))-2))*1000*1000/1024/1024,IF(RIGHT(TRIM(LEFT($D322,FIND("/",$D322)-1)),2)="GB",VALUE(LEFT(TRIM(LEFT($D322,FIND("/",$D322)-1)),LEN(TRIM(LEFT($D322,FIND("/",$D322)-1)))-2))*1000*1000*1000/1024/1024,0)))</f>
        <v>22.69744873046875</v>
      </c>
      <c r="F322" s="3">
        <f t="shared" ref="F322:F349" si="41">IF(RIGHT(TRIM(MID($D322,FIND("/",$D322)+1,999)),2)="kB",VALUE(LEFT(TRIM(MID($D322,FIND("/",$D322)+1,999)),LEN(TRIM(MID($D322,FIND("/",$D322)+1,999)))-2))*1000/1024/1024,IF(RIGHT(TRIM(MID($D322,FIND("/",$D322)+1,999)),2)="MB",VALUE(LEFT(TRIM(MID($D322,FIND("/",$D322)+1,999)),LEN(TRIM(MID($D322,FIND("/",$D322)+1,999)))-2))*1000*1000/1024/1024,IF(RIGHT(TRIM(MID($D322,FIND("/",$D322)+1,999)),2)="GB",VALUE(LEFT(TRIM(MID($D322,FIND("/",$D322)+1,999)),LEN(TRIM(MID($D322,FIND("/",$D322)+1,999)))-2))*1000*1000*1000/1024/1024,0)))</f>
        <v>5187.98828125</v>
      </c>
      <c r="G322" s="3">
        <f t="shared" ref="G322:G349" si="42">$E322+$F322</f>
        <v>5210.6857299804688</v>
      </c>
      <c r="H322" s="4">
        <f t="shared" si="39"/>
        <v>75</v>
      </c>
      <c r="I322" s="3">
        <f t="shared" ref="I322:I349" si="43">IF($H322=0,0,MAX(0,$E322-SUMIFS($E$2:$E$349,$A$2:$A$349,$A322,$C$2:$C$349,$C322,$H$2:$H$349,$H322-5)))</f>
        <v>0</v>
      </c>
      <c r="J322" s="3">
        <f t="shared" ref="J322:J349" si="44">IF($H322=0,0,MAX(0,$F322-SUMIFS($F$2:$F$349,$A$2:$A$349,$A322,$C$2:$C$349,$C322,$H$2:$H$349,$H322-5)))</f>
        <v>0</v>
      </c>
      <c r="K322" s="3">
        <f t="shared" ref="K322:K349" si="45">IF($H322=0,0,MAX(0,$G322-SUMIFS($G$2:$G$349,$A$2:$A$349,$A322,$C$2:$C$349,$C322,$H$2:$H$349,$H322-5)))</f>
        <v>0</v>
      </c>
      <c r="L322" s="3">
        <f t="shared" ref="L322:L349" si="46">MAX(0,$G322-SUMIFS($G$2:$G$349,$A$2:$A$349,$A322,$C$2:$C$349,$C322,$H$2:$H$349,0))</f>
        <v>9.5367431640625E-2</v>
      </c>
    </row>
    <row r="323" spans="1:12" x14ac:dyDescent="0.2">
      <c r="A323" t="s">
        <v>182</v>
      </c>
      <c r="B323">
        <v>1767074031</v>
      </c>
      <c r="C323" t="s">
        <v>15</v>
      </c>
      <c r="D323" t="s">
        <v>221</v>
      </c>
      <c r="E323" s="3">
        <f t="shared" si="40"/>
        <v>5474.090576171875</v>
      </c>
      <c r="F323" s="3">
        <f t="shared" si="41"/>
        <v>5502.7008056640625</v>
      </c>
      <c r="G323" s="3">
        <f t="shared" si="42"/>
        <v>10976.791381835938</v>
      </c>
      <c r="H323" s="4">
        <f t="shared" ref="H323:H349" si="47">IF($A323&lt;&gt;$A322,0,IF($B323=$B322,$H322,$H322+5))</f>
        <v>75</v>
      </c>
      <c r="I323" s="3">
        <f t="shared" si="43"/>
        <v>0</v>
      </c>
      <c r="J323" s="3">
        <f t="shared" si="44"/>
        <v>19.073486328125</v>
      </c>
      <c r="K323" s="3">
        <f t="shared" si="45"/>
        <v>19.073486328125</v>
      </c>
      <c r="L323" s="3">
        <f t="shared" si="46"/>
        <v>419.61669921875</v>
      </c>
    </row>
    <row r="324" spans="1:12" x14ac:dyDescent="0.2">
      <c r="A324" t="s">
        <v>182</v>
      </c>
      <c r="B324">
        <v>1767074031</v>
      </c>
      <c r="C324" t="s">
        <v>17</v>
      </c>
      <c r="D324" t="s">
        <v>222</v>
      </c>
      <c r="E324" s="3">
        <f t="shared" si="40"/>
        <v>1.8310546875</v>
      </c>
      <c r="F324" s="3">
        <f t="shared" si="41"/>
        <v>0.88405609130859375</v>
      </c>
      <c r="G324" s="3">
        <f t="shared" si="42"/>
        <v>2.7151107788085938</v>
      </c>
      <c r="H324" s="4">
        <f t="shared" si="47"/>
        <v>75</v>
      </c>
      <c r="I324" s="3">
        <f t="shared" si="43"/>
        <v>9.5367431640625E-3</v>
      </c>
      <c r="J324" s="3">
        <f t="shared" si="44"/>
        <v>1.9073486328125E-3</v>
      </c>
      <c r="K324" s="3">
        <f t="shared" si="45"/>
        <v>1.1444091796875E-2</v>
      </c>
      <c r="L324" s="3">
        <f t="shared" si="46"/>
        <v>0.148773193359375</v>
      </c>
    </row>
    <row r="325" spans="1:12" x14ac:dyDescent="0.2">
      <c r="A325" t="s">
        <v>182</v>
      </c>
      <c r="B325">
        <v>1767074031</v>
      </c>
      <c r="C325" t="s">
        <v>19</v>
      </c>
      <c r="D325" t="s">
        <v>223</v>
      </c>
      <c r="E325" s="3">
        <f t="shared" si="40"/>
        <v>5483.6273193359375</v>
      </c>
      <c r="F325" s="3">
        <f t="shared" si="41"/>
        <v>288.96331787109375</v>
      </c>
      <c r="G325" s="3">
        <f t="shared" si="42"/>
        <v>5772.5906372070312</v>
      </c>
      <c r="H325" s="4">
        <f t="shared" si="47"/>
        <v>75</v>
      </c>
      <c r="I325" s="3">
        <f t="shared" si="43"/>
        <v>19.073486328125</v>
      </c>
      <c r="J325" s="3">
        <f t="shared" si="44"/>
        <v>0</v>
      </c>
      <c r="K325" s="3">
        <f t="shared" si="45"/>
        <v>19.073486328125</v>
      </c>
      <c r="L325" s="3">
        <f t="shared" si="46"/>
        <v>411.9873046875</v>
      </c>
    </row>
    <row r="326" spans="1:12" x14ac:dyDescent="0.2">
      <c r="A326" t="s">
        <v>182</v>
      </c>
      <c r="B326">
        <v>1767074038</v>
      </c>
      <c r="C326" t="s">
        <v>13</v>
      </c>
      <c r="D326" t="s">
        <v>224</v>
      </c>
      <c r="E326" s="3">
        <f t="shared" si="40"/>
        <v>22.792816162109375</v>
      </c>
      <c r="F326" s="3">
        <f t="shared" si="41"/>
        <v>5187.98828125</v>
      </c>
      <c r="G326" s="3">
        <f t="shared" si="42"/>
        <v>5210.7810974121094</v>
      </c>
      <c r="H326" s="4">
        <f t="shared" si="47"/>
        <v>80</v>
      </c>
      <c r="I326" s="3">
        <f t="shared" si="43"/>
        <v>9.5367431640625E-2</v>
      </c>
      <c r="J326" s="3">
        <f t="shared" si="44"/>
        <v>0</v>
      </c>
      <c r="K326" s="3">
        <f t="shared" si="45"/>
        <v>9.5367431640625E-2</v>
      </c>
      <c r="L326" s="3">
        <f t="shared" si="46"/>
        <v>0.19073486328125</v>
      </c>
    </row>
    <row r="327" spans="1:12" x14ac:dyDescent="0.2">
      <c r="A327" t="s">
        <v>182</v>
      </c>
      <c r="B327">
        <v>1767074038</v>
      </c>
      <c r="C327" t="s">
        <v>15</v>
      </c>
      <c r="D327" t="s">
        <v>225</v>
      </c>
      <c r="E327" s="3">
        <f t="shared" si="40"/>
        <v>5483.6273193359375</v>
      </c>
      <c r="F327" s="3">
        <f t="shared" si="41"/>
        <v>5502.7008056640625</v>
      </c>
      <c r="G327" s="3">
        <f t="shared" si="42"/>
        <v>10986.328125</v>
      </c>
      <c r="H327" s="4">
        <f t="shared" si="47"/>
        <v>80</v>
      </c>
      <c r="I327" s="3">
        <f t="shared" si="43"/>
        <v>9.5367431640625</v>
      </c>
      <c r="J327" s="3">
        <f t="shared" si="44"/>
        <v>0</v>
      </c>
      <c r="K327" s="3">
        <f t="shared" si="45"/>
        <v>9.5367431640625</v>
      </c>
      <c r="L327" s="3">
        <f t="shared" si="46"/>
        <v>429.1534423828125</v>
      </c>
    </row>
    <row r="328" spans="1:12" x14ac:dyDescent="0.2">
      <c r="A328" t="s">
        <v>182</v>
      </c>
      <c r="B328">
        <v>1767074038</v>
      </c>
      <c r="C328" t="s">
        <v>17</v>
      </c>
      <c r="D328" t="s">
        <v>226</v>
      </c>
      <c r="E328" s="3">
        <f t="shared" si="40"/>
        <v>1.8310546875</v>
      </c>
      <c r="F328" s="3">
        <f t="shared" si="41"/>
        <v>0.88596343994140625</v>
      </c>
      <c r="G328" s="3">
        <f t="shared" si="42"/>
        <v>2.7170181274414062</v>
      </c>
      <c r="H328" s="4">
        <f t="shared" si="47"/>
        <v>80</v>
      </c>
      <c r="I328" s="3">
        <f t="shared" si="43"/>
        <v>0</v>
      </c>
      <c r="J328" s="3">
        <f t="shared" si="44"/>
        <v>1.9073486328125E-3</v>
      </c>
      <c r="K328" s="3">
        <f t="shared" si="45"/>
        <v>1.9073486328125E-3</v>
      </c>
      <c r="L328" s="3">
        <f t="shared" si="46"/>
        <v>0.1506805419921875</v>
      </c>
    </row>
    <row r="329" spans="1:12" x14ac:dyDescent="0.2">
      <c r="A329" t="s">
        <v>182</v>
      </c>
      <c r="B329">
        <v>1767074038</v>
      </c>
      <c r="C329" t="s">
        <v>19</v>
      </c>
      <c r="D329" t="s">
        <v>227</v>
      </c>
      <c r="E329" s="3">
        <f t="shared" si="40"/>
        <v>5483.6273193359375</v>
      </c>
      <c r="F329" s="3">
        <f t="shared" si="41"/>
        <v>297.54638671875</v>
      </c>
      <c r="G329" s="3">
        <f t="shared" si="42"/>
        <v>5781.1737060546875</v>
      </c>
      <c r="H329" s="4">
        <f t="shared" si="47"/>
        <v>80</v>
      </c>
      <c r="I329" s="3">
        <f t="shared" si="43"/>
        <v>0</v>
      </c>
      <c r="J329" s="3">
        <f t="shared" si="44"/>
        <v>8.58306884765625</v>
      </c>
      <c r="K329" s="3">
        <f t="shared" si="45"/>
        <v>8.58306884765625</v>
      </c>
      <c r="L329" s="3">
        <f t="shared" si="46"/>
        <v>420.57037353515625</v>
      </c>
    </row>
    <row r="330" spans="1:12" x14ac:dyDescent="0.2">
      <c r="A330" t="s">
        <v>182</v>
      </c>
      <c r="B330">
        <v>1767074046</v>
      </c>
      <c r="C330" t="s">
        <v>13</v>
      </c>
      <c r="D330" t="s">
        <v>224</v>
      </c>
      <c r="E330" s="3">
        <f t="shared" si="40"/>
        <v>22.792816162109375</v>
      </c>
      <c r="F330" s="3">
        <f t="shared" si="41"/>
        <v>5187.98828125</v>
      </c>
      <c r="G330" s="3">
        <f t="shared" si="42"/>
        <v>5210.7810974121094</v>
      </c>
      <c r="H330" s="4">
        <f t="shared" si="47"/>
        <v>85</v>
      </c>
      <c r="I330" s="3">
        <f t="shared" si="43"/>
        <v>0</v>
      </c>
      <c r="J330" s="3">
        <f t="shared" si="44"/>
        <v>0</v>
      </c>
      <c r="K330" s="3">
        <f t="shared" si="45"/>
        <v>0</v>
      </c>
      <c r="L330" s="3">
        <f t="shared" si="46"/>
        <v>0.19073486328125</v>
      </c>
    </row>
    <row r="331" spans="1:12" x14ac:dyDescent="0.2">
      <c r="A331" t="s">
        <v>182</v>
      </c>
      <c r="B331">
        <v>1767074046</v>
      </c>
      <c r="C331" t="s">
        <v>15</v>
      </c>
      <c r="D331" t="s">
        <v>225</v>
      </c>
      <c r="E331" s="3">
        <f t="shared" si="40"/>
        <v>5483.6273193359375</v>
      </c>
      <c r="F331" s="3">
        <f t="shared" si="41"/>
        <v>5502.7008056640625</v>
      </c>
      <c r="G331" s="3">
        <f t="shared" si="42"/>
        <v>10986.328125</v>
      </c>
      <c r="H331" s="4">
        <f t="shared" si="47"/>
        <v>85</v>
      </c>
      <c r="I331" s="3">
        <f t="shared" si="43"/>
        <v>0</v>
      </c>
      <c r="J331" s="3">
        <f t="shared" si="44"/>
        <v>0</v>
      </c>
      <c r="K331" s="3">
        <f t="shared" si="45"/>
        <v>0</v>
      </c>
      <c r="L331" s="3">
        <f t="shared" si="46"/>
        <v>429.1534423828125</v>
      </c>
    </row>
    <row r="332" spans="1:12" x14ac:dyDescent="0.2">
      <c r="A332" t="s">
        <v>182</v>
      </c>
      <c r="B332">
        <v>1767074046</v>
      </c>
      <c r="C332" t="s">
        <v>17</v>
      </c>
      <c r="D332" t="s">
        <v>228</v>
      </c>
      <c r="E332" s="3">
        <f t="shared" si="40"/>
        <v>1.8405914306640625</v>
      </c>
      <c r="F332" s="3">
        <f t="shared" si="41"/>
        <v>0.88787078857421875</v>
      </c>
      <c r="G332" s="3">
        <f t="shared" si="42"/>
        <v>2.7284622192382812</v>
      </c>
      <c r="H332" s="4">
        <f t="shared" si="47"/>
        <v>85</v>
      </c>
      <c r="I332" s="3">
        <f t="shared" si="43"/>
        <v>9.5367431640625E-3</v>
      </c>
      <c r="J332" s="3">
        <f t="shared" si="44"/>
        <v>1.9073486328125E-3</v>
      </c>
      <c r="K332" s="3">
        <f t="shared" si="45"/>
        <v>1.1444091796875E-2</v>
      </c>
      <c r="L332" s="3">
        <f t="shared" si="46"/>
        <v>0.1621246337890625</v>
      </c>
    </row>
    <row r="333" spans="1:12" x14ac:dyDescent="0.2">
      <c r="A333" t="s">
        <v>182</v>
      </c>
      <c r="B333">
        <v>1767074046</v>
      </c>
      <c r="C333" t="s">
        <v>19</v>
      </c>
      <c r="D333" t="s">
        <v>229</v>
      </c>
      <c r="E333" s="3">
        <f t="shared" si="40"/>
        <v>5483.6273193359375</v>
      </c>
      <c r="F333" s="3">
        <f t="shared" si="41"/>
        <v>304.22210693359375</v>
      </c>
      <c r="G333" s="3">
        <f t="shared" si="42"/>
        <v>5787.8494262695312</v>
      </c>
      <c r="H333" s="4">
        <f t="shared" si="47"/>
        <v>85</v>
      </c>
      <c r="I333" s="3">
        <f t="shared" si="43"/>
        <v>0</v>
      </c>
      <c r="J333" s="3">
        <f t="shared" si="44"/>
        <v>6.67572021484375</v>
      </c>
      <c r="K333" s="3">
        <f t="shared" si="45"/>
        <v>6.67572021484375</v>
      </c>
      <c r="L333" s="3">
        <f t="shared" si="46"/>
        <v>427.24609375</v>
      </c>
    </row>
    <row r="334" spans="1:12" x14ac:dyDescent="0.2">
      <c r="A334" t="s">
        <v>182</v>
      </c>
      <c r="B334">
        <v>1767074054</v>
      </c>
      <c r="C334" t="s">
        <v>13</v>
      </c>
      <c r="D334" t="s">
        <v>224</v>
      </c>
      <c r="E334" s="3">
        <f t="shared" si="40"/>
        <v>22.792816162109375</v>
      </c>
      <c r="F334" s="3">
        <f t="shared" si="41"/>
        <v>5187.98828125</v>
      </c>
      <c r="G334" s="3">
        <f t="shared" si="42"/>
        <v>5210.7810974121094</v>
      </c>
      <c r="H334" s="4">
        <f t="shared" si="47"/>
        <v>90</v>
      </c>
      <c r="I334" s="3">
        <f t="shared" si="43"/>
        <v>0</v>
      </c>
      <c r="J334" s="3">
        <f t="shared" si="44"/>
        <v>0</v>
      </c>
      <c r="K334" s="3">
        <f t="shared" si="45"/>
        <v>0</v>
      </c>
      <c r="L334" s="3">
        <f t="shared" si="46"/>
        <v>0.19073486328125</v>
      </c>
    </row>
    <row r="335" spans="1:12" x14ac:dyDescent="0.2">
      <c r="A335" t="s">
        <v>182</v>
      </c>
      <c r="B335">
        <v>1767074054</v>
      </c>
      <c r="C335" t="s">
        <v>15</v>
      </c>
      <c r="D335" t="s">
        <v>225</v>
      </c>
      <c r="E335" s="3">
        <f t="shared" si="40"/>
        <v>5483.6273193359375</v>
      </c>
      <c r="F335" s="3">
        <f t="shared" si="41"/>
        <v>5502.7008056640625</v>
      </c>
      <c r="G335" s="3">
        <f t="shared" si="42"/>
        <v>10986.328125</v>
      </c>
      <c r="H335" s="4">
        <f t="shared" si="47"/>
        <v>90</v>
      </c>
      <c r="I335" s="3">
        <f t="shared" si="43"/>
        <v>0</v>
      </c>
      <c r="J335" s="3">
        <f t="shared" si="44"/>
        <v>0</v>
      </c>
      <c r="K335" s="3">
        <f t="shared" si="45"/>
        <v>0</v>
      </c>
      <c r="L335" s="3">
        <f t="shared" si="46"/>
        <v>429.1534423828125</v>
      </c>
    </row>
    <row r="336" spans="1:12" x14ac:dyDescent="0.2">
      <c r="A336" t="s">
        <v>182</v>
      </c>
      <c r="B336">
        <v>1767074054</v>
      </c>
      <c r="C336" t="s">
        <v>17</v>
      </c>
      <c r="D336" t="s">
        <v>230</v>
      </c>
      <c r="E336" s="3">
        <f t="shared" si="40"/>
        <v>1.850128173828125</v>
      </c>
      <c r="F336" s="3">
        <f t="shared" si="41"/>
        <v>0.904083251953125</v>
      </c>
      <c r="G336" s="3">
        <f t="shared" si="42"/>
        <v>2.75421142578125</v>
      </c>
      <c r="H336" s="4">
        <f t="shared" si="47"/>
        <v>90</v>
      </c>
      <c r="I336" s="3">
        <f t="shared" si="43"/>
        <v>9.5367431640625E-3</v>
      </c>
      <c r="J336" s="3">
        <f t="shared" si="44"/>
        <v>1.621246337890625E-2</v>
      </c>
      <c r="K336" s="3">
        <f t="shared" si="45"/>
        <v>2.574920654296875E-2</v>
      </c>
      <c r="L336" s="3">
        <f t="shared" si="46"/>
        <v>0.18787384033203125</v>
      </c>
    </row>
    <row r="337" spans="1:12" x14ac:dyDescent="0.2">
      <c r="A337" t="s">
        <v>182</v>
      </c>
      <c r="B337">
        <v>1767074054</v>
      </c>
      <c r="C337" t="s">
        <v>19</v>
      </c>
      <c r="D337" t="s">
        <v>229</v>
      </c>
      <c r="E337" s="3">
        <f t="shared" si="40"/>
        <v>5483.6273193359375</v>
      </c>
      <c r="F337" s="3">
        <f t="shared" si="41"/>
        <v>304.22210693359375</v>
      </c>
      <c r="G337" s="3">
        <f t="shared" si="42"/>
        <v>5787.8494262695312</v>
      </c>
      <c r="H337" s="4">
        <f t="shared" si="47"/>
        <v>90</v>
      </c>
      <c r="I337" s="3">
        <f t="shared" si="43"/>
        <v>0</v>
      </c>
      <c r="J337" s="3">
        <f t="shared" si="44"/>
        <v>0</v>
      </c>
      <c r="K337" s="3">
        <f t="shared" si="45"/>
        <v>0</v>
      </c>
      <c r="L337" s="3">
        <f t="shared" si="46"/>
        <v>427.24609375</v>
      </c>
    </row>
    <row r="338" spans="1:12" x14ac:dyDescent="0.2">
      <c r="A338" t="s">
        <v>182</v>
      </c>
      <c r="B338">
        <v>1767074061</v>
      </c>
      <c r="C338" t="s">
        <v>13</v>
      </c>
      <c r="D338" t="s">
        <v>224</v>
      </c>
      <c r="E338" s="3">
        <f t="shared" si="40"/>
        <v>22.792816162109375</v>
      </c>
      <c r="F338" s="3">
        <f t="shared" si="41"/>
        <v>5187.98828125</v>
      </c>
      <c r="G338" s="3">
        <f t="shared" si="42"/>
        <v>5210.7810974121094</v>
      </c>
      <c r="H338" s="4">
        <f t="shared" si="47"/>
        <v>95</v>
      </c>
      <c r="I338" s="3">
        <f t="shared" si="43"/>
        <v>0</v>
      </c>
      <c r="J338" s="3">
        <f t="shared" si="44"/>
        <v>0</v>
      </c>
      <c r="K338" s="3">
        <f t="shared" si="45"/>
        <v>0</v>
      </c>
      <c r="L338" s="3">
        <f t="shared" si="46"/>
        <v>0.19073486328125</v>
      </c>
    </row>
    <row r="339" spans="1:12" x14ac:dyDescent="0.2">
      <c r="A339" t="s">
        <v>182</v>
      </c>
      <c r="B339">
        <v>1767074061</v>
      </c>
      <c r="C339" t="s">
        <v>15</v>
      </c>
      <c r="D339" t="s">
        <v>225</v>
      </c>
      <c r="E339" s="3">
        <f t="shared" si="40"/>
        <v>5483.6273193359375</v>
      </c>
      <c r="F339" s="3">
        <f t="shared" si="41"/>
        <v>5502.7008056640625</v>
      </c>
      <c r="G339" s="3">
        <f t="shared" si="42"/>
        <v>10986.328125</v>
      </c>
      <c r="H339" s="4">
        <f t="shared" si="47"/>
        <v>95</v>
      </c>
      <c r="I339" s="3">
        <f t="shared" si="43"/>
        <v>0</v>
      </c>
      <c r="J339" s="3">
        <f t="shared" si="44"/>
        <v>0</v>
      </c>
      <c r="K339" s="3">
        <f t="shared" si="45"/>
        <v>0</v>
      </c>
      <c r="L339" s="3">
        <f t="shared" si="46"/>
        <v>429.1534423828125</v>
      </c>
    </row>
    <row r="340" spans="1:12" x14ac:dyDescent="0.2">
      <c r="A340" t="s">
        <v>182</v>
      </c>
      <c r="B340">
        <v>1767074061</v>
      </c>
      <c r="C340" t="s">
        <v>17</v>
      </c>
      <c r="D340" t="s">
        <v>231</v>
      </c>
      <c r="E340" s="3">
        <f t="shared" si="40"/>
        <v>1.8596649169921875</v>
      </c>
      <c r="F340" s="3">
        <f t="shared" si="41"/>
        <v>0.9098052978515625</v>
      </c>
      <c r="G340" s="3">
        <f t="shared" si="42"/>
        <v>2.76947021484375</v>
      </c>
      <c r="H340" s="4">
        <f t="shared" si="47"/>
        <v>95</v>
      </c>
      <c r="I340" s="3">
        <f t="shared" si="43"/>
        <v>9.5367431640625E-3</v>
      </c>
      <c r="J340" s="3">
        <f t="shared" si="44"/>
        <v>5.7220458984375E-3</v>
      </c>
      <c r="K340" s="3">
        <f t="shared" si="45"/>
        <v>1.52587890625E-2</v>
      </c>
      <c r="L340" s="3">
        <f t="shared" si="46"/>
        <v>0.20313262939453125</v>
      </c>
    </row>
    <row r="341" spans="1:12" x14ac:dyDescent="0.2">
      <c r="A341" t="s">
        <v>182</v>
      </c>
      <c r="B341">
        <v>1767074061</v>
      </c>
      <c r="C341" t="s">
        <v>19</v>
      </c>
      <c r="D341" t="s">
        <v>229</v>
      </c>
      <c r="E341" s="3">
        <f t="shared" si="40"/>
        <v>5483.6273193359375</v>
      </c>
      <c r="F341" s="3">
        <f t="shared" si="41"/>
        <v>304.22210693359375</v>
      </c>
      <c r="G341" s="3">
        <f t="shared" si="42"/>
        <v>5787.8494262695312</v>
      </c>
      <c r="H341" s="4">
        <f t="shared" si="47"/>
        <v>95</v>
      </c>
      <c r="I341" s="3">
        <f t="shared" si="43"/>
        <v>0</v>
      </c>
      <c r="J341" s="3">
        <f t="shared" si="44"/>
        <v>0</v>
      </c>
      <c r="K341" s="3">
        <f t="shared" si="45"/>
        <v>0</v>
      </c>
      <c r="L341" s="3">
        <f t="shared" si="46"/>
        <v>427.24609375</v>
      </c>
    </row>
    <row r="342" spans="1:12" x14ac:dyDescent="0.2">
      <c r="A342" t="s">
        <v>182</v>
      </c>
      <c r="B342">
        <v>1767074069</v>
      </c>
      <c r="C342" t="s">
        <v>13</v>
      </c>
      <c r="D342" t="s">
        <v>224</v>
      </c>
      <c r="E342" s="3">
        <f t="shared" si="40"/>
        <v>22.792816162109375</v>
      </c>
      <c r="F342" s="3">
        <f t="shared" si="41"/>
        <v>5187.98828125</v>
      </c>
      <c r="G342" s="3">
        <f t="shared" si="42"/>
        <v>5210.7810974121094</v>
      </c>
      <c r="H342" s="4">
        <f t="shared" si="47"/>
        <v>100</v>
      </c>
      <c r="I342" s="3">
        <f t="shared" si="43"/>
        <v>0</v>
      </c>
      <c r="J342" s="3">
        <f t="shared" si="44"/>
        <v>0</v>
      </c>
      <c r="K342" s="3">
        <f t="shared" si="45"/>
        <v>0</v>
      </c>
      <c r="L342" s="3">
        <f t="shared" si="46"/>
        <v>0.19073486328125</v>
      </c>
    </row>
    <row r="343" spans="1:12" x14ac:dyDescent="0.2">
      <c r="A343" t="s">
        <v>182</v>
      </c>
      <c r="B343">
        <v>1767074069</v>
      </c>
      <c r="C343" t="s">
        <v>15</v>
      </c>
      <c r="D343" t="s">
        <v>232</v>
      </c>
      <c r="E343" s="3">
        <f t="shared" si="40"/>
        <v>5483.6273193359375</v>
      </c>
      <c r="F343" s="3">
        <f t="shared" si="41"/>
        <v>5521.7742919921875</v>
      </c>
      <c r="G343" s="3">
        <f t="shared" si="42"/>
        <v>11005.401611328125</v>
      </c>
      <c r="H343" s="4">
        <f t="shared" si="47"/>
        <v>100</v>
      </c>
      <c r="I343" s="3">
        <f t="shared" si="43"/>
        <v>0</v>
      </c>
      <c r="J343" s="3">
        <f t="shared" si="44"/>
        <v>19.073486328125</v>
      </c>
      <c r="K343" s="3">
        <f t="shared" si="45"/>
        <v>19.073486328125</v>
      </c>
      <c r="L343" s="3">
        <f t="shared" si="46"/>
        <v>448.2269287109375</v>
      </c>
    </row>
    <row r="344" spans="1:12" x14ac:dyDescent="0.2">
      <c r="A344" t="s">
        <v>182</v>
      </c>
      <c r="B344">
        <v>1767074069</v>
      </c>
      <c r="C344" t="s">
        <v>17</v>
      </c>
      <c r="D344" t="s">
        <v>233</v>
      </c>
      <c r="E344" s="3">
        <f t="shared" si="40"/>
        <v>1.86920166015625</v>
      </c>
      <c r="F344" s="3">
        <f t="shared" si="41"/>
        <v>0.911712646484375</v>
      </c>
      <c r="G344" s="3">
        <f t="shared" si="42"/>
        <v>2.780914306640625</v>
      </c>
      <c r="H344" s="4">
        <f t="shared" si="47"/>
        <v>100</v>
      </c>
      <c r="I344" s="3">
        <f t="shared" si="43"/>
        <v>9.5367431640625E-3</v>
      </c>
      <c r="J344" s="3">
        <f t="shared" si="44"/>
        <v>1.9073486328125E-3</v>
      </c>
      <c r="K344" s="3">
        <f t="shared" si="45"/>
        <v>1.1444091796875E-2</v>
      </c>
      <c r="L344" s="3">
        <f t="shared" si="46"/>
        <v>0.21457672119140625</v>
      </c>
    </row>
    <row r="345" spans="1:12" x14ac:dyDescent="0.2">
      <c r="A345" t="s">
        <v>182</v>
      </c>
      <c r="B345">
        <v>1767074069</v>
      </c>
      <c r="C345" t="s">
        <v>19</v>
      </c>
      <c r="D345" t="s">
        <v>234</v>
      </c>
      <c r="E345" s="3">
        <f t="shared" si="40"/>
        <v>5502.7008056640625</v>
      </c>
      <c r="F345" s="3">
        <f t="shared" si="41"/>
        <v>304.22210693359375</v>
      </c>
      <c r="G345" s="3">
        <f t="shared" si="42"/>
        <v>5806.9229125976562</v>
      </c>
      <c r="H345" s="4">
        <f t="shared" si="47"/>
        <v>100</v>
      </c>
      <c r="I345" s="3">
        <f t="shared" si="43"/>
        <v>19.073486328125</v>
      </c>
      <c r="J345" s="3">
        <f t="shared" si="44"/>
        <v>0</v>
      </c>
      <c r="K345" s="3">
        <f t="shared" si="45"/>
        <v>19.073486328125</v>
      </c>
      <c r="L345" s="3">
        <f t="shared" si="46"/>
        <v>446.319580078125</v>
      </c>
    </row>
    <row r="346" spans="1:12" x14ac:dyDescent="0.2">
      <c r="A346" t="s">
        <v>182</v>
      </c>
      <c r="B346">
        <v>1767074076</v>
      </c>
      <c r="C346" t="s">
        <v>13</v>
      </c>
      <c r="D346" t="s">
        <v>235</v>
      </c>
      <c r="E346" s="3">
        <f t="shared" si="40"/>
        <v>22.88818359375</v>
      </c>
      <c r="F346" s="3">
        <f t="shared" si="41"/>
        <v>5187.98828125</v>
      </c>
      <c r="G346" s="3">
        <f t="shared" si="42"/>
        <v>5210.87646484375</v>
      </c>
      <c r="H346" s="4">
        <f t="shared" si="47"/>
        <v>105</v>
      </c>
      <c r="I346" s="3">
        <f t="shared" si="43"/>
        <v>9.5367431640625E-2</v>
      </c>
      <c r="J346" s="3">
        <f t="shared" si="44"/>
        <v>0</v>
      </c>
      <c r="K346" s="3">
        <f t="shared" si="45"/>
        <v>9.5367431640625E-2</v>
      </c>
      <c r="L346" s="3">
        <f t="shared" si="46"/>
        <v>0.286102294921875</v>
      </c>
    </row>
    <row r="347" spans="1:12" x14ac:dyDescent="0.2">
      <c r="A347" t="s">
        <v>182</v>
      </c>
      <c r="B347">
        <v>1767074076</v>
      </c>
      <c r="C347" t="s">
        <v>15</v>
      </c>
      <c r="D347" t="s">
        <v>232</v>
      </c>
      <c r="E347" s="3">
        <f t="shared" si="40"/>
        <v>5483.6273193359375</v>
      </c>
      <c r="F347" s="3">
        <f t="shared" si="41"/>
        <v>5521.7742919921875</v>
      </c>
      <c r="G347" s="3">
        <f t="shared" si="42"/>
        <v>11005.401611328125</v>
      </c>
      <c r="H347" s="4">
        <f t="shared" si="47"/>
        <v>105</v>
      </c>
      <c r="I347" s="3">
        <f t="shared" si="43"/>
        <v>0</v>
      </c>
      <c r="J347" s="3">
        <f t="shared" si="44"/>
        <v>0</v>
      </c>
      <c r="K347" s="3">
        <f t="shared" si="45"/>
        <v>0</v>
      </c>
      <c r="L347" s="3">
        <f t="shared" si="46"/>
        <v>448.2269287109375</v>
      </c>
    </row>
    <row r="348" spans="1:12" x14ac:dyDescent="0.2">
      <c r="A348" t="s">
        <v>182</v>
      </c>
      <c r="B348">
        <v>1767074076</v>
      </c>
      <c r="C348" t="s">
        <v>17</v>
      </c>
      <c r="D348" t="s">
        <v>236</v>
      </c>
      <c r="E348" s="3">
        <f t="shared" si="40"/>
        <v>1.86920166015625</v>
      </c>
      <c r="F348" s="3">
        <f t="shared" si="41"/>
        <v>0.91457366943359375</v>
      </c>
      <c r="G348" s="3">
        <f t="shared" si="42"/>
        <v>2.7837753295898438</v>
      </c>
      <c r="H348" s="4">
        <f t="shared" si="47"/>
        <v>105</v>
      </c>
      <c r="I348" s="3">
        <f t="shared" si="43"/>
        <v>0</v>
      </c>
      <c r="J348" s="3">
        <f t="shared" si="44"/>
        <v>2.86102294921875E-3</v>
      </c>
      <c r="K348" s="3">
        <f t="shared" si="45"/>
        <v>2.86102294921875E-3</v>
      </c>
      <c r="L348" s="3">
        <f t="shared" si="46"/>
        <v>0.217437744140625</v>
      </c>
    </row>
    <row r="349" spans="1:12" x14ac:dyDescent="0.2">
      <c r="A349" t="s">
        <v>182</v>
      </c>
      <c r="B349">
        <v>1767074076</v>
      </c>
      <c r="C349" t="s">
        <v>19</v>
      </c>
      <c r="D349" t="s">
        <v>234</v>
      </c>
      <c r="E349" s="3">
        <f t="shared" si="40"/>
        <v>5502.7008056640625</v>
      </c>
      <c r="F349" s="3">
        <f t="shared" si="41"/>
        <v>304.22210693359375</v>
      </c>
      <c r="G349" s="3">
        <f t="shared" si="42"/>
        <v>5806.9229125976562</v>
      </c>
      <c r="H349" s="4">
        <f t="shared" si="47"/>
        <v>105</v>
      </c>
      <c r="I349" s="3">
        <f t="shared" si="43"/>
        <v>0</v>
      </c>
      <c r="J349" s="3">
        <f t="shared" si="44"/>
        <v>0</v>
      </c>
      <c r="K349" s="3">
        <f t="shared" si="45"/>
        <v>0</v>
      </c>
      <c r="L349" s="3">
        <f t="shared" si="46"/>
        <v>446.319580078125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2FB1B-3A91-BC47-BC53-09F8BBE82CA3}">
  <dimension ref="A1:F21"/>
  <sheetViews>
    <sheetView workbookViewId="0">
      <selection activeCell="A3" sqref="A3"/>
    </sheetView>
  </sheetViews>
  <sheetFormatPr baseColWidth="10" defaultRowHeight="16" x14ac:dyDescent="0.2"/>
  <cols>
    <col min="1" max="1" width="24.6640625" bestFit="1" customWidth="1"/>
    <col min="2" max="2" width="15.5" bestFit="1" customWidth="1"/>
    <col min="3" max="3" width="9.83203125" bestFit="1" customWidth="1"/>
    <col min="4" max="4" width="12.5" bestFit="1" customWidth="1"/>
    <col min="5" max="5" width="15.5" bestFit="1" customWidth="1"/>
  </cols>
  <sheetData>
    <row r="1" spans="1:6" x14ac:dyDescent="0.2">
      <c r="A1" s="5" t="s">
        <v>0</v>
      </c>
      <c r="B1" t="s">
        <v>34</v>
      </c>
    </row>
    <row r="3" spans="1:6" x14ac:dyDescent="0.2">
      <c r="A3" s="5" t="s">
        <v>239</v>
      </c>
      <c r="B3" s="5" t="s">
        <v>240</v>
      </c>
    </row>
    <row r="4" spans="1:6" x14ac:dyDescent="0.2">
      <c r="A4" s="5" t="s">
        <v>237</v>
      </c>
      <c r="B4" t="s">
        <v>15</v>
      </c>
      <c r="C4" t="s">
        <v>13</v>
      </c>
      <c r="D4" t="s">
        <v>19</v>
      </c>
      <c r="E4" t="s">
        <v>17</v>
      </c>
      <c r="F4" t="s">
        <v>238</v>
      </c>
    </row>
    <row r="5" spans="1:6" x14ac:dyDescent="0.2">
      <c r="A5" s="6">
        <v>0</v>
      </c>
      <c r="B5" s="3">
        <v>0</v>
      </c>
      <c r="C5" s="3">
        <v>0</v>
      </c>
      <c r="D5" s="3">
        <v>0</v>
      </c>
      <c r="E5" s="3">
        <v>0</v>
      </c>
      <c r="F5" s="3">
        <v>0</v>
      </c>
    </row>
    <row r="6" spans="1:6" x14ac:dyDescent="0.2">
      <c r="A6" s="6">
        <v>5</v>
      </c>
      <c r="B6" s="3">
        <v>0</v>
      </c>
      <c r="C6" s="3">
        <v>0</v>
      </c>
      <c r="D6" s="3">
        <v>0</v>
      </c>
      <c r="E6" s="3">
        <v>1.9073486328125E-2</v>
      </c>
      <c r="F6" s="3">
        <v>1.9073486328125E-2</v>
      </c>
    </row>
    <row r="7" spans="1:6" x14ac:dyDescent="0.2">
      <c r="A7" s="6">
        <v>10</v>
      </c>
      <c r="B7" s="3">
        <v>0</v>
      </c>
      <c r="C7" s="3">
        <v>0</v>
      </c>
      <c r="D7" s="3">
        <v>0</v>
      </c>
      <c r="E7" s="3">
        <v>1.9073486328125E-2</v>
      </c>
      <c r="F7" s="3">
        <v>1.9073486328125E-2</v>
      </c>
    </row>
    <row r="8" spans="1:6" x14ac:dyDescent="0.2">
      <c r="A8" s="6">
        <v>15</v>
      </c>
      <c r="B8" s="3">
        <v>66.7572021484375</v>
      </c>
      <c r="C8" s="3">
        <v>0</v>
      </c>
      <c r="D8" s="3">
        <v>66.7572021484375</v>
      </c>
      <c r="E8" s="3">
        <v>1.1444091796875E-2</v>
      </c>
      <c r="F8" s="3">
        <v>133.52584838867188</v>
      </c>
    </row>
    <row r="9" spans="1:6" x14ac:dyDescent="0.2">
      <c r="A9" s="6">
        <v>20</v>
      </c>
      <c r="B9" s="3">
        <v>47.6837158203125</v>
      </c>
      <c r="C9" s="3">
        <v>0</v>
      </c>
      <c r="D9" s="3">
        <v>48.63739013671875</v>
      </c>
      <c r="E9" s="3">
        <v>1.9073486328125E-3</v>
      </c>
      <c r="F9" s="3">
        <v>96.323013305664062</v>
      </c>
    </row>
    <row r="10" spans="1:6" x14ac:dyDescent="0.2">
      <c r="A10" s="6">
        <v>25</v>
      </c>
      <c r="B10" s="3">
        <v>28.6102294921875</v>
      </c>
      <c r="C10" s="3">
        <v>0</v>
      </c>
      <c r="D10" s="3">
        <v>28.6102294921875</v>
      </c>
      <c r="E10" s="3">
        <v>1.049041748046875E-2</v>
      </c>
      <c r="F10" s="3">
        <v>57.230949401855469</v>
      </c>
    </row>
    <row r="11" spans="1:6" x14ac:dyDescent="0.2">
      <c r="A11" s="6">
        <v>30</v>
      </c>
      <c r="B11" s="3">
        <v>0</v>
      </c>
      <c r="C11" s="3">
        <v>0</v>
      </c>
      <c r="D11" s="3">
        <v>0</v>
      </c>
      <c r="E11" s="3">
        <v>1.239776611328125E-2</v>
      </c>
      <c r="F11" s="3">
        <v>1.239776611328125E-2</v>
      </c>
    </row>
    <row r="12" spans="1:6" x14ac:dyDescent="0.2">
      <c r="A12" s="6">
        <v>35</v>
      </c>
      <c r="B12" s="3">
        <v>57.220458984375</v>
      </c>
      <c r="C12" s="3">
        <v>0</v>
      </c>
      <c r="D12" s="3">
        <v>57.220458984374545</v>
      </c>
      <c r="E12" s="3">
        <v>1.9073486328125E-3</v>
      </c>
      <c r="F12" s="3">
        <v>114.44282531738236</v>
      </c>
    </row>
    <row r="13" spans="1:6" x14ac:dyDescent="0.2">
      <c r="A13" s="6">
        <v>40</v>
      </c>
      <c r="B13" s="3">
        <v>47.6837158203125</v>
      </c>
      <c r="C13" s="3">
        <v>9.5367431640625E-2</v>
      </c>
      <c r="D13" s="3">
        <v>57.220458984375455</v>
      </c>
      <c r="E13" s="3">
        <v>1.049041748046875E-2</v>
      </c>
      <c r="F13" s="3">
        <v>105.01003265380905</v>
      </c>
    </row>
    <row r="14" spans="1:6" x14ac:dyDescent="0.2">
      <c r="A14" s="6">
        <v>45</v>
      </c>
      <c r="B14" s="3">
        <v>28.6102294921875</v>
      </c>
      <c r="C14" s="3">
        <v>0</v>
      </c>
      <c r="D14" s="3">
        <v>19.073486328125</v>
      </c>
      <c r="E14" s="3">
        <v>1.1444091796875E-2</v>
      </c>
      <c r="F14" s="3">
        <v>47.695159912109375</v>
      </c>
    </row>
    <row r="15" spans="1:6" x14ac:dyDescent="0.2">
      <c r="A15" s="6">
        <v>50</v>
      </c>
      <c r="B15" s="3">
        <v>19.073486328125</v>
      </c>
      <c r="C15" s="3">
        <v>0</v>
      </c>
      <c r="D15" s="3">
        <v>6.67572021484375</v>
      </c>
      <c r="E15" s="3">
        <v>1.239776611328125E-2</v>
      </c>
      <c r="F15" s="3">
        <v>25.761604309082031</v>
      </c>
    </row>
    <row r="16" spans="1:6" x14ac:dyDescent="0.2">
      <c r="A16" s="6">
        <v>55</v>
      </c>
      <c r="B16" s="3">
        <v>19.073486328125</v>
      </c>
      <c r="C16" s="3">
        <v>0</v>
      </c>
      <c r="D16" s="3">
        <v>25.74920654296875</v>
      </c>
      <c r="E16" s="3">
        <v>1.9073486328125E-3</v>
      </c>
      <c r="F16" s="3">
        <v>44.824600219726562</v>
      </c>
    </row>
    <row r="17" spans="1:6" x14ac:dyDescent="0.2">
      <c r="A17" s="6">
        <v>60</v>
      </c>
      <c r="B17" s="3">
        <v>0</v>
      </c>
      <c r="C17" s="3">
        <v>0</v>
      </c>
      <c r="D17" s="3">
        <v>0</v>
      </c>
      <c r="E17" s="3">
        <v>2.47955322265625E-2</v>
      </c>
      <c r="F17" s="3">
        <v>2.47955322265625E-2</v>
      </c>
    </row>
    <row r="18" spans="1:6" x14ac:dyDescent="0.2">
      <c r="A18" s="6">
        <v>65</v>
      </c>
      <c r="B18" s="3">
        <v>0</v>
      </c>
      <c r="C18" s="3">
        <v>0</v>
      </c>
      <c r="D18" s="3">
        <v>0</v>
      </c>
      <c r="E18" s="3">
        <v>1.52587890625E-2</v>
      </c>
      <c r="F18" s="3">
        <v>1.52587890625E-2</v>
      </c>
    </row>
    <row r="19" spans="1:6" x14ac:dyDescent="0.2">
      <c r="A19" s="6">
        <v>70</v>
      </c>
      <c r="B19" s="3">
        <v>28.6102294921875</v>
      </c>
      <c r="C19" s="3">
        <v>9.5367431640625E-2</v>
      </c>
      <c r="D19" s="3">
        <v>28.6102294921875</v>
      </c>
      <c r="E19" s="3">
        <v>1.1444091796875E-2</v>
      </c>
      <c r="F19" s="3">
        <v>57.3272705078125</v>
      </c>
    </row>
    <row r="20" spans="1:6" x14ac:dyDescent="0.2">
      <c r="A20" s="6">
        <v>75</v>
      </c>
      <c r="B20" s="3">
        <v>0</v>
      </c>
      <c r="C20" s="3">
        <v>0</v>
      </c>
      <c r="D20" s="3">
        <v>0</v>
      </c>
      <c r="E20" s="3">
        <v>1.1444091796875E-2</v>
      </c>
      <c r="F20" s="3">
        <v>1.1444091796875E-2</v>
      </c>
    </row>
    <row r="21" spans="1:6" x14ac:dyDescent="0.2">
      <c r="A21" s="6" t="s">
        <v>238</v>
      </c>
      <c r="B21" s="3">
        <v>343.32275390625</v>
      </c>
      <c r="C21" s="3">
        <v>0.19073486328125</v>
      </c>
      <c r="D21" s="3">
        <v>338.55438232421875</v>
      </c>
      <c r="E21" s="3">
        <v>0.17547607421875</v>
      </c>
      <c r="F21" s="3">
        <v>682.24334716796875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136F4-0224-DE4E-9937-F1EB3AE92C87}">
  <dimension ref="A1:F13"/>
  <sheetViews>
    <sheetView topLeftCell="A4" workbookViewId="0">
      <selection activeCell="A3" sqref="A3"/>
    </sheetView>
  </sheetViews>
  <sheetFormatPr baseColWidth="10" defaultRowHeight="16" x14ac:dyDescent="0.2"/>
  <cols>
    <col min="1" max="1" width="24.6640625" bestFit="1" customWidth="1"/>
    <col min="2" max="2" width="15.5" bestFit="1" customWidth="1"/>
    <col min="3" max="3" width="9.83203125" bestFit="1" customWidth="1"/>
    <col min="4" max="4" width="12.5" bestFit="1" customWidth="1"/>
    <col min="5" max="5" width="15.5" bestFit="1" customWidth="1"/>
  </cols>
  <sheetData>
    <row r="1" spans="1:6" x14ac:dyDescent="0.2">
      <c r="A1" s="5" t="s">
        <v>0</v>
      </c>
      <c r="B1" t="s">
        <v>12</v>
      </c>
    </row>
    <row r="3" spans="1:6" x14ac:dyDescent="0.2">
      <c r="A3" s="5" t="s">
        <v>239</v>
      </c>
      <c r="B3" s="5" t="s">
        <v>240</v>
      </c>
    </row>
    <row r="4" spans="1:6" x14ac:dyDescent="0.2">
      <c r="A4" s="5" t="s">
        <v>237</v>
      </c>
      <c r="B4" t="s">
        <v>15</v>
      </c>
      <c r="C4" t="s">
        <v>13</v>
      </c>
      <c r="D4" t="s">
        <v>19</v>
      </c>
      <c r="E4" t="s">
        <v>17</v>
      </c>
      <c r="F4" t="s">
        <v>238</v>
      </c>
    </row>
    <row r="5" spans="1:6" x14ac:dyDescent="0.2">
      <c r="A5" s="6">
        <v>0</v>
      </c>
      <c r="B5" s="3">
        <v>0</v>
      </c>
      <c r="C5" s="3">
        <v>0</v>
      </c>
      <c r="D5" s="3">
        <v>0</v>
      </c>
      <c r="E5" s="3">
        <v>0</v>
      </c>
      <c r="F5" s="3">
        <v>0</v>
      </c>
    </row>
    <row r="6" spans="1:6" x14ac:dyDescent="0.2">
      <c r="A6" s="6">
        <v>5</v>
      </c>
      <c r="B6" s="3">
        <v>9.5367431640625</v>
      </c>
      <c r="C6" s="3">
        <v>0</v>
      </c>
      <c r="D6" s="3">
        <v>0</v>
      </c>
      <c r="E6" s="3">
        <v>1.9073486328125E-2</v>
      </c>
      <c r="F6" s="3">
        <v>9.555816650390625</v>
      </c>
    </row>
    <row r="7" spans="1:6" x14ac:dyDescent="0.2">
      <c r="A7" s="6">
        <v>10</v>
      </c>
      <c r="B7" s="3">
        <v>0</v>
      </c>
      <c r="C7" s="3">
        <v>0</v>
      </c>
      <c r="D7" s="3">
        <v>0</v>
      </c>
      <c r="E7" s="3">
        <v>1.811981201171875E-2</v>
      </c>
      <c r="F7" s="3">
        <v>1.811981201171875E-2</v>
      </c>
    </row>
    <row r="8" spans="1:6" x14ac:dyDescent="0.2">
      <c r="A8" s="6">
        <v>15</v>
      </c>
      <c r="B8" s="3">
        <v>9.5367431640625</v>
      </c>
      <c r="C8" s="3">
        <v>0</v>
      </c>
      <c r="D8" s="3">
        <v>9.5367431640625</v>
      </c>
      <c r="E8" s="3">
        <v>1.1444091796875E-2</v>
      </c>
      <c r="F8" s="3">
        <v>19.084930419921875</v>
      </c>
    </row>
    <row r="9" spans="1:6" x14ac:dyDescent="0.2">
      <c r="A9" s="6">
        <v>20</v>
      </c>
      <c r="B9" s="3">
        <v>0</v>
      </c>
      <c r="C9" s="3">
        <v>9.5367431640625E-2</v>
      </c>
      <c r="D9" s="3">
        <v>0.95367431640625</v>
      </c>
      <c r="E9" s="3">
        <v>1.52587890625E-2</v>
      </c>
      <c r="F9" s="3">
        <v>1.064300537109375</v>
      </c>
    </row>
    <row r="10" spans="1:6" x14ac:dyDescent="0.2">
      <c r="A10" s="6">
        <v>25</v>
      </c>
      <c r="B10" s="3">
        <v>0</v>
      </c>
      <c r="C10" s="3">
        <v>0</v>
      </c>
      <c r="D10" s="3">
        <v>0</v>
      </c>
      <c r="E10" s="3">
        <v>2.193450927734375E-2</v>
      </c>
      <c r="F10" s="3">
        <v>2.193450927734375E-2</v>
      </c>
    </row>
    <row r="11" spans="1:6" x14ac:dyDescent="0.2">
      <c r="A11" s="6">
        <v>30</v>
      </c>
      <c r="B11" s="3">
        <v>0</v>
      </c>
      <c r="C11" s="3">
        <v>0</v>
      </c>
      <c r="D11" s="3">
        <v>0</v>
      </c>
      <c r="E11" s="3">
        <v>1.52587890625E-2</v>
      </c>
      <c r="F11" s="3">
        <v>1.52587890625E-2</v>
      </c>
    </row>
    <row r="12" spans="1:6" x14ac:dyDescent="0.2">
      <c r="A12" s="6">
        <v>35</v>
      </c>
      <c r="B12" s="3">
        <v>0</v>
      </c>
      <c r="C12" s="3">
        <v>0</v>
      </c>
      <c r="D12" s="3">
        <v>0.95367431640625</v>
      </c>
      <c r="E12" s="3">
        <v>1.9073486328125E-3</v>
      </c>
      <c r="F12" s="3">
        <v>0.9555816650390625</v>
      </c>
    </row>
    <row r="13" spans="1:6" x14ac:dyDescent="0.2">
      <c r="A13" s="6" t="s">
        <v>238</v>
      </c>
      <c r="B13" s="3">
        <v>19.073486328125</v>
      </c>
      <c r="C13" s="3">
        <v>9.5367431640625E-2</v>
      </c>
      <c r="D13" s="3">
        <v>11.444091796875</v>
      </c>
      <c r="E13" s="3">
        <v>0.102996826171875</v>
      </c>
      <c r="F13" s="3">
        <v>30.7159423828125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F43A-CE20-BE44-8619-8D923F4BD127}">
  <dimension ref="A1:F21"/>
  <sheetViews>
    <sheetView workbookViewId="0">
      <selection activeCell="A3" sqref="A3"/>
    </sheetView>
  </sheetViews>
  <sheetFormatPr baseColWidth="10" defaultRowHeight="16" x14ac:dyDescent="0.2"/>
  <cols>
    <col min="1" max="1" width="24.6640625" bestFit="1" customWidth="1"/>
    <col min="2" max="2" width="15.5" bestFit="1" customWidth="1"/>
    <col min="3" max="3" width="9.83203125" bestFit="1" customWidth="1"/>
    <col min="4" max="4" width="12.5" bestFit="1" customWidth="1"/>
    <col min="5" max="5" width="15.5" bestFit="1" customWidth="1"/>
  </cols>
  <sheetData>
    <row r="1" spans="1:6" x14ac:dyDescent="0.2">
      <c r="A1" t="s">
        <v>0</v>
      </c>
      <c r="B1" t="s">
        <v>34</v>
      </c>
    </row>
    <row r="3" spans="1:6" x14ac:dyDescent="0.2">
      <c r="A3" t="s">
        <v>239</v>
      </c>
      <c r="B3" t="s">
        <v>240</v>
      </c>
    </row>
    <row r="4" spans="1:6" x14ac:dyDescent="0.2">
      <c r="A4" t="s">
        <v>237</v>
      </c>
      <c r="B4" t="s">
        <v>15</v>
      </c>
      <c r="C4" t="s">
        <v>13</v>
      </c>
      <c r="D4" t="s">
        <v>19</v>
      </c>
      <c r="E4" t="s">
        <v>17</v>
      </c>
      <c r="F4" t="s">
        <v>238</v>
      </c>
    </row>
    <row r="5" spans="1:6" x14ac:dyDescent="0.2">
      <c r="A5" s="6">
        <v>0</v>
      </c>
      <c r="B5" s="3">
        <v>0</v>
      </c>
      <c r="C5" s="3">
        <v>0</v>
      </c>
      <c r="D5" s="3">
        <v>0</v>
      </c>
      <c r="E5" s="3">
        <v>0</v>
      </c>
      <c r="F5" s="3">
        <v>0</v>
      </c>
    </row>
    <row r="6" spans="1:6" x14ac:dyDescent="0.2">
      <c r="A6" s="6">
        <v>5</v>
      </c>
      <c r="B6" s="3">
        <v>0</v>
      </c>
      <c r="C6" s="3">
        <v>0</v>
      </c>
      <c r="D6" s="3">
        <v>0</v>
      </c>
      <c r="E6" s="3">
        <v>1.9073486328125E-2</v>
      </c>
      <c r="F6" s="3">
        <v>1.9073486328125E-2</v>
      </c>
    </row>
    <row r="7" spans="1:6" x14ac:dyDescent="0.2">
      <c r="A7" s="6">
        <v>10</v>
      </c>
      <c r="B7" s="3">
        <v>0</v>
      </c>
      <c r="C7" s="3">
        <v>0</v>
      </c>
      <c r="D7" s="3">
        <v>0</v>
      </c>
      <c r="E7" s="3">
        <v>1.9073486328125E-2</v>
      </c>
      <c r="F7" s="3">
        <v>1.9073486328125E-2</v>
      </c>
    </row>
    <row r="8" spans="1:6" x14ac:dyDescent="0.2">
      <c r="A8" s="6">
        <v>15</v>
      </c>
      <c r="B8" s="3">
        <v>66.7572021484375</v>
      </c>
      <c r="C8" s="3">
        <v>0</v>
      </c>
      <c r="D8" s="3">
        <v>66.7572021484375</v>
      </c>
      <c r="E8" s="3">
        <v>1.1444091796875E-2</v>
      </c>
      <c r="F8" s="3">
        <v>133.52584838867188</v>
      </c>
    </row>
    <row r="9" spans="1:6" x14ac:dyDescent="0.2">
      <c r="A9" s="6">
        <v>20</v>
      </c>
      <c r="B9" s="3">
        <v>47.6837158203125</v>
      </c>
      <c r="C9" s="3">
        <v>0</v>
      </c>
      <c r="D9" s="3">
        <v>48.63739013671875</v>
      </c>
      <c r="E9" s="3">
        <v>1.9073486328125E-3</v>
      </c>
      <c r="F9" s="3">
        <v>96.323013305664062</v>
      </c>
    </row>
    <row r="10" spans="1:6" x14ac:dyDescent="0.2">
      <c r="A10" s="6">
        <v>25</v>
      </c>
      <c r="B10" s="3">
        <v>28.6102294921875</v>
      </c>
      <c r="C10" s="3">
        <v>0</v>
      </c>
      <c r="D10" s="3">
        <v>28.6102294921875</v>
      </c>
      <c r="E10" s="3">
        <v>1.049041748046875E-2</v>
      </c>
      <c r="F10" s="3">
        <v>57.230949401855469</v>
      </c>
    </row>
    <row r="11" spans="1:6" x14ac:dyDescent="0.2">
      <c r="A11" s="6">
        <v>30</v>
      </c>
      <c r="B11" s="3">
        <v>0</v>
      </c>
      <c r="C11" s="3">
        <v>0</v>
      </c>
      <c r="D11" s="3">
        <v>0</v>
      </c>
      <c r="E11" s="3">
        <v>1.239776611328125E-2</v>
      </c>
      <c r="F11" s="3">
        <v>1.239776611328125E-2</v>
      </c>
    </row>
    <row r="12" spans="1:6" x14ac:dyDescent="0.2">
      <c r="A12" s="6">
        <v>35</v>
      </c>
      <c r="B12" s="3">
        <v>57.220458984375</v>
      </c>
      <c r="C12" s="3">
        <v>0</v>
      </c>
      <c r="D12" s="3">
        <v>57.220458984374545</v>
      </c>
      <c r="E12" s="3">
        <v>1.9073486328125E-3</v>
      </c>
      <c r="F12" s="3">
        <v>114.44282531738236</v>
      </c>
    </row>
    <row r="13" spans="1:6" x14ac:dyDescent="0.2">
      <c r="A13" s="6">
        <v>40</v>
      </c>
      <c r="B13" s="3">
        <v>47.6837158203125</v>
      </c>
      <c r="C13" s="3">
        <v>9.5367431640625E-2</v>
      </c>
      <c r="D13" s="3">
        <v>57.220458984375455</v>
      </c>
      <c r="E13" s="3">
        <v>1.049041748046875E-2</v>
      </c>
      <c r="F13" s="3">
        <v>105.01003265380905</v>
      </c>
    </row>
    <row r="14" spans="1:6" x14ac:dyDescent="0.2">
      <c r="A14" s="6">
        <v>45</v>
      </c>
      <c r="B14" s="3">
        <v>28.6102294921875</v>
      </c>
      <c r="C14" s="3">
        <v>0</v>
      </c>
      <c r="D14" s="3">
        <v>19.073486328125</v>
      </c>
      <c r="E14" s="3">
        <v>1.1444091796875E-2</v>
      </c>
      <c r="F14" s="3">
        <v>47.695159912109375</v>
      </c>
    </row>
    <row r="15" spans="1:6" x14ac:dyDescent="0.2">
      <c r="A15" s="6">
        <v>50</v>
      </c>
      <c r="B15" s="3">
        <v>19.073486328125</v>
      </c>
      <c r="C15" s="3">
        <v>0</v>
      </c>
      <c r="D15" s="3">
        <v>6.67572021484375</v>
      </c>
      <c r="E15" s="3">
        <v>1.239776611328125E-2</v>
      </c>
      <c r="F15" s="3">
        <v>25.761604309082031</v>
      </c>
    </row>
    <row r="16" spans="1:6" x14ac:dyDescent="0.2">
      <c r="A16" s="6">
        <v>55</v>
      </c>
      <c r="B16" s="3">
        <v>19.073486328125</v>
      </c>
      <c r="C16" s="3">
        <v>0</v>
      </c>
      <c r="D16" s="3">
        <v>25.74920654296875</v>
      </c>
      <c r="E16" s="3">
        <v>1.9073486328125E-3</v>
      </c>
      <c r="F16" s="3">
        <v>44.824600219726562</v>
      </c>
    </row>
    <row r="17" spans="1:6" x14ac:dyDescent="0.2">
      <c r="A17" s="6">
        <v>60</v>
      </c>
      <c r="B17" s="3">
        <v>0</v>
      </c>
      <c r="C17" s="3">
        <v>0</v>
      </c>
      <c r="D17" s="3">
        <v>0</v>
      </c>
      <c r="E17" s="3">
        <v>2.47955322265625E-2</v>
      </c>
      <c r="F17" s="3">
        <v>2.47955322265625E-2</v>
      </c>
    </row>
    <row r="18" spans="1:6" x14ac:dyDescent="0.2">
      <c r="A18" s="6">
        <v>65</v>
      </c>
      <c r="B18" s="3">
        <v>0</v>
      </c>
      <c r="C18" s="3">
        <v>0</v>
      </c>
      <c r="D18" s="3">
        <v>0</v>
      </c>
      <c r="E18" s="3">
        <v>1.52587890625E-2</v>
      </c>
      <c r="F18" s="3">
        <v>1.52587890625E-2</v>
      </c>
    </row>
    <row r="19" spans="1:6" x14ac:dyDescent="0.2">
      <c r="A19" s="6">
        <v>70</v>
      </c>
      <c r="B19" s="3">
        <v>28.6102294921875</v>
      </c>
      <c r="C19" s="3">
        <v>9.5367431640625E-2</v>
      </c>
      <c r="D19" s="3">
        <v>28.6102294921875</v>
      </c>
      <c r="E19" s="3">
        <v>1.1444091796875E-2</v>
      </c>
      <c r="F19" s="3">
        <v>57.3272705078125</v>
      </c>
    </row>
    <row r="20" spans="1:6" x14ac:dyDescent="0.2">
      <c r="A20" s="6">
        <v>75</v>
      </c>
      <c r="B20" s="3">
        <v>0</v>
      </c>
      <c r="C20" s="3">
        <v>0</v>
      </c>
      <c r="D20" s="3">
        <v>0</v>
      </c>
      <c r="E20" s="3">
        <v>1.1444091796875E-2</v>
      </c>
      <c r="F20" s="3">
        <v>1.1444091796875E-2</v>
      </c>
    </row>
    <row r="21" spans="1:6" x14ac:dyDescent="0.2">
      <c r="A21" s="6" t="s">
        <v>238</v>
      </c>
      <c r="B21" s="3">
        <v>343.32275390625</v>
      </c>
      <c r="C21" s="3">
        <v>0.19073486328125</v>
      </c>
      <c r="D21" s="3">
        <v>338.55438232421875</v>
      </c>
      <c r="E21" s="3">
        <v>0.17547607421875</v>
      </c>
      <c r="F21" s="3">
        <v>682.24334716796875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1F18E-851B-6A42-96CD-1146A2E7B344}">
  <dimension ref="A1:F27"/>
  <sheetViews>
    <sheetView workbookViewId="0">
      <selection activeCell="A3" sqref="A3"/>
    </sheetView>
  </sheetViews>
  <sheetFormatPr baseColWidth="10" defaultRowHeight="16" x14ac:dyDescent="0.2"/>
  <cols>
    <col min="1" max="1" width="24.6640625" bestFit="1" customWidth="1"/>
    <col min="2" max="2" width="23" bestFit="1" customWidth="1"/>
    <col min="3" max="3" width="9.83203125" bestFit="1" customWidth="1"/>
    <col min="4" max="4" width="12.5" bestFit="1" customWidth="1"/>
    <col min="5" max="5" width="15.5" bestFit="1" customWidth="1"/>
  </cols>
  <sheetData>
    <row r="1" spans="1:6" x14ac:dyDescent="0.2">
      <c r="A1" s="5" t="s">
        <v>0</v>
      </c>
      <c r="B1" t="s">
        <v>182</v>
      </c>
    </row>
    <row r="3" spans="1:6" x14ac:dyDescent="0.2">
      <c r="A3" s="5" t="s">
        <v>239</v>
      </c>
      <c r="B3" s="5" t="s">
        <v>240</v>
      </c>
    </row>
    <row r="4" spans="1:6" x14ac:dyDescent="0.2">
      <c r="A4" s="5" t="s">
        <v>237</v>
      </c>
      <c r="B4" t="s">
        <v>15</v>
      </c>
      <c r="C4" t="s">
        <v>13</v>
      </c>
      <c r="D4" t="s">
        <v>19</v>
      </c>
      <c r="E4" t="s">
        <v>17</v>
      </c>
      <c r="F4" t="s">
        <v>238</v>
      </c>
    </row>
    <row r="5" spans="1:6" x14ac:dyDescent="0.2">
      <c r="A5" s="6">
        <v>0</v>
      </c>
      <c r="B5" s="3">
        <v>0</v>
      </c>
      <c r="C5" s="3">
        <v>0</v>
      </c>
      <c r="D5" s="3">
        <v>0</v>
      </c>
      <c r="E5" s="3">
        <v>0</v>
      </c>
      <c r="F5" s="3">
        <v>0</v>
      </c>
    </row>
    <row r="6" spans="1:6" x14ac:dyDescent="0.2">
      <c r="A6" s="6">
        <v>5</v>
      </c>
      <c r="B6" s="3">
        <v>0</v>
      </c>
      <c r="C6" s="3">
        <v>0</v>
      </c>
      <c r="D6" s="3">
        <v>0</v>
      </c>
      <c r="E6" s="3">
        <v>2.09808349609375E-2</v>
      </c>
      <c r="F6" s="3">
        <v>2.09808349609375E-2</v>
      </c>
    </row>
    <row r="7" spans="1:6" x14ac:dyDescent="0.2">
      <c r="A7" s="6">
        <v>10</v>
      </c>
      <c r="B7" s="3">
        <v>9.5367431640625</v>
      </c>
      <c r="C7" s="3">
        <v>0</v>
      </c>
      <c r="D7" s="3">
        <v>0</v>
      </c>
      <c r="E7" s="3">
        <v>6.67572021484375E-3</v>
      </c>
      <c r="F7" s="3">
        <v>9.5434188842773438</v>
      </c>
    </row>
    <row r="8" spans="1:6" x14ac:dyDescent="0.2">
      <c r="A8" s="6">
        <v>15</v>
      </c>
      <c r="B8" s="3">
        <v>47.6837158203125</v>
      </c>
      <c r="C8" s="3">
        <v>0</v>
      </c>
      <c r="D8" s="3">
        <v>47.6837158203125</v>
      </c>
      <c r="E8" s="3">
        <v>1.1444091796875E-2</v>
      </c>
      <c r="F8" s="3">
        <v>95.378875732421875</v>
      </c>
    </row>
    <row r="9" spans="1:6" x14ac:dyDescent="0.2">
      <c r="A9" s="6">
        <v>20</v>
      </c>
      <c r="B9" s="3">
        <v>38.14697265625</v>
      </c>
      <c r="C9" s="3">
        <v>9.5367431640625E-2</v>
      </c>
      <c r="D9" s="3">
        <v>38.14697265625</v>
      </c>
      <c r="E9" s="3">
        <v>1.1444091796875E-2</v>
      </c>
      <c r="F9" s="3">
        <v>76.4007568359375</v>
      </c>
    </row>
    <row r="10" spans="1:6" x14ac:dyDescent="0.2">
      <c r="A10" s="6">
        <v>25</v>
      </c>
      <c r="B10" s="3">
        <v>47.6837158203125</v>
      </c>
      <c r="C10" s="3">
        <v>0</v>
      </c>
      <c r="D10" s="3">
        <v>48.63739013671875</v>
      </c>
      <c r="E10" s="3">
        <v>1.9073486328125E-3</v>
      </c>
      <c r="F10" s="3">
        <v>96.323013305664062</v>
      </c>
    </row>
    <row r="11" spans="1:6" x14ac:dyDescent="0.2">
      <c r="A11" s="6">
        <v>30</v>
      </c>
      <c r="B11" s="3">
        <v>0</v>
      </c>
      <c r="C11" s="3">
        <v>0</v>
      </c>
      <c r="D11" s="3">
        <v>0</v>
      </c>
      <c r="E11" s="3">
        <v>1.239776611328125E-2</v>
      </c>
      <c r="F11" s="3">
        <v>1.239776611328125E-2</v>
      </c>
    </row>
    <row r="12" spans="1:6" x14ac:dyDescent="0.2">
      <c r="A12" s="6">
        <v>35</v>
      </c>
      <c r="B12" s="3">
        <v>47.6837158203125</v>
      </c>
      <c r="C12" s="3">
        <v>0</v>
      </c>
      <c r="D12" s="3">
        <v>47.6837158203125</v>
      </c>
      <c r="E12" s="3">
        <v>1.049041748046875E-2</v>
      </c>
      <c r="F12" s="3">
        <v>95.377922058105469</v>
      </c>
    </row>
    <row r="13" spans="1:6" x14ac:dyDescent="0.2">
      <c r="A13" s="6">
        <v>40</v>
      </c>
      <c r="B13" s="3">
        <v>38.14697265625</v>
      </c>
      <c r="C13" s="3">
        <v>0</v>
      </c>
      <c r="D13" s="3">
        <v>47.6837158203125</v>
      </c>
      <c r="E13" s="3">
        <v>1.1444091796875E-2</v>
      </c>
      <c r="F13" s="3">
        <v>85.842132568359375</v>
      </c>
    </row>
    <row r="14" spans="1:6" x14ac:dyDescent="0.2">
      <c r="A14" s="6">
        <v>45</v>
      </c>
      <c r="B14" s="3">
        <v>38.14697265625</v>
      </c>
      <c r="C14" s="3">
        <v>0</v>
      </c>
      <c r="D14" s="3">
        <v>29.56390380859375</v>
      </c>
      <c r="E14" s="3">
        <v>1.9073486328125E-3</v>
      </c>
      <c r="F14" s="3">
        <v>67.712783813476562</v>
      </c>
    </row>
    <row r="15" spans="1:6" x14ac:dyDescent="0.2">
      <c r="A15" s="6">
        <v>50</v>
      </c>
      <c r="B15" s="3">
        <v>0</v>
      </c>
      <c r="C15" s="3">
        <v>0</v>
      </c>
      <c r="D15" s="3">
        <v>0</v>
      </c>
      <c r="E15" s="3">
        <v>1.239776611328125E-2</v>
      </c>
      <c r="F15" s="3">
        <v>1.239776611328125E-2</v>
      </c>
    </row>
    <row r="16" spans="1:6" x14ac:dyDescent="0.2">
      <c r="A16" s="6">
        <v>55</v>
      </c>
      <c r="B16" s="3">
        <v>57.220458984375</v>
      </c>
      <c r="C16" s="3">
        <v>0</v>
      </c>
      <c r="D16" s="3">
        <v>57.220458984375</v>
      </c>
      <c r="E16" s="3">
        <v>1.049041748046875E-2</v>
      </c>
      <c r="F16" s="3">
        <v>114.45140838623047</v>
      </c>
    </row>
    <row r="17" spans="1:6" x14ac:dyDescent="0.2">
      <c r="A17" s="6">
        <v>60</v>
      </c>
      <c r="B17" s="3">
        <v>47.6837158203125</v>
      </c>
      <c r="C17" s="3">
        <v>0</v>
      </c>
      <c r="D17" s="3">
        <v>47.6837158203125</v>
      </c>
      <c r="E17" s="3">
        <v>2.86102294921875E-3</v>
      </c>
      <c r="F17" s="3">
        <v>95.370292663574219</v>
      </c>
    </row>
    <row r="18" spans="1:6" x14ac:dyDescent="0.2">
      <c r="A18" s="6">
        <v>65</v>
      </c>
      <c r="B18" s="3">
        <v>28.6102294921875</v>
      </c>
      <c r="C18" s="3">
        <v>0</v>
      </c>
      <c r="D18" s="3">
        <v>28.6102294921875</v>
      </c>
      <c r="E18" s="3">
        <v>1.1444091796875E-2</v>
      </c>
      <c r="F18" s="3">
        <v>57.231903076171875</v>
      </c>
    </row>
    <row r="19" spans="1:6" x14ac:dyDescent="0.2">
      <c r="A19" s="6">
        <v>70</v>
      </c>
      <c r="B19" s="3">
        <v>0</v>
      </c>
      <c r="C19" s="3">
        <v>0</v>
      </c>
      <c r="D19" s="3">
        <v>0</v>
      </c>
      <c r="E19" s="3">
        <v>1.1444091796875E-2</v>
      </c>
      <c r="F19" s="3">
        <v>1.1444091796875E-2</v>
      </c>
    </row>
    <row r="20" spans="1:6" x14ac:dyDescent="0.2">
      <c r="A20" s="6">
        <v>75</v>
      </c>
      <c r="B20" s="3">
        <v>19.073486328125</v>
      </c>
      <c r="C20" s="3">
        <v>0</v>
      </c>
      <c r="D20" s="3">
        <v>19.073486328125</v>
      </c>
      <c r="E20" s="3">
        <v>1.1444091796875E-2</v>
      </c>
      <c r="F20" s="3">
        <v>38.158416748046875</v>
      </c>
    </row>
    <row r="21" spans="1:6" x14ac:dyDescent="0.2">
      <c r="A21" s="6">
        <v>80</v>
      </c>
      <c r="B21" s="3">
        <v>9.5367431640625</v>
      </c>
      <c r="C21" s="3">
        <v>9.5367431640625E-2</v>
      </c>
      <c r="D21" s="3">
        <v>8.58306884765625</v>
      </c>
      <c r="E21" s="3">
        <v>1.9073486328125E-3</v>
      </c>
      <c r="F21" s="3">
        <v>18.217086791992188</v>
      </c>
    </row>
    <row r="22" spans="1:6" x14ac:dyDescent="0.2">
      <c r="A22" s="6">
        <v>85</v>
      </c>
      <c r="B22" s="3">
        <v>0</v>
      </c>
      <c r="C22" s="3">
        <v>0</v>
      </c>
      <c r="D22" s="3">
        <v>6.67572021484375</v>
      </c>
      <c r="E22" s="3">
        <v>1.1444091796875E-2</v>
      </c>
      <c r="F22" s="3">
        <v>6.687164306640625</v>
      </c>
    </row>
    <row r="23" spans="1:6" x14ac:dyDescent="0.2">
      <c r="A23" s="6">
        <v>90</v>
      </c>
      <c r="B23" s="3">
        <v>0</v>
      </c>
      <c r="C23" s="3">
        <v>0</v>
      </c>
      <c r="D23" s="3">
        <v>0</v>
      </c>
      <c r="E23" s="3">
        <v>2.574920654296875E-2</v>
      </c>
      <c r="F23" s="3">
        <v>2.574920654296875E-2</v>
      </c>
    </row>
    <row r="24" spans="1:6" x14ac:dyDescent="0.2">
      <c r="A24" s="6">
        <v>95</v>
      </c>
      <c r="B24" s="3">
        <v>0</v>
      </c>
      <c r="C24" s="3">
        <v>0</v>
      </c>
      <c r="D24" s="3">
        <v>0</v>
      </c>
      <c r="E24" s="3">
        <v>1.52587890625E-2</v>
      </c>
      <c r="F24" s="3">
        <v>1.52587890625E-2</v>
      </c>
    </row>
    <row r="25" spans="1:6" x14ac:dyDescent="0.2">
      <c r="A25" s="6">
        <v>100</v>
      </c>
      <c r="B25" s="3">
        <v>19.073486328125</v>
      </c>
      <c r="C25" s="3">
        <v>0</v>
      </c>
      <c r="D25" s="3">
        <v>19.073486328125</v>
      </c>
      <c r="E25" s="3">
        <v>1.1444091796875E-2</v>
      </c>
      <c r="F25" s="3">
        <v>38.158416748046875</v>
      </c>
    </row>
    <row r="26" spans="1:6" x14ac:dyDescent="0.2">
      <c r="A26" s="6">
        <v>105</v>
      </c>
      <c r="B26" s="3">
        <v>0</v>
      </c>
      <c r="C26" s="3">
        <v>9.5367431640625E-2</v>
      </c>
      <c r="D26" s="3">
        <v>0</v>
      </c>
      <c r="E26" s="3">
        <v>2.86102294921875E-3</v>
      </c>
      <c r="F26" s="3">
        <v>9.822845458984375E-2</v>
      </c>
    </row>
    <row r="27" spans="1:6" x14ac:dyDescent="0.2">
      <c r="A27" s="6" t="s">
        <v>238</v>
      </c>
      <c r="B27" s="3">
        <v>448.2269287109375</v>
      </c>
      <c r="C27" s="3">
        <v>0.286102294921875</v>
      </c>
      <c r="D27" s="3">
        <v>446.319580078125</v>
      </c>
      <c r="E27" s="3">
        <v>0.217437744140625</v>
      </c>
      <c r="F27" s="3">
        <v>895.050048828125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71472-5454-8C42-A949-24050EF55F53}">
  <dimension ref="A1:F46"/>
  <sheetViews>
    <sheetView topLeftCell="A12" workbookViewId="0">
      <selection activeCell="A3" sqref="A3"/>
    </sheetView>
  </sheetViews>
  <sheetFormatPr baseColWidth="10" defaultRowHeight="16" x14ac:dyDescent="0.2"/>
  <cols>
    <col min="1" max="1" width="24.6640625" bestFit="1" customWidth="1"/>
    <col min="2" max="2" width="17" bestFit="1" customWidth="1"/>
    <col min="3" max="3" width="9.83203125" bestFit="1" customWidth="1"/>
    <col min="4" max="4" width="12.5" bestFit="1" customWidth="1"/>
    <col min="5" max="5" width="15.5" bestFit="1" customWidth="1"/>
  </cols>
  <sheetData>
    <row r="1" spans="1:6" x14ac:dyDescent="0.2">
      <c r="A1" s="5" t="s">
        <v>0</v>
      </c>
      <c r="B1" t="s">
        <v>73</v>
      </c>
    </row>
    <row r="3" spans="1:6" x14ac:dyDescent="0.2">
      <c r="A3" s="5" t="s">
        <v>239</v>
      </c>
      <c r="B3" s="5" t="s">
        <v>240</v>
      </c>
    </row>
    <row r="4" spans="1:6" x14ac:dyDescent="0.2">
      <c r="A4" s="5" t="s">
        <v>237</v>
      </c>
      <c r="B4" t="s">
        <v>15</v>
      </c>
      <c r="C4" t="s">
        <v>13</v>
      </c>
      <c r="D4" t="s">
        <v>19</v>
      </c>
      <c r="E4" t="s">
        <v>17</v>
      </c>
      <c r="F4" t="s">
        <v>238</v>
      </c>
    </row>
    <row r="5" spans="1:6" x14ac:dyDescent="0.2">
      <c r="A5" s="6">
        <v>0</v>
      </c>
      <c r="B5" s="3">
        <v>0</v>
      </c>
      <c r="C5" s="3">
        <v>0</v>
      </c>
      <c r="D5" s="3">
        <v>0</v>
      </c>
      <c r="E5" s="3">
        <v>0</v>
      </c>
      <c r="F5" s="3">
        <v>0</v>
      </c>
    </row>
    <row r="6" spans="1:6" x14ac:dyDescent="0.2">
      <c r="A6" s="6">
        <v>5</v>
      </c>
      <c r="B6" s="3">
        <v>0</v>
      </c>
      <c r="C6" s="3">
        <v>9.5367431640625E-2</v>
      </c>
      <c r="D6" s="3">
        <v>0</v>
      </c>
      <c r="E6" s="3">
        <v>2.002716064453125E-2</v>
      </c>
      <c r="F6" s="3">
        <v>0.11539459228515625</v>
      </c>
    </row>
    <row r="7" spans="1:6" x14ac:dyDescent="0.2">
      <c r="A7" s="6">
        <v>10</v>
      </c>
      <c r="B7" s="3">
        <v>9.5367431640625</v>
      </c>
      <c r="C7" s="3">
        <v>0</v>
      </c>
      <c r="D7" s="3">
        <v>0.95367431640625</v>
      </c>
      <c r="E7" s="3">
        <v>1.811981201171875E-2</v>
      </c>
      <c r="F7" s="3">
        <v>10.508537292480469</v>
      </c>
    </row>
    <row r="8" spans="1:6" x14ac:dyDescent="0.2">
      <c r="A8" s="6">
        <v>15</v>
      </c>
      <c r="B8" s="3">
        <v>57.220458984375</v>
      </c>
      <c r="C8" s="3">
        <v>0</v>
      </c>
      <c r="D8" s="3">
        <v>57.220458984375</v>
      </c>
      <c r="E8" s="3">
        <v>1.9073486328125E-3</v>
      </c>
      <c r="F8" s="3">
        <v>114.44282531738281</v>
      </c>
    </row>
    <row r="9" spans="1:6" x14ac:dyDescent="0.2">
      <c r="A9" s="6">
        <v>20</v>
      </c>
      <c r="B9" s="3">
        <v>47.6837158203125</v>
      </c>
      <c r="C9" s="3">
        <v>0</v>
      </c>
      <c r="D9" s="3">
        <v>57.220458984375</v>
      </c>
      <c r="E9" s="3">
        <v>1.1444091796875E-2</v>
      </c>
      <c r="F9" s="3">
        <v>104.91561889648438</v>
      </c>
    </row>
    <row r="10" spans="1:6" x14ac:dyDescent="0.2">
      <c r="A10" s="6">
        <v>25</v>
      </c>
      <c r="B10" s="3">
        <v>28.6102294921875</v>
      </c>
      <c r="C10" s="3">
        <v>0</v>
      </c>
      <c r="D10" s="3">
        <v>19.073486328125</v>
      </c>
      <c r="E10" s="3">
        <v>1.049041748046875E-2</v>
      </c>
      <c r="F10" s="3">
        <v>47.694206237792969</v>
      </c>
    </row>
    <row r="11" spans="1:6" x14ac:dyDescent="0.2">
      <c r="A11" s="6">
        <v>30</v>
      </c>
      <c r="B11" s="3">
        <v>28.6102294921875</v>
      </c>
      <c r="C11" s="3">
        <v>0</v>
      </c>
      <c r="D11" s="3">
        <v>28.6102294921875</v>
      </c>
      <c r="E11" s="3">
        <v>1.239776611328125E-2</v>
      </c>
      <c r="F11" s="3">
        <v>57.232856750488281</v>
      </c>
    </row>
    <row r="12" spans="1:6" x14ac:dyDescent="0.2">
      <c r="A12" s="6">
        <v>35</v>
      </c>
      <c r="B12" s="3">
        <v>57.220458984375</v>
      </c>
      <c r="C12" s="3">
        <v>0</v>
      </c>
      <c r="D12" s="3">
        <v>58.17413330078125</v>
      </c>
      <c r="E12" s="3">
        <v>1.9073486328125E-3</v>
      </c>
      <c r="F12" s="3">
        <v>115.39649963378906</v>
      </c>
    </row>
    <row r="13" spans="1:6" x14ac:dyDescent="0.2">
      <c r="A13" s="6">
        <v>40</v>
      </c>
      <c r="B13" s="3">
        <v>47.6837158203125</v>
      </c>
      <c r="C13" s="3">
        <v>0</v>
      </c>
      <c r="D13" s="3">
        <v>47.6837158203125</v>
      </c>
      <c r="E13" s="3">
        <v>1.049041748046875E-2</v>
      </c>
      <c r="F13" s="3">
        <v>95.377922058105469</v>
      </c>
    </row>
    <row r="14" spans="1:6" x14ac:dyDescent="0.2">
      <c r="A14" s="6">
        <v>45</v>
      </c>
      <c r="B14" s="3">
        <v>0</v>
      </c>
      <c r="C14" s="3">
        <v>0</v>
      </c>
      <c r="D14" s="3">
        <v>0</v>
      </c>
      <c r="E14" s="3">
        <v>1.9073486328125E-3</v>
      </c>
      <c r="F14" s="3">
        <v>1.9073486328125E-3</v>
      </c>
    </row>
    <row r="15" spans="1:6" x14ac:dyDescent="0.2">
      <c r="A15" s="6">
        <v>50</v>
      </c>
      <c r="B15" s="3">
        <v>19.073486328125</v>
      </c>
      <c r="C15" s="3">
        <v>0</v>
      </c>
      <c r="D15" s="3">
        <v>38.14697265625</v>
      </c>
      <c r="E15" s="3">
        <v>1.239776611328125E-2</v>
      </c>
      <c r="F15" s="3">
        <v>57.232856750488281</v>
      </c>
    </row>
    <row r="16" spans="1:6" x14ac:dyDescent="0.2">
      <c r="A16" s="6">
        <v>55</v>
      </c>
      <c r="B16" s="3">
        <v>85.8306884765625</v>
      </c>
      <c r="C16" s="3">
        <v>0</v>
      </c>
      <c r="D16" s="3">
        <v>47.6837158203125</v>
      </c>
      <c r="E16" s="3">
        <v>1.1444091796875E-2</v>
      </c>
      <c r="F16" s="3">
        <v>133.52584838867188</v>
      </c>
    </row>
    <row r="17" spans="1:6" x14ac:dyDescent="0.2">
      <c r="A17" s="6">
        <v>60</v>
      </c>
      <c r="B17" s="3">
        <v>28.6102294921875</v>
      </c>
      <c r="C17" s="3">
        <v>9.5367431640625E-2</v>
      </c>
      <c r="D17" s="3">
        <v>47.6837158203125</v>
      </c>
      <c r="E17" s="3">
        <v>1.049041748046875E-2</v>
      </c>
      <c r="F17" s="3">
        <v>76.399803161621094</v>
      </c>
    </row>
    <row r="18" spans="1:6" x14ac:dyDescent="0.2">
      <c r="A18" s="6">
        <v>65</v>
      </c>
      <c r="B18" s="3">
        <v>0</v>
      </c>
      <c r="C18" s="3">
        <v>0</v>
      </c>
      <c r="D18" s="3">
        <v>0</v>
      </c>
      <c r="E18" s="3">
        <v>2.86102294921875E-3</v>
      </c>
      <c r="F18" s="3">
        <v>2.86102294921875E-3</v>
      </c>
    </row>
    <row r="19" spans="1:6" x14ac:dyDescent="0.2">
      <c r="A19" s="6">
        <v>70</v>
      </c>
      <c r="B19" s="3">
        <v>47.6837158203125</v>
      </c>
      <c r="C19" s="3">
        <v>0</v>
      </c>
      <c r="D19" s="3">
        <v>47.6837158203125</v>
      </c>
      <c r="E19" s="3">
        <v>1.1444091796875E-2</v>
      </c>
      <c r="F19" s="3">
        <v>95.378875732421875</v>
      </c>
    </row>
    <row r="20" spans="1:6" x14ac:dyDescent="0.2">
      <c r="A20" s="6">
        <v>75</v>
      </c>
      <c r="B20" s="3">
        <v>47.6837158203125</v>
      </c>
      <c r="C20" s="3">
        <v>0</v>
      </c>
      <c r="D20" s="3">
        <v>47.6837158203125</v>
      </c>
      <c r="E20" s="3">
        <v>9.5367431640625E-4</v>
      </c>
      <c r="F20" s="3">
        <v>95.368385314941406</v>
      </c>
    </row>
    <row r="21" spans="1:6" x14ac:dyDescent="0.2">
      <c r="A21" s="6">
        <v>80</v>
      </c>
      <c r="B21" s="3">
        <v>28.6102294921875</v>
      </c>
      <c r="C21" s="3">
        <v>0</v>
      </c>
      <c r="D21" s="3">
        <v>29.56390380859375</v>
      </c>
      <c r="E21" s="3">
        <v>1.1444091796875E-2</v>
      </c>
      <c r="F21" s="3">
        <v>58.185577392578125</v>
      </c>
    </row>
    <row r="22" spans="1:6" x14ac:dyDescent="0.2">
      <c r="A22" s="6">
        <v>85</v>
      </c>
      <c r="B22" s="3">
        <v>0</v>
      </c>
      <c r="C22" s="3">
        <v>0</v>
      </c>
      <c r="D22" s="3">
        <v>0</v>
      </c>
      <c r="E22" s="3">
        <v>1.1444091796875E-2</v>
      </c>
      <c r="F22" s="3">
        <v>1.1444091796875E-2</v>
      </c>
    </row>
    <row r="23" spans="1:6" x14ac:dyDescent="0.2">
      <c r="A23" s="6">
        <v>90</v>
      </c>
      <c r="B23" s="3">
        <v>57.220458984375</v>
      </c>
      <c r="C23" s="3">
        <v>0</v>
      </c>
      <c r="D23" s="3">
        <v>57.220458984375</v>
      </c>
      <c r="E23" s="3">
        <v>1.239776611328125E-2</v>
      </c>
      <c r="F23" s="3">
        <v>114.45331573486328</v>
      </c>
    </row>
    <row r="24" spans="1:6" x14ac:dyDescent="0.2">
      <c r="A24" s="6">
        <v>95</v>
      </c>
      <c r="B24" s="3">
        <v>47.6837158203125</v>
      </c>
      <c r="C24" s="3">
        <v>0</v>
      </c>
      <c r="D24" s="3">
        <v>47.6837158203125</v>
      </c>
      <c r="E24" s="3">
        <v>1.9073486328125E-3</v>
      </c>
      <c r="F24" s="3">
        <v>95.369338989257812</v>
      </c>
    </row>
    <row r="25" spans="1:6" x14ac:dyDescent="0.2">
      <c r="A25" s="6">
        <v>100</v>
      </c>
      <c r="B25" s="3">
        <v>28.6102294921875</v>
      </c>
      <c r="C25" s="3">
        <v>0</v>
      </c>
      <c r="D25" s="3">
        <v>28.6102294921875</v>
      </c>
      <c r="E25" s="3">
        <v>1.049041748046875E-2</v>
      </c>
      <c r="F25" s="3">
        <v>57.230949401855469</v>
      </c>
    </row>
    <row r="26" spans="1:6" x14ac:dyDescent="0.2">
      <c r="A26" s="6">
        <v>105</v>
      </c>
      <c r="B26" s="3">
        <v>0</v>
      </c>
      <c r="C26" s="3">
        <v>0</v>
      </c>
      <c r="D26" s="3">
        <v>0</v>
      </c>
      <c r="E26" s="3">
        <v>1.239776611328125E-2</v>
      </c>
      <c r="F26" s="3">
        <v>1.239776611328125E-2</v>
      </c>
    </row>
    <row r="27" spans="1:6" x14ac:dyDescent="0.2">
      <c r="A27" s="6">
        <v>110</v>
      </c>
      <c r="B27" s="3">
        <v>66.7572021484375</v>
      </c>
      <c r="C27" s="3">
        <v>0</v>
      </c>
      <c r="D27" s="3">
        <v>57.220458984375</v>
      </c>
      <c r="E27" s="3">
        <v>1.9073486328125E-3</v>
      </c>
      <c r="F27" s="3">
        <v>123.97956848144531</v>
      </c>
    </row>
    <row r="28" spans="1:6" x14ac:dyDescent="0.2">
      <c r="A28" s="6">
        <v>115</v>
      </c>
      <c r="B28" s="3">
        <v>66.7572021484375</v>
      </c>
      <c r="C28" s="3">
        <v>0</v>
      </c>
      <c r="D28" s="3">
        <v>67.71087646484375</v>
      </c>
      <c r="E28" s="3">
        <v>1.1444091796875E-2</v>
      </c>
      <c r="F28" s="3">
        <v>134.47952270507812</v>
      </c>
    </row>
    <row r="29" spans="1:6" x14ac:dyDescent="0.2">
      <c r="A29" s="6">
        <v>120</v>
      </c>
      <c r="B29" s="3">
        <v>0</v>
      </c>
      <c r="C29" s="3">
        <v>9.5367431640625E-2</v>
      </c>
      <c r="D29" s="3">
        <v>9.5367431640625</v>
      </c>
      <c r="E29" s="3">
        <v>1.239776611328125E-2</v>
      </c>
      <c r="F29" s="3">
        <v>9.6445083618164062</v>
      </c>
    </row>
    <row r="30" spans="1:6" x14ac:dyDescent="0.2">
      <c r="A30" s="6">
        <v>125</v>
      </c>
      <c r="B30" s="3">
        <v>57.220458984375</v>
      </c>
      <c r="C30" s="3">
        <v>0</v>
      </c>
      <c r="D30" s="3">
        <v>57.220458984375</v>
      </c>
      <c r="E30" s="3">
        <v>9.5367431640625E-4</v>
      </c>
      <c r="F30" s="3">
        <v>114.44187164306641</v>
      </c>
    </row>
    <row r="31" spans="1:6" x14ac:dyDescent="0.2">
      <c r="A31" s="6">
        <v>130</v>
      </c>
      <c r="B31" s="3">
        <v>47.6837158203125</v>
      </c>
      <c r="C31" s="3">
        <v>0</v>
      </c>
      <c r="D31" s="3">
        <v>47.6837158203125</v>
      </c>
      <c r="E31" s="3">
        <v>1.1444091796875E-2</v>
      </c>
      <c r="F31" s="3">
        <v>95.378875732421875</v>
      </c>
    </row>
    <row r="32" spans="1:6" x14ac:dyDescent="0.2">
      <c r="A32" s="6">
        <v>135</v>
      </c>
      <c r="B32" s="3">
        <v>19.073486328125</v>
      </c>
      <c r="C32" s="3">
        <v>0</v>
      </c>
      <c r="D32" s="3">
        <v>29.56390380859375</v>
      </c>
      <c r="E32" s="3">
        <v>1.1444091796875E-2</v>
      </c>
      <c r="F32" s="3">
        <v>48.648834228515625</v>
      </c>
    </row>
    <row r="33" spans="1:6" x14ac:dyDescent="0.2">
      <c r="A33" s="6">
        <v>140</v>
      </c>
      <c r="B33" s="3">
        <v>0</v>
      </c>
      <c r="C33" s="3">
        <v>0</v>
      </c>
      <c r="D33" s="3">
        <v>0</v>
      </c>
      <c r="E33" s="3">
        <v>1.239776611328125E-2</v>
      </c>
      <c r="F33" s="3">
        <v>1.239776611328125E-2</v>
      </c>
    </row>
    <row r="34" spans="1:6" x14ac:dyDescent="0.2">
      <c r="A34" s="6">
        <v>145</v>
      </c>
      <c r="B34" s="3">
        <v>66.7572021484375</v>
      </c>
      <c r="C34" s="3">
        <v>0</v>
      </c>
      <c r="D34" s="3">
        <v>57.220458984375</v>
      </c>
      <c r="E34" s="3">
        <v>9.5367431640625E-4</v>
      </c>
      <c r="F34" s="3">
        <v>123.97861480712891</v>
      </c>
    </row>
    <row r="35" spans="1:6" x14ac:dyDescent="0.2">
      <c r="A35" s="6">
        <v>150</v>
      </c>
      <c r="B35" s="3">
        <v>57.220458984375</v>
      </c>
      <c r="C35" s="3">
        <v>0</v>
      </c>
      <c r="D35" s="3">
        <v>57.220458984375</v>
      </c>
      <c r="E35" s="3">
        <v>1.239776611328125E-2</v>
      </c>
      <c r="F35" s="3">
        <v>114.45331573486328</v>
      </c>
    </row>
    <row r="36" spans="1:6" x14ac:dyDescent="0.2">
      <c r="A36" s="6">
        <v>155</v>
      </c>
      <c r="B36" s="3">
        <v>9.5367431640625</v>
      </c>
      <c r="C36" s="3">
        <v>0</v>
      </c>
      <c r="D36" s="3">
        <v>9.5367431640625</v>
      </c>
      <c r="E36" s="3">
        <v>1.049041748046875E-2</v>
      </c>
      <c r="F36" s="3">
        <v>19.083976745605469</v>
      </c>
    </row>
    <row r="37" spans="1:6" x14ac:dyDescent="0.2">
      <c r="A37" s="6">
        <v>160</v>
      </c>
      <c r="B37" s="3">
        <v>0</v>
      </c>
      <c r="C37" s="3">
        <v>0</v>
      </c>
      <c r="D37" s="3">
        <v>1.9073486328125</v>
      </c>
      <c r="E37" s="3">
        <v>2.86102294921875E-3</v>
      </c>
      <c r="F37" s="3">
        <v>1.9102096557617188</v>
      </c>
    </row>
    <row r="38" spans="1:6" x14ac:dyDescent="0.2">
      <c r="A38" s="6">
        <v>165</v>
      </c>
      <c r="B38" s="3">
        <v>9.5367431640625</v>
      </c>
      <c r="C38" s="3">
        <v>0</v>
      </c>
      <c r="D38" s="3">
        <v>10.49041748046875</v>
      </c>
      <c r="E38" s="3">
        <v>1.1444091796875E-2</v>
      </c>
      <c r="F38" s="3">
        <v>20.038604736328125</v>
      </c>
    </row>
    <row r="39" spans="1:6" x14ac:dyDescent="0.2">
      <c r="A39" s="6">
        <v>170</v>
      </c>
      <c r="B39" s="3">
        <v>19.073486328125</v>
      </c>
      <c r="C39" s="3">
        <v>0</v>
      </c>
      <c r="D39" s="3">
        <v>19.073486328125</v>
      </c>
      <c r="E39" s="3">
        <v>1.1444091796875E-2</v>
      </c>
      <c r="F39" s="3">
        <v>38.158416748046875</v>
      </c>
    </row>
    <row r="40" spans="1:6" x14ac:dyDescent="0.2">
      <c r="A40" s="6">
        <v>175</v>
      </c>
      <c r="B40" s="3">
        <v>9.5367431640625</v>
      </c>
      <c r="C40" s="3">
        <v>0</v>
      </c>
      <c r="D40" s="3">
        <v>10.49041748046875</v>
      </c>
      <c r="E40" s="3">
        <v>1.9073486328125E-3</v>
      </c>
      <c r="F40" s="3">
        <v>20.029067993164062</v>
      </c>
    </row>
    <row r="41" spans="1:6" x14ac:dyDescent="0.2">
      <c r="A41" s="6">
        <v>180</v>
      </c>
      <c r="B41" s="3">
        <v>9.5367431640625</v>
      </c>
      <c r="C41" s="3">
        <v>9.5367431640625E-2</v>
      </c>
      <c r="D41" s="3">
        <v>2.86102294921875</v>
      </c>
      <c r="E41" s="3">
        <v>1.430511474609375E-2</v>
      </c>
      <c r="F41" s="3">
        <v>12.507438659667969</v>
      </c>
    </row>
    <row r="42" spans="1:6" x14ac:dyDescent="0.2">
      <c r="A42" s="6">
        <v>185</v>
      </c>
      <c r="B42" s="3">
        <v>0</v>
      </c>
      <c r="C42" s="3">
        <v>0</v>
      </c>
      <c r="D42" s="3">
        <v>0</v>
      </c>
      <c r="E42" s="3">
        <v>2.288818359375E-2</v>
      </c>
      <c r="F42" s="3">
        <v>2.288818359375E-2</v>
      </c>
    </row>
    <row r="43" spans="1:6" x14ac:dyDescent="0.2">
      <c r="A43" s="6">
        <v>190</v>
      </c>
      <c r="B43" s="3">
        <v>9.5367431640625</v>
      </c>
      <c r="C43" s="3">
        <v>0</v>
      </c>
      <c r="D43" s="3">
        <v>0</v>
      </c>
      <c r="E43" s="3">
        <v>1.33514404296875E-2</v>
      </c>
      <c r="F43" s="3">
        <v>9.5500946044921875</v>
      </c>
    </row>
    <row r="44" spans="1:6" x14ac:dyDescent="0.2">
      <c r="A44" s="6">
        <v>195</v>
      </c>
      <c r="B44" s="3">
        <v>38.14697265625</v>
      </c>
      <c r="C44" s="3">
        <v>0</v>
      </c>
      <c r="D44" s="3">
        <v>47.6837158203125</v>
      </c>
      <c r="E44" s="3">
        <v>1.1444091796875E-2</v>
      </c>
      <c r="F44" s="3">
        <v>85.842132568359375</v>
      </c>
    </row>
    <row r="45" spans="1:6" x14ac:dyDescent="0.2">
      <c r="A45" s="6">
        <v>200</v>
      </c>
      <c r="B45" s="3">
        <v>0</v>
      </c>
      <c r="C45" s="3">
        <v>0</v>
      </c>
      <c r="D45" s="3">
        <v>0</v>
      </c>
      <c r="E45" s="3">
        <v>1.239776611328125E-2</v>
      </c>
      <c r="F45" s="3">
        <v>1.239776611328125E-2</v>
      </c>
    </row>
    <row r="46" spans="1:6" x14ac:dyDescent="0.2">
      <c r="A46" s="6" t="s">
        <v>238</v>
      </c>
      <c r="B46" s="3">
        <v>1153.9459228515625</v>
      </c>
      <c r="C46" s="3">
        <v>0.3814697265625</v>
      </c>
      <c r="D46" s="3">
        <v>1146.3165283203125</v>
      </c>
      <c r="E46" s="3">
        <v>0.38623809814453125</v>
      </c>
      <c r="F46" s="3">
        <v>2301.030158996582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E3541-CFF4-F54F-A23A-6F1B18118C64}">
  <dimension ref="A1"/>
  <sheetViews>
    <sheetView workbookViewId="0">
      <selection activeCell="O15" sqref="O15"/>
    </sheetView>
  </sheetViews>
  <sheetFormatPr baseColWidth="10" defaultRowHeight="16" x14ac:dyDescent="0.2"/>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56A78-579A-1246-9F3C-91B048345731}">
  <dimension ref="A3:F46"/>
  <sheetViews>
    <sheetView topLeftCell="D1" workbookViewId="0">
      <selection activeCell="A3" sqref="A3"/>
    </sheetView>
  </sheetViews>
  <sheetFormatPr baseColWidth="10" defaultRowHeight="16" x14ac:dyDescent="0.2"/>
  <cols>
    <col min="1" max="1" width="23" bestFit="1" customWidth="1"/>
    <col min="2" max="2" width="15.5" bestFit="1" customWidth="1"/>
    <col min="3" max="3" width="10.6640625" bestFit="1" customWidth="1"/>
    <col min="4" max="4" width="14.6640625" bestFit="1" customWidth="1"/>
    <col min="5" max="5" width="20.6640625" bestFit="1" customWidth="1"/>
    <col min="6" max="6" width="10.83203125" bestFit="1" customWidth="1"/>
    <col min="7" max="7" width="23" bestFit="1" customWidth="1"/>
    <col min="8" max="8" width="24.6640625" bestFit="1" customWidth="1"/>
    <col min="9" max="9" width="23" bestFit="1" customWidth="1"/>
    <col min="10" max="10" width="29.5" bestFit="1" customWidth="1"/>
    <col min="11" max="11" width="27.83203125" bestFit="1" customWidth="1"/>
    <col min="12" max="12" width="14.6640625" bestFit="1" customWidth="1"/>
    <col min="13" max="13" width="10.6640625" bestFit="1" customWidth="1"/>
    <col min="14" max="14" width="14.6640625" bestFit="1" customWidth="1"/>
    <col min="15" max="15" width="20.6640625" bestFit="1" customWidth="1"/>
    <col min="16" max="16" width="17.33203125" bestFit="1" customWidth="1"/>
    <col min="17" max="17" width="17.6640625" bestFit="1" customWidth="1"/>
    <col min="18" max="18" width="10.6640625" bestFit="1" customWidth="1"/>
    <col min="19" max="19" width="14.6640625" bestFit="1" customWidth="1"/>
    <col min="20" max="20" width="20.6640625" bestFit="1" customWidth="1"/>
    <col min="21" max="21" width="20.33203125" bestFit="1" customWidth="1"/>
  </cols>
  <sheetData>
    <row r="3" spans="1:6" x14ac:dyDescent="0.2">
      <c r="A3" s="5" t="s">
        <v>241</v>
      </c>
      <c r="B3" s="5" t="s">
        <v>240</v>
      </c>
    </row>
    <row r="4" spans="1:6" x14ac:dyDescent="0.2">
      <c r="A4" s="5" t="s">
        <v>237</v>
      </c>
      <c r="B4" t="s">
        <v>34</v>
      </c>
      <c r="C4" t="s">
        <v>12</v>
      </c>
      <c r="D4" t="s">
        <v>73</v>
      </c>
      <c r="E4" t="s">
        <v>182</v>
      </c>
      <c r="F4" t="s">
        <v>238</v>
      </c>
    </row>
    <row r="5" spans="1:6" x14ac:dyDescent="0.2">
      <c r="A5" s="6">
        <v>0</v>
      </c>
      <c r="B5" s="3">
        <v>0</v>
      </c>
      <c r="C5" s="3">
        <v>0</v>
      </c>
      <c r="D5" s="3">
        <v>0</v>
      </c>
      <c r="E5" s="3">
        <v>0</v>
      </c>
      <c r="F5" s="3">
        <v>0</v>
      </c>
    </row>
    <row r="6" spans="1:6" x14ac:dyDescent="0.2">
      <c r="A6" s="6">
        <v>5</v>
      </c>
      <c r="B6" s="3">
        <v>1.9073486328125E-2</v>
      </c>
      <c r="C6" s="3">
        <v>9.555816650390625</v>
      </c>
      <c r="D6" s="3">
        <v>0.11539459228515625</v>
      </c>
      <c r="E6" s="3">
        <v>2.09808349609375E-2</v>
      </c>
      <c r="F6" s="3">
        <v>9.7112655639648438</v>
      </c>
    </row>
    <row r="7" spans="1:6" x14ac:dyDescent="0.2">
      <c r="A7" s="6">
        <v>10</v>
      </c>
      <c r="B7" s="3">
        <v>3.814697265625E-2</v>
      </c>
      <c r="C7" s="3">
        <v>9.5739364624023438</v>
      </c>
      <c r="D7" s="3">
        <v>10.623931884765625</v>
      </c>
      <c r="E7" s="3">
        <v>9.5643997192382812</v>
      </c>
      <c r="F7" s="3">
        <v>29.8004150390625</v>
      </c>
    </row>
    <row r="8" spans="1:6" x14ac:dyDescent="0.2">
      <c r="A8" s="6">
        <v>15</v>
      </c>
      <c r="B8" s="3">
        <v>133.56399536132812</v>
      </c>
      <c r="C8" s="3">
        <v>28.658866882324219</v>
      </c>
      <c r="D8" s="3">
        <v>125.06675720214844</v>
      </c>
      <c r="E8" s="3">
        <v>104.94327545166016</v>
      </c>
      <c r="F8" s="3">
        <v>392.23289489746094</v>
      </c>
    </row>
    <row r="9" spans="1:6" x14ac:dyDescent="0.2">
      <c r="A9" s="6">
        <v>20</v>
      </c>
      <c r="B9" s="3">
        <v>229.88700866699219</v>
      </c>
      <c r="C9" s="3">
        <v>29.723167419433594</v>
      </c>
      <c r="D9" s="3">
        <v>229.98237609863281</v>
      </c>
      <c r="E9" s="3">
        <v>181.34403228759766</v>
      </c>
      <c r="F9" s="3">
        <v>670.93658447265625</v>
      </c>
    </row>
    <row r="10" spans="1:6" x14ac:dyDescent="0.2">
      <c r="A10" s="6">
        <v>25</v>
      </c>
      <c r="B10" s="3">
        <v>287.11795806884766</v>
      </c>
      <c r="C10" s="3">
        <v>29.745101928710938</v>
      </c>
      <c r="D10" s="3">
        <v>277.67658233642578</v>
      </c>
      <c r="E10" s="3">
        <v>277.66704559326172</v>
      </c>
      <c r="F10" s="3">
        <v>872.20668792724609</v>
      </c>
    </row>
    <row r="11" spans="1:6" x14ac:dyDescent="0.2">
      <c r="A11" s="6">
        <v>30</v>
      </c>
      <c r="B11" s="3">
        <v>287.13035583496094</v>
      </c>
      <c r="C11" s="3">
        <v>29.760360717773438</v>
      </c>
      <c r="D11" s="3">
        <v>334.90943908691406</v>
      </c>
      <c r="E11" s="3">
        <v>277.679443359375</v>
      </c>
      <c r="F11" s="3">
        <v>929.47959899902344</v>
      </c>
    </row>
    <row r="12" spans="1:6" x14ac:dyDescent="0.2">
      <c r="A12" s="6">
        <v>35</v>
      </c>
      <c r="B12" s="3">
        <v>401.5731811523433</v>
      </c>
      <c r="C12" s="3">
        <v>30.7159423828125</v>
      </c>
      <c r="D12" s="3">
        <v>450.30593872070312</v>
      </c>
      <c r="E12" s="3">
        <v>373.05736541748047</v>
      </c>
      <c r="F12" s="3">
        <v>1255.6524276733394</v>
      </c>
    </row>
    <row r="13" spans="1:6" x14ac:dyDescent="0.2">
      <c r="A13" s="6">
        <v>40</v>
      </c>
      <c r="B13" s="3">
        <v>506.58321380615234</v>
      </c>
      <c r="C13" s="3"/>
      <c r="D13" s="3">
        <v>545.68386077880859</v>
      </c>
      <c r="E13" s="3">
        <v>458.89949798583984</v>
      </c>
      <c r="F13" s="3">
        <v>1511.1665725708008</v>
      </c>
    </row>
    <row r="14" spans="1:6" x14ac:dyDescent="0.2">
      <c r="A14" s="6">
        <v>45</v>
      </c>
      <c r="B14" s="3">
        <v>554.27837371826172</v>
      </c>
      <c r="C14" s="3"/>
      <c r="D14" s="3">
        <v>545.68576812744141</v>
      </c>
      <c r="E14" s="3">
        <v>526.61228179931641</v>
      </c>
      <c r="F14" s="3">
        <v>1626.5764236450195</v>
      </c>
    </row>
    <row r="15" spans="1:6" x14ac:dyDescent="0.2">
      <c r="A15" s="6">
        <v>50</v>
      </c>
      <c r="B15" s="3">
        <v>580.03997802734375</v>
      </c>
      <c r="C15" s="3"/>
      <c r="D15" s="3">
        <v>602.91862487792969</v>
      </c>
      <c r="E15" s="3">
        <v>526.62467956542969</v>
      </c>
      <c r="F15" s="3">
        <v>1709.5832824707031</v>
      </c>
    </row>
    <row r="16" spans="1:6" x14ac:dyDescent="0.2">
      <c r="A16" s="6">
        <v>55</v>
      </c>
      <c r="B16" s="3">
        <v>624.86457824707031</v>
      </c>
      <c r="C16" s="3"/>
      <c r="D16" s="3">
        <v>736.44447326660156</v>
      </c>
      <c r="E16" s="3">
        <v>641.07608795166016</v>
      </c>
      <c r="F16" s="3">
        <v>2002.385139465332</v>
      </c>
    </row>
    <row r="17" spans="1:6" x14ac:dyDescent="0.2">
      <c r="A17" s="6">
        <v>60</v>
      </c>
      <c r="B17" s="3">
        <v>624.88937377929688</v>
      </c>
      <c r="C17" s="3"/>
      <c r="D17" s="3">
        <v>812.84427642822266</v>
      </c>
      <c r="E17" s="3">
        <v>736.44638061523438</v>
      </c>
      <c r="F17" s="3">
        <v>2174.1800308227539</v>
      </c>
    </row>
    <row r="18" spans="1:6" x14ac:dyDescent="0.2">
      <c r="A18" s="6">
        <v>65</v>
      </c>
      <c r="B18" s="3">
        <v>624.90463256835938</v>
      </c>
      <c r="C18" s="3"/>
      <c r="D18" s="3">
        <v>812.84713745117188</v>
      </c>
      <c r="E18" s="3">
        <v>793.67828369140625</v>
      </c>
      <c r="F18" s="3">
        <v>2231.4300537109375</v>
      </c>
    </row>
    <row r="19" spans="1:6" x14ac:dyDescent="0.2">
      <c r="A19" s="6">
        <v>70</v>
      </c>
      <c r="B19" s="3">
        <v>682.23190307617188</v>
      </c>
      <c r="C19" s="3"/>
      <c r="D19" s="3">
        <v>908.22601318359375</v>
      </c>
      <c r="E19" s="3">
        <v>793.68972778320312</v>
      </c>
      <c r="F19" s="3">
        <v>2384.1476440429688</v>
      </c>
    </row>
    <row r="20" spans="1:6" x14ac:dyDescent="0.2">
      <c r="A20" s="6">
        <v>75</v>
      </c>
      <c r="B20" s="3">
        <v>682.24334716796875</v>
      </c>
      <c r="C20" s="3"/>
      <c r="D20" s="3">
        <v>1003.5943984985352</v>
      </c>
      <c r="E20" s="3">
        <v>831.84814453125</v>
      </c>
      <c r="F20" s="3">
        <v>2517.6858901977539</v>
      </c>
    </row>
    <row r="21" spans="1:6" x14ac:dyDescent="0.2">
      <c r="A21" s="6">
        <v>80</v>
      </c>
      <c r="B21" s="3"/>
      <c r="C21" s="3"/>
      <c r="D21" s="3">
        <v>1061.7799758911133</v>
      </c>
      <c r="E21" s="3">
        <v>850.06523132324219</v>
      </c>
      <c r="F21" s="3">
        <v>1911.8452072143555</v>
      </c>
    </row>
    <row r="22" spans="1:6" x14ac:dyDescent="0.2">
      <c r="A22" s="6">
        <v>85</v>
      </c>
      <c r="B22" s="3"/>
      <c r="C22" s="3"/>
      <c r="D22" s="3">
        <v>1061.7914199829102</v>
      </c>
      <c r="E22" s="3">
        <v>856.75239562988281</v>
      </c>
      <c r="F22" s="3">
        <v>1918.543815612793</v>
      </c>
    </row>
    <row r="23" spans="1:6" x14ac:dyDescent="0.2">
      <c r="A23" s="6">
        <v>90</v>
      </c>
      <c r="B23" s="3"/>
      <c r="C23" s="3"/>
      <c r="D23" s="3">
        <v>1176.2447357177734</v>
      </c>
      <c r="E23" s="3">
        <v>856.77814483642578</v>
      </c>
      <c r="F23" s="3">
        <v>2033.0228805541992</v>
      </c>
    </row>
    <row r="24" spans="1:6" x14ac:dyDescent="0.2">
      <c r="A24" s="6">
        <v>95</v>
      </c>
      <c r="B24" s="3"/>
      <c r="C24" s="3"/>
      <c r="D24" s="3">
        <v>1271.6140747070312</v>
      </c>
      <c r="E24" s="3">
        <v>856.79340362548828</v>
      </c>
      <c r="F24" s="3">
        <v>2128.4074783325195</v>
      </c>
    </row>
    <row r="25" spans="1:6" x14ac:dyDescent="0.2">
      <c r="A25" s="6">
        <v>100</v>
      </c>
      <c r="B25" s="3"/>
      <c r="C25" s="3"/>
      <c r="D25" s="3">
        <v>1328.8450241088867</v>
      </c>
      <c r="E25" s="3">
        <v>894.95182037353516</v>
      </c>
      <c r="F25" s="3">
        <v>2223.7968444824219</v>
      </c>
    </row>
    <row r="26" spans="1:6" x14ac:dyDescent="0.2">
      <c r="A26" s="6">
        <v>105</v>
      </c>
      <c r="B26" s="3"/>
      <c r="C26" s="3"/>
      <c r="D26" s="3">
        <v>1328.857421875</v>
      </c>
      <c r="E26" s="3">
        <v>895.050048828125</v>
      </c>
      <c r="F26" s="3">
        <v>2223.907470703125</v>
      </c>
    </row>
    <row r="27" spans="1:6" x14ac:dyDescent="0.2">
      <c r="A27" s="6">
        <v>110</v>
      </c>
      <c r="B27" s="3"/>
      <c r="C27" s="3"/>
      <c r="D27" s="3">
        <v>1452.8369903564453</v>
      </c>
      <c r="E27" s="3"/>
      <c r="F27" s="3">
        <v>1452.8369903564453</v>
      </c>
    </row>
    <row r="28" spans="1:6" x14ac:dyDescent="0.2">
      <c r="A28" s="6">
        <v>115</v>
      </c>
      <c r="B28" s="3"/>
      <c r="C28" s="3"/>
      <c r="D28" s="3">
        <v>1587.3165130615234</v>
      </c>
      <c r="E28" s="3"/>
      <c r="F28" s="3">
        <v>1587.3165130615234</v>
      </c>
    </row>
    <row r="29" spans="1:6" x14ac:dyDescent="0.2">
      <c r="A29" s="6">
        <v>120</v>
      </c>
      <c r="B29" s="3"/>
      <c r="C29" s="3"/>
      <c r="D29" s="3">
        <v>1596.9610214233398</v>
      </c>
      <c r="E29" s="3"/>
      <c r="F29" s="3">
        <v>1596.9610214233398</v>
      </c>
    </row>
    <row r="30" spans="1:6" x14ac:dyDescent="0.2">
      <c r="A30" s="6">
        <v>125</v>
      </c>
      <c r="B30" s="3"/>
      <c r="C30" s="3"/>
      <c r="D30" s="3">
        <v>1711.4028930664062</v>
      </c>
      <c r="E30" s="3"/>
      <c r="F30" s="3">
        <v>1711.4028930664062</v>
      </c>
    </row>
    <row r="31" spans="1:6" x14ac:dyDescent="0.2">
      <c r="A31" s="6">
        <v>130</v>
      </c>
      <c r="B31" s="3"/>
      <c r="C31" s="3"/>
      <c r="D31" s="3">
        <v>1806.7817687988281</v>
      </c>
      <c r="E31" s="3"/>
      <c r="F31" s="3">
        <v>1806.7817687988281</v>
      </c>
    </row>
    <row r="32" spans="1:6" x14ac:dyDescent="0.2">
      <c r="A32" s="6">
        <v>135</v>
      </c>
      <c r="B32" s="3"/>
      <c r="C32" s="3"/>
      <c r="D32" s="3">
        <v>1855.4306030273438</v>
      </c>
      <c r="E32" s="3"/>
      <c r="F32" s="3">
        <v>1855.4306030273438</v>
      </c>
    </row>
    <row r="33" spans="1:6" x14ac:dyDescent="0.2">
      <c r="A33" s="6">
        <v>140</v>
      </c>
      <c r="B33" s="3"/>
      <c r="C33" s="3"/>
      <c r="D33" s="3">
        <v>1855.443000793457</v>
      </c>
      <c r="E33" s="3"/>
      <c r="F33" s="3">
        <v>1855.443000793457</v>
      </c>
    </row>
    <row r="34" spans="1:6" x14ac:dyDescent="0.2">
      <c r="A34" s="6">
        <v>145</v>
      </c>
      <c r="B34" s="3"/>
      <c r="C34" s="3"/>
      <c r="D34" s="3">
        <v>1979.4216156005859</v>
      </c>
      <c r="E34" s="3"/>
      <c r="F34" s="3">
        <v>1979.4216156005859</v>
      </c>
    </row>
    <row r="35" spans="1:6" x14ac:dyDescent="0.2">
      <c r="A35" s="6">
        <v>150</v>
      </c>
      <c r="B35" s="3"/>
      <c r="C35" s="3"/>
      <c r="D35" s="3">
        <v>2093.8749313354492</v>
      </c>
      <c r="E35" s="3"/>
      <c r="F35" s="3">
        <v>2093.8749313354492</v>
      </c>
    </row>
    <row r="36" spans="1:6" x14ac:dyDescent="0.2">
      <c r="A36" s="6">
        <v>155</v>
      </c>
      <c r="B36" s="3"/>
      <c r="C36" s="3"/>
      <c r="D36" s="3">
        <v>2112.9589080810547</v>
      </c>
      <c r="E36" s="3"/>
      <c r="F36" s="3">
        <v>2112.9589080810547</v>
      </c>
    </row>
    <row r="37" spans="1:6" x14ac:dyDescent="0.2">
      <c r="A37" s="6">
        <v>160</v>
      </c>
      <c r="B37" s="3"/>
      <c r="C37" s="3"/>
      <c r="D37" s="3">
        <v>2114.8691177368164</v>
      </c>
      <c r="E37" s="3"/>
      <c r="F37" s="3">
        <v>2114.8691177368164</v>
      </c>
    </row>
    <row r="38" spans="1:6" x14ac:dyDescent="0.2">
      <c r="A38" s="6">
        <v>165</v>
      </c>
      <c r="B38" s="3"/>
      <c r="C38" s="3"/>
      <c r="D38" s="3">
        <v>2134.9077224731445</v>
      </c>
      <c r="E38" s="3"/>
      <c r="F38" s="3">
        <v>2134.9077224731445</v>
      </c>
    </row>
    <row r="39" spans="1:6" x14ac:dyDescent="0.2">
      <c r="A39" s="6">
        <v>170</v>
      </c>
      <c r="B39" s="3"/>
      <c r="C39" s="3"/>
      <c r="D39" s="3">
        <v>2173.0661392211914</v>
      </c>
      <c r="E39" s="3"/>
      <c r="F39" s="3">
        <v>2173.0661392211914</v>
      </c>
    </row>
    <row r="40" spans="1:6" x14ac:dyDescent="0.2">
      <c r="A40" s="6">
        <v>175</v>
      </c>
      <c r="B40" s="3"/>
      <c r="C40" s="3"/>
      <c r="D40" s="3">
        <v>2193.0952072143555</v>
      </c>
      <c r="E40" s="3"/>
      <c r="F40" s="3">
        <v>2193.0952072143555</v>
      </c>
    </row>
    <row r="41" spans="1:6" x14ac:dyDescent="0.2">
      <c r="A41" s="6">
        <v>180</v>
      </c>
      <c r="B41" s="3"/>
      <c r="C41" s="3"/>
      <c r="D41" s="3">
        <v>2205.6026458740234</v>
      </c>
      <c r="E41" s="3"/>
      <c r="F41" s="3">
        <v>2205.6026458740234</v>
      </c>
    </row>
    <row r="42" spans="1:6" x14ac:dyDescent="0.2">
      <c r="A42" s="6">
        <v>185</v>
      </c>
      <c r="B42" s="3"/>
      <c r="C42" s="3"/>
      <c r="D42" s="3">
        <v>2205.6255340576172</v>
      </c>
      <c r="E42" s="3"/>
      <c r="F42" s="3">
        <v>2205.6255340576172</v>
      </c>
    </row>
    <row r="43" spans="1:6" x14ac:dyDescent="0.2">
      <c r="A43" s="6">
        <v>190</v>
      </c>
      <c r="B43" s="3"/>
      <c r="C43" s="3"/>
      <c r="D43" s="3">
        <v>2215.1756286621094</v>
      </c>
      <c r="E43" s="3"/>
      <c r="F43" s="3">
        <v>2215.1756286621094</v>
      </c>
    </row>
    <row r="44" spans="1:6" x14ac:dyDescent="0.2">
      <c r="A44" s="6">
        <v>195</v>
      </c>
      <c r="B44" s="3"/>
      <c r="C44" s="3"/>
      <c r="D44" s="3">
        <v>2301.0177612304688</v>
      </c>
      <c r="E44" s="3"/>
      <c r="F44" s="3">
        <v>2301.0177612304688</v>
      </c>
    </row>
    <row r="45" spans="1:6" x14ac:dyDescent="0.2">
      <c r="A45" s="6">
        <v>200</v>
      </c>
      <c r="B45" s="3"/>
      <c r="C45" s="3"/>
      <c r="D45" s="3">
        <v>2301.030158996582</v>
      </c>
      <c r="E45" s="3"/>
      <c r="F45" s="3">
        <v>2301.030158996582</v>
      </c>
    </row>
    <row r="46" spans="1:6" x14ac:dyDescent="0.2">
      <c r="A46" s="6" t="s">
        <v>238</v>
      </c>
      <c r="B46" s="3">
        <v>6219.365119934082</v>
      </c>
      <c r="C46" s="3">
        <v>167.73319244384766</v>
      </c>
      <c r="D46" s="3">
        <v>52522.875785827637</v>
      </c>
      <c r="E46" s="3">
        <v>11743.542671203613</v>
      </c>
      <c r="F46" s="3">
        <v>70653.51676940918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022CC-07E3-4644-8A8E-678A938D48AF}">
  <dimension ref="A3:F46"/>
  <sheetViews>
    <sheetView tabSelected="1" topLeftCell="D1" workbookViewId="0">
      <selection activeCell="I26" sqref="I26"/>
    </sheetView>
  </sheetViews>
  <sheetFormatPr baseColWidth="10" defaultRowHeight="16" x14ac:dyDescent="0.2"/>
  <cols>
    <col min="1" max="1" width="24.6640625" bestFit="1" customWidth="1"/>
    <col min="2" max="2" width="15.5" bestFit="1" customWidth="1"/>
    <col min="3" max="3" width="10.6640625" bestFit="1" customWidth="1"/>
    <col min="4" max="4" width="14.6640625" bestFit="1" customWidth="1"/>
    <col min="5" max="5" width="20.6640625" bestFit="1" customWidth="1"/>
    <col min="6" max="6" width="10.83203125" bestFit="1" customWidth="1"/>
    <col min="7" max="7" width="23" bestFit="1" customWidth="1"/>
    <col min="8" max="8" width="24.6640625" bestFit="1" customWidth="1"/>
    <col min="9" max="9" width="23" bestFit="1" customWidth="1"/>
    <col min="10" max="10" width="29.5" bestFit="1" customWidth="1"/>
    <col min="11" max="11" width="27.83203125" bestFit="1" customWidth="1"/>
    <col min="12" max="12" width="14.6640625" bestFit="1" customWidth="1"/>
    <col min="13" max="13" width="10.6640625" bestFit="1" customWidth="1"/>
    <col min="14" max="14" width="14.6640625" bestFit="1" customWidth="1"/>
    <col min="15" max="15" width="20.6640625" bestFit="1" customWidth="1"/>
    <col min="16" max="16" width="17.33203125" bestFit="1" customWidth="1"/>
    <col min="17" max="17" width="17.6640625" bestFit="1" customWidth="1"/>
    <col min="18" max="18" width="10.6640625" bestFit="1" customWidth="1"/>
    <col min="19" max="19" width="14.6640625" bestFit="1" customWidth="1"/>
    <col min="20" max="20" width="20.6640625" bestFit="1" customWidth="1"/>
    <col min="21" max="21" width="20.33203125" bestFit="1" customWidth="1"/>
  </cols>
  <sheetData>
    <row r="3" spans="1:6" x14ac:dyDescent="0.2">
      <c r="A3" s="5" t="s">
        <v>239</v>
      </c>
      <c r="B3" s="5" t="s">
        <v>240</v>
      </c>
    </row>
    <row r="4" spans="1:6" x14ac:dyDescent="0.2">
      <c r="A4" s="5" t="s">
        <v>237</v>
      </c>
      <c r="B4" t="s">
        <v>34</v>
      </c>
      <c r="C4" t="s">
        <v>12</v>
      </c>
      <c r="D4" t="s">
        <v>73</v>
      </c>
      <c r="E4" t="s">
        <v>182</v>
      </c>
      <c r="F4" t="s">
        <v>238</v>
      </c>
    </row>
    <row r="5" spans="1:6" x14ac:dyDescent="0.2">
      <c r="A5" s="6">
        <v>0</v>
      </c>
      <c r="B5" s="3">
        <v>0</v>
      </c>
      <c r="C5" s="3">
        <v>0</v>
      </c>
      <c r="D5" s="3">
        <v>0</v>
      </c>
      <c r="E5" s="3">
        <v>0</v>
      </c>
      <c r="F5" s="3">
        <v>0</v>
      </c>
    </row>
    <row r="6" spans="1:6" x14ac:dyDescent="0.2">
      <c r="A6" s="6">
        <v>5</v>
      </c>
      <c r="B6" s="3">
        <v>1.9073486328125E-2</v>
      </c>
      <c r="C6" s="3">
        <v>9.555816650390625</v>
      </c>
      <c r="D6" s="3">
        <v>0.11539459228515625</v>
      </c>
      <c r="E6" s="3">
        <v>2.09808349609375E-2</v>
      </c>
      <c r="F6" s="3">
        <v>9.7112655639648438</v>
      </c>
    </row>
    <row r="7" spans="1:6" x14ac:dyDescent="0.2">
      <c r="A7" s="6">
        <v>10</v>
      </c>
      <c r="B7" s="3">
        <v>1.9073486328125E-2</v>
      </c>
      <c r="C7" s="3">
        <v>1.811981201171875E-2</v>
      </c>
      <c r="D7" s="3">
        <v>10.508537292480469</v>
      </c>
      <c r="E7" s="3">
        <v>9.5434188842773438</v>
      </c>
      <c r="F7" s="3">
        <v>20.089149475097656</v>
      </c>
    </row>
    <row r="8" spans="1:6" x14ac:dyDescent="0.2">
      <c r="A8" s="6">
        <v>15</v>
      </c>
      <c r="B8" s="3">
        <v>133.52584838867188</v>
      </c>
      <c r="C8" s="3">
        <v>19.084930419921875</v>
      </c>
      <c r="D8" s="3">
        <v>114.44282531738281</v>
      </c>
      <c r="E8" s="3">
        <v>95.378875732421875</v>
      </c>
      <c r="F8" s="3">
        <v>362.43247985839844</v>
      </c>
    </row>
    <row r="9" spans="1:6" x14ac:dyDescent="0.2">
      <c r="A9" s="6">
        <v>20</v>
      </c>
      <c r="B9" s="3">
        <v>96.323013305664062</v>
      </c>
      <c r="C9" s="3">
        <v>1.064300537109375</v>
      </c>
      <c r="D9" s="3">
        <v>104.91561889648438</v>
      </c>
      <c r="E9" s="3">
        <v>76.4007568359375</v>
      </c>
      <c r="F9" s="3">
        <v>278.70368957519531</v>
      </c>
    </row>
    <row r="10" spans="1:6" x14ac:dyDescent="0.2">
      <c r="A10" s="6">
        <v>25</v>
      </c>
      <c r="B10" s="3">
        <v>57.230949401855469</v>
      </c>
      <c r="C10" s="3">
        <v>2.193450927734375E-2</v>
      </c>
      <c r="D10" s="3">
        <v>47.694206237792969</v>
      </c>
      <c r="E10" s="3">
        <v>96.323013305664062</v>
      </c>
      <c r="F10" s="3">
        <v>201.27010345458984</v>
      </c>
    </row>
    <row r="11" spans="1:6" x14ac:dyDescent="0.2">
      <c r="A11" s="6">
        <v>30</v>
      </c>
      <c r="B11" s="3">
        <v>1.239776611328125E-2</v>
      </c>
      <c r="C11" s="3">
        <v>1.52587890625E-2</v>
      </c>
      <c r="D11" s="3">
        <v>57.232856750488281</v>
      </c>
      <c r="E11" s="3">
        <v>1.239776611328125E-2</v>
      </c>
      <c r="F11" s="3">
        <v>57.272911071777344</v>
      </c>
    </row>
    <row r="12" spans="1:6" x14ac:dyDescent="0.2">
      <c r="A12" s="6">
        <v>35</v>
      </c>
      <c r="B12" s="3">
        <v>114.44282531738236</v>
      </c>
      <c r="C12" s="3">
        <v>0.9555816650390625</v>
      </c>
      <c r="D12" s="3">
        <v>115.39649963378906</v>
      </c>
      <c r="E12" s="3">
        <v>95.377922058105469</v>
      </c>
      <c r="F12" s="3">
        <v>326.17282867431595</v>
      </c>
    </row>
    <row r="13" spans="1:6" x14ac:dyDescent="0.2">
      <c r="A13" s="6">
        <v>40</v>
      </c>
      <c r="B13" s="3">
        <v>105.01003265380905</v>
      </c>
      <c r="C13" s="3"/>
      <c r="D13" s="3">
        <v>95.377922058105469</v>
      </c>
      <c r="E13" s="3">
        <v>85.842132568359375</v>
      </c>
      <c r="F13" s="3">
        <v>286.23008728027389</v>
      </c>
    </row>
    <row r="14" spans="1:6" x14ac:dyDescent="0.2">
      <c r="A14" s="6">
        <v>45</v>
      </c>
      <c r="B14" s="3">
        <v>47.695159912109375</v>
      </c>
      <c r="C14" s="3"/>
      <c r="D14" s="3">
        <v>1.9073486328125E-3</v>
      </c>
      <c r="E14" s="3">
        <v>67.712783813476562</v>
      </c>
      <c r="F14" s="3">
        <v>115.40985107421875</v>
      </c>
    </row>
    <row r="15" spans="1:6" x14ac:dyDescent="0.2">
      <c r="A15" s="6">
        <v>50</v>
      </c>
      <c r="B15" s="3">
        <v>25.761604309082031</v>
      </c>
      <c r="C15" s="3"/>
      <c r="D15" s="3">
        <v>57.232856750488281</v>
      </c>
      <c r="E15" s="3">
        <v>1.239776611328125E-2</v>
      </c>
      <c r="F15" s="3">
        <v>83.006858825683594</v>
      </c>
    </row>
    <row r="16" spans="1:6" x14ac:dyDescent="0.2">
      <c r="A16" s="6">
        <v>55</v>
      </c>
      <c r="B16" s="3">
        <v>44.824600219726562</v>
      </c>
      <c r="C16" s="3"/>
      <c r="D16" s="3">
        <v>133.52584838867188</v>
      </c>
      <c r="E16" s="3">
        <v>114.45140838623047</v>
      </c>
      <c r="F16" s="3">
        <v>292.80185699462891</v>
      </c>
    </row>
    <row r="17" spans="1:6" x14ac:dyDescent="0.2">
      <c r="A17" s="6">
        <v>60</v>
      </c>
      <c r="B17" s="3">
        <v>2.47955322265625E-2</v>
      </c>
      <c r="C17" s="3"/>
      <c r="D17" s="3">
        <v>76.399803161621094</v>
      </c>
      <c r="E17" s="3">
        <v>95.370292663574219</v>
      </c>
      <c r="F17" s="3">
        <v>171.79489135742188</v>
      </c>
    </row>
    <row r="18" spans="1:6" x14ac:dyDescent="0.2">
      <c r="A18" s="6">
        <v>65</v>
      </c>
      <c r="B18" s="3">
        <v>1.52587890625E-2</v>
      </c>
      <c r="C18" s="3"/>
      <c r="D18" s="3">
        <v>2.86102294921875E-3</v>
      </c>
      <c r="E18" s="3">
        <v>57.231903076171875</v>
      </c>
      <c r="F18" s="3">
        <v>57.250022888183594</v>
      </c>
    </row>
    <row r="19" spans="1:6" x14ac:dyDescent="0.2">
      <c r="A19" s="6">
        <v>70</v>
      </c>
      <c r="B19" s="3">
        <v>57.3272705078125</v>
      </c>
      <c r="C19" s="3"/>
      <c r="D19" s="3">
        <v>95.378875732421875</v>
      </c>
      <c r="E19" s="3">
        <v>1.1444091796875E-2</v>
      </c>
      <c r="F19" s="3">
        <v>152.71759033203125</v>
      </c>
    </row>
    <row r="20" spans="1:6" x14ac:dyDescent="0.2">
      <c r="A20" s="6">
        <v>75</v>
      </c>
      <c r="B20" s="3">
        <v>1.1444091796875E-2</v>
      </c>
      <c r="C20" s="3"/>
      <c r="D20" s="3">
        <v>95.368385314941406</v>
      </c>
      <c r="E20" s="3">
        <v>38.158416748046875</v>
      </c>
      <c r="F20" s="3">
        <v>133.53824615478516</v>
      </c>
    </row>
    <row r="21" spans="1:6" x14ac:dyDescent="0.2">
      <c r="A21" s="6">
        <v>80</v>
      </c>
      <c r="B21" s="3"/>
      <c r="C21" s="3"/>
      <c r="D21" s="3">
        <v>58.185577392578125</v>
      </c>
      <c r="E21" s="3">
        <v>18.217086791992188</v>
      </c>
      <c r="F21" s="3">
        <v>76.402664184570312</v>
      </c>
    </row>
    <row r="22" spans="1:6" x14ac:dyDescent="0.2">
      <c r="A22" s="6">
        <v>85</v>
      </c>
      <c r="B22" s="3"/>
      <c r="C22" s="3"/>
      <c r="D22" s="3">
        <v>1.1444091796875E-2</v>
      </c>
      <c r="E22" s="3">
        <v>6.687164306640625</v>
      </c>
      <c r="F22" s="3">
        <v>6.6986083984375</v>
      </c>
    </row>
    <row r="23" spans="1:6" x14ac:dyDescent="0.2">
      <c r="A23" s="6">
        <v>90</v>
      </c>
      <c r="B23" s="3"/>
      <c r="C23" s="3"/>
      <c r="D23" s="3">
        <v>114.45331573486328</v>
      </c>
      <c r="E23" s="3">
        <v>2.574920654296875E-2</v>
      </c>
      <c r="F23" s="3">
        <v>114.47906494140625</v>
      </c>
    </row>
    <row r="24" spans="1:6" x14ac:dyDescent="0.2">
      <c r="A24" s="6">
        <v>95</v>
      </c>
      <c r="B24" s="3"/>
      <c r="C24" s="3"/>
      <c r="D24" s="3">
        <v>95.369338989257812</v>
      </c>
      <c r="E24" s="3">
        <v>1.52587890625E-2</v>
      </c>
      <c r="F24" s="3">
        <v>95.384597778320312</v>
      </c>
    </row>
    <row r="25" spans="1:6" x14ac:dyDescent="0.2">
      <c r="A25" s="6">
        <v>100</v>
      </c>
      <c r="B25" s="3"/>
      <c r="C25" s="3"/>
      <c r="D25" s="3">
        <v>57.230949401855469</v>
      </c>
      <c r="E25" s="3">
        <v>38.158416748046875</v>
      </c>
      <c r="F25" s="3">
        <v>95.389366149902344</v>
      </c>
    </row>
    <row r="26" spans="1:6" x14ac:dyDescent="0.2">
      <c r="A26" s="6">
        <v>105</v>
      </c>
      <c r="B26" s="3"/>
      <c r="C26" s="3"/>
      <c r="D26" s="3">
        <v>1.239776611328125E-2</v>
      </c>
      <c r="E26" s="3">
        <v>9.822845458984375E-2</v>
      </c>
      <c r="F26" s="3">
        <v>0.110626220703125</v>
      </c>
    </row>
    <row r="27" spans="1:6" x14ac:dyDescent="0.2">
      <c r="A27" s="6">
        <v>110</v>
      </c>
      <c r="B27" s="3"/>
      <c r="C27" s="3"/>
      <c r="D27" s="3">
        <v>123.97956848144531</v>
      </c>
      <c r="E27" s="3"/>
      <c r="F27" s="3">
        <v>123.97956848144531</v>
      </c>
    </row>
    <row r="28" spans="1:6" x14ac:dyDescent="0.2">
      <c r="A28" s="6">
        <v>115</v>
      </c>
      <c r="B28" s="3"/>
      <c r="C28" s="3"/>
      <c r="D28" s="3">
        <v>134.47952270507812</v>
      </c>
      <c r="E28" s="3"/>
      <c r="F28" s="3">
        <v>134.47952270507812</v>
      </c>
    </row>
    <row r="29" spans="1:6" x14ac:dyDescent="0.2">
      <c r="A29" s="6">
        <v>120</v>
      </c>
      <c r="B29" s="3"/>
      <c r="C29" s="3"/>
      <c r="D29" s="3">
        <v>9.6445083618164062</v>
      </c>
      <c r="E29" s="3"/>
      <c r="F29" s="3">
        <v>9.6445083618164062</v>
      </c>
    </row>
    <row r="30" spans="1:6" x14ac:dyDescent="0.2">
      <c r="A30" s="6">
        <v>125</v>
      </c>
      <c r="B30" s="3"/>
      <c r="C30" s="3"/>
      <c r="D30" s="3">
        <v>114.44187164306641</v>
      </c>
      <c r="E30" s="3"/>
      <c r="F30" s="3">
        <v>114.44187164306641</v>
      </c>
    </row>
    <row r="31" spans="1:6" x14ac:dyDescent="0.2">
      <c r="A31" s="6">
        <v>130</v>
      </c>
      <c r="B31" s="3"/>
      <c r="C31" s="3"/>
      <c r="D31" s="3">
        <v>95.378875732421875</v>
      </c>
      <c r="E31" s="3"/>
      <c r="F31" s="3">
        <v>95.378875732421875</v>
      </c>
    </row>
    <row r="32" spans="1:6" x14ac:dyDescent="0.2">
      <c r="A32" s="6">
        <v>135</v>
      </c>
      <c r="B32" s="3"/>
      <c r="C32" s="3"/>
      <c r="D32" s="3">
        <v>48.648834228515625</v>
      </c>
      <c r="E32" s="3"/>
      <c r="F32" s="3">
        <v>48.648834228515625</v>
      </c>
    </row>
    <row r="33" spans="1:6" x14ac:dyDescent="0.2">
      <c r="A33" s="6">
        <v>140</v>
      </c>
      <c r="B33" s="3"/>
      <c r="C33" s="3"/>
      <c r="D33" s="3">
        <v>1.239776611328125E-2</v>
      </c>
      <c r="E33" s="3"/>
      <c r="F33" s="3">
        <v>1.239776611328125E-2</v>
      </c>
    </row>
    <row r="34" spans="1:6" x14ac:dyDescent="0.2">
      <c r="A34" s="6">
        <v>145</v>
      </c>
      <c r="B34" s="3"/>
      <c r="C34" s="3"/>
      <c r="D34" s="3">
        <v>123.97861480712891</v>
      </c>
      <c r="E34" s="3"/>
      <c r="F34" s="3">
        <v>123.97861480712891</v>
      </c>
    </row>
    <row r="35" spans="1:6" x14ac:dyDescent="0.2">
      <c r="A35" s="6">
        <v>150</v>
      </c>
      <c r="B35" s="3"/>
      <c r="C35" s="3"/>
      <c r="D35" s="3">
        <v>114.45331573486328</v>
      </c>
      <c r="E35" s="3"/>
      <c r="F35" s="3">
        <v>114.45331573486328</v>
      </c>
    </row>
    <row r="36" spans="1:6" x14ac:dyDescent="0.2">
      <c r="A36" s="6">
        <v>155</v>
      </c>
      <c r="B36" s="3"/>
      <c r="C36" s="3"/>
      <c r="D36" s="3">
        <v>19.083976745605469</v>
      </c>
      <c r="E36" s="3"/>
      <c r="F36" s="3">
        <v>19.083976745605469</v>
      </c>
    </row>
    <row r="37" spans="1:6" x14ac:dyDescent="0.2">
      <c r="A37" s="6">
        <v>160</v>
      </c>
      <c r="B37" s="3"/>
      <c r="C37" s="3"/>
      <c r="D37" s="3">
        <v>1.9102096557617188</v>
      </c>
      <c r="E37" s="3"/>
      <c r="F37" s="3">
        <v>1.9102096557617188</v>
      </c>
    </row>
    <row r="38" spans="1:6" x14ac:dyDescent="0.2">
      <c r="A38" s="6">
        <v>165</v>
      </c>
      <c r="B38" s="3"/>
      <c r="C38" s="3"/>
      <c r="D38" s="3">
        <v>20.038604736328125</v>
      </c>
      <c r="E38" s="3"/>
      <c r="F38" s="3">
        <v>20.038604736328125</v>
      </c>
    </row>
    <row r="39" spans="1:6" x14ac:dyDescent="0.2">
      <c r="A39" s="6">
        <v>170</v>
      </c>
      <c r="B39" s="3"/>
      <c r="C39" s="3"/>
      <c r="D39" s="3">
        <v>38.158416748046875</v>
      </c>
      <c r="E39" s="3"/>
      <c r="F39" s="3">
        <v>38.158416748046875</v>
      </c>
    </row>
    <row r="40" spans="1:6" x14ac:dyDescent="0.2">
      <c r="A40" s="6">
        <v>175</v>
      </c>
      <c r="B40" s="3"/>
      <c r="C40" s="3"/>
      <c r="D40" s="3">
        <v>20.029067993164062</v>
      </c>
      <c r="E40" s="3"/>
      <c r="F40" s="3">
        <v>20.029067993164062</v>
      </c>
    </row>
    <row r="41" spans="1:6" x14ac:dyDescent="0.2">
      <c r="A41" s="6">
        <v>180</v>
      </c>
      <c r="B41" s="3"/>
      <c r="C41" s="3"/>
      <c r="D41" s="3">
        <v>12.507438659667969</v>
      </c>
      <c r="E41" s="3"/>
      <c r="F41" s="3">
        <v>12.507438659667969</v>
      </c>
    </row>
    <row r="42" spans="1:6" x14ac:dyDescent="0.2">
      <c r="A42" s="6">
        <v>185</v>
      </c>
      <c r="B42" s="3"/>
      <c r="C42" s="3"/>
      <c r="D42" s="3">
        <v>2.288818359375E-2</v>
      </c>
      <c r="E42" s="3"/>
      <c r="F42" s="3">
        <v>2.288818359375E-2</v>
      </c>
    </row>
    <row r="43" spans="1:6" x14ac:dyDescent="0.2">
      <c r="A43" s="6">
        <v>190</v>
      </c>
      <c r="B43" s="3"/>
      <c r="C43" s="3"/>
      <c r="D43" s="3">
        <v>9.5500946044921875</v>
      </c>
      <c r="E43" s="3"/>
      <c r="F43" s="3">
        <v>9.5500946044921875</v>
      </c>
    </row>
    <row r="44" spans="1:6" x14ac:dyDescent="0.2">
      <c r="A44" s="6">
        <v>195</v>
      </c>
      <c r="B44" s="3"/>
      <c r="C44" s="3"/>
      <c r="D44" s="3">
        <v>85.842132568359375</v>
      </c>
      <c r="E44" s="3"/>
      <c r="F44" s="3">
        <v>85.842132568359375</v>
      </c>
    </row>
    <row r="45" spans="1:6" x14ac:dyDescent="0.2">
      <c r="A45" s="6">
        <v>200</v>
      </c>
      <c r="B45" s="3"/>
      <c r="C45" s="3"/>
      <c r="D45" s="3">
        <v>1.239776611328125E-2</v>
      </c>
      <c r="E45" s="3"/>
      <c r="F45" s="3">
        <v>1.239776611328125E-2</v>
      </c>
    </row>
    <row r="46" spans="1:6" x14ac:dyDescent="0.2">
      <c r="A46" s="6" t="s">
        <v>238</v>
      </c>
      <c r="B46" s="3">
        <v>682.24334716796875</v>
      </c>
      <c r="C46" s="3">
        <v>30.7159423828125</v>
      </c>
      <c r="D46" s="3">
        <v>2301.030158996582</v>
      </c>
      <c r="E46" s="3">
        <v>895.050048828125</v>
      </c>
      <c r="F46" s="3">
        <v>3909.0394973754883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Sheet2</vt:lpstr>
      <vt:lpstr>Sheet1</vt:lpstr>
      <vt:lpstr>Sheet1 (2)</vt:lpstr>
      <vt:lpstr>Sheet1 (3)</vt:lpstr>
      <vt:lpstr>Sheet1 (4)</vt:lpstr>
      <vt:lpstr>Sheet1 (5)</vt:lpstr>
      <vt:lpstr>Sheet8</vt:lpstr>
      <vt:lpstr>Sheet1 (6)</vt:lpstr>
      <vt:lpstr>Sheet1 (7)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WEERASINGHE P D L L</cp:lastModifiedBy>
  <dcterms:modified xsi:type="dcterms:W3CDTF">2025-12-31T15:33:38Z</dcterms:modified>
</cp:coreProperties>
</file>