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olitha/Documents/MSC/BigData/Assignment/Final2/Task_1/comparison/pre_optimization/netio/"/>
    </mc:Choice>
  </mc:AlternateContent>
  <xr:revisionPtr revIDLastSave="0" documentId="13_ncr:1_{4DC7AFEF-A992-7D4A-8C8E-3EB4E1027D30}" xr6:coauthVersionLast="47" xr6:coauthVersionMax="47" xr10:uidLastSave="{00000000-0000-0000-0000-000000000000}"/>
  <bookViews>
    <workbookView xWindow="0" yWindow="620" windowWidth="28800" windowHeight="16240" activeTab="7" xr2:uid="{00000000-000D-0000-FFFF-FFFF00000000}"/>
  </bookViews>
  <sheets>
    <sheet name="Sheet1" sheetId="1" r:id="rId1"/>
    <sheet name="Sheet3" sheetId="3" r:id="rId2"/>
    <sheet name="Email-EuAll" sheetId="9" r:id="rId3"/>
    <sheet name="cit-Patents" sheetId="10" r:id="rId4"/>
    <sheet name="Sheet3 (4)" sheetId="11" r:id="rId5"/>
    <sheet name="Sheet3 (5)" sheetId="12" r:id="rId6"/>
    <sheet name="Sheet13" sheetId="13" r:id="rId7"/>
    <sheet name="Sheet3 (6)" sheetId="15" r:id="rId8"/>
  </sheets>
  <definedNames>
    <definedName name="Slicer_dataset">#N/A</definedName>
    <definedName name="Slicer_dataset1">#N/A</definedName>
    <definedName name="Slicer_dataset11">#N/A</definedName>
    <definedName name="Slicer_dataset111">#N/A</definedName>
    <definedName name="Slicer_dataset1111">#N/A</definedName>
    <definedName name="Slicer_dataset11111">#N/A</definedName>
  </definedNames>
  <calcPr calcId="191029"/>
  <pivotCaches>
    <pivotCache cacheId="195"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a="1"/>
  <c r="E3" i="1" s="1"/>
  <c r="E4" i="1" a="1"/>
  <c r="E4" i="1" s="1"/>
  <c r="E5" i="1" a="1"/>
  <c r="E5" i="1" s="1"/>
  <c r="J5" i="1" s="1"/>
  <c r="E6" i="1" a="1"/>
  <c r="E6" i="1" s="1"/>
  <c r="J6" i="1" s="1"/>
  <c r="E7" i="1" a="1"/>
  <c r="E7" i="1" s="1"/>
  <c r="E8" i="1" a="1"/>
  <c r="E8" i="1" s="1"/>
  <c r="E9" i="1" a="1"/>
  <c r="E9" i="1" s="1"/>
  <c r="J9" i="1" s="1"/>
  <c r="E10" i="1" a="1"/>
  <c r="E10" i="1" s="1"/>
  <c r="J10" i="1" s="1"/>
  <c r="E11" i="1" a="1"/>
  <c r="E11" i="1" s="1"/>
  <c r="E12" i="1" a="1"/>
  <c r="E12" i="1" s="1"/>
  <c r="E13" i="1" a="1"/>
  <c r="E13" i="1" s="1"/>
  <c r="J13" i="1" s="1"/>
  <c r="E14" i="1" a="1"/>
  <c r="E14" i="1" s="1"/>
  <c r="J14" i="1" s="1"/>
  <c r="E15" i="1" a="1"/>
  <c r="E15" i="1" s="1"/>
  <c r="E16" i="1" a="1"/>
  <c r="E16" i="1" s="1"/>
  <c r="E17" i="1" a="1"/>
  <c r="E17" i="1" s="1"/>
  <c r="J17" i="1" s="1"/>
  <c r="E18" i="1" a="1"/>
  <c r="E18" i="1" s="1"/>
  <c r="J18" i="1" s="1"/>
  <c r="E19" i="1" a="1"/>
  <c r="E19" i="1" s="1"/>
  <c r="E20" i="1" a="1"/>
  <c r="E20" i="1" s="1"/>
  <c r="E21" i="1" a="1"/>
  <c r="E21" i="1" s="1"/>
  <c r="E22" i="1" a="1"/>
  <c r="E22" i="1" s="1"/>
  <c r="J22" i="1" s="1"/>
  <c r="E23" i="1" a="1"/>
  <c r="E23" i="1" s="1"/>
  <c r="E24" i="1" a="1"/>
  <c r="E24" i="1" s="1"/>
  <c r="E25" i="1" a="1"/>
  <c r="E25" i="1" s="1"/>
  <c r="J25" i="1" s="1"/>
  <c r="E2" i="1" a="1"/>
  <c r="E2" i="1" s="1"/>
  <c r="J2" i="1" s="1"/>
  <c r="G25" i="1"/>
  <c r="F25" i="1"/>
  <c r="H25" i="1" s="1"/>
  <c r="I25" i="1" s="1"/>
  <c r="G24" i="1"/>
  <c r="F24" i="1"/>
  <c r="H24" i="1" s="1"/>
  <c r="H23" i="1"/>
  <c r="G23" i="1"/>
  <c r="F23" i="1"/>
  <c r="G22" i="1"/>
  <c r="F22" i="1"/>
  <c r="H22" i="1" s="1"/>
  <c r="I22" i="1" s="1"/>
  <c r="G21" i="1"/>
  <c r="F21" i="1"/>
  <c r="H21" i="1" s="1"/>
  <c r="I21" i="1" s="1"/>
  <c r="G20" i="1"/>
  <c r="F20" i="1"/>
  <c r="H20" i="1" s="1"/>
  <c r="H19" i="1"/>
  <c r="G19" i="1"/>
  <c r="F19" i="1"/>
  <c r="G18" i="1"/>
  <c r="F18" i="1"/>
  <c r="H18" i="1" s="1"/>
  <c r="I18" i="1" s="1"/>
  <c r="G17" i="1"/>
  <c r="F17" i="1"/>
  <c r="H17" i="1" s="1"/>
  <c r="I17" i="1" s="1"/>
  <c r="G16" i="1"/>
  <c r="F16" i="1"/>
  <c r="H16" i="1" s="1"/>
  <c r="H15" i="1"/>
  <c r="G15" i="1"/>
  <c r="F15" i="1"/>
  <c r="G14" i="1"/>
  <c r="F14" i="1"/>
  <c r="H14" i="1" s="1"/>
  <c r="I14" i="1" s="1"/>
  <c r="G13" i="1"/>
  <c r="F13" i="1"/>
  <c r="H13" i="1" s="1"/>
  <c r="I13" i="1" s="1"/>
  <c r="G12" i="1"/>
  <c r="F12" i="1"/>
  <c r="H12" i="1" s="1"/>
  <c r="H11" i="1"/>
  <c r="G11" i="1"/>
  <c r="F11" i="1"/>
  <c r="G10" i="1"/>
  <c r="F10" i="1"/>
  <c r="H10" i="1" s="1"/>
  <c r="I10" i="1" s="1"/>
  <c r="G9" i="1"/>
  <c r="F9" i="1"/>
  <c r="H9" i="1" s="1"/>
  <c r="I9" i="1" s="1"/>
  <c r="G8" i="1"/>
  <c r="F8" i="1"/>
  <c r="H8" i="1" s="1"/>
  <c r="H7" i="1"/>
  <c r="I7" i="1" s="1"/>
  <c r="G7" i="1"/>
  <c r="F7" i="1"/>
  <c r="G6" i="1"/>
  <c r="F6" i="1"/>
  <c r="H6" i="1" s="1"/>
  <c r="I6" i="1" s="1"/>
  <c r="G5" i="1"/>
  <c r="F5" i="1"/>
  <c r="H5" i="1" s="1"/>
  <c r="I5" i="1" s="1"/>
  <c r="G4" i="1"/>
  <c r="F4" i="1"/>
  <c r="H4" i="1" s="1"/>
  <c r="H3" i="1"/>
  <c r="G3" i="1"/>
  <c r="F3" i="1"/>
  <c r="G2" i="1"/>
  <c r="F2" i="1"/>
  <c r="H2" i="1" s="1"/>
  <c r="I2" i="1" s="1"/>
  <c r="J11" i="1" l="1"/>
  <c r="J23" i="1"/>
  <c r="J15" i="1"/>
  <c r="J3" i="1"/>
  <c r="J19" i="1"/>
  <c r="J16" i="1"/>
  <c r="I16" i="1"/>
  <c r="J24" i="1"/>
  <c r="I24" i="1"/>
  <c r="J12" i="1"/>
  <c r="I12" i="1"/>
  <c r="J21" i="1"/>
  <c r="I4" i="1"/>
  <c r="J4" i="1"/>
  <c r="J20" i="1"/>
  <c r="I20" i="1"/>
  <c r="I8" i="1"/>
  <c r="J8" i="1"/>
  <c r="I11" i="1"/>
  <c r="I19" i="1"/>
  <c r="I3" i="1"/>
  <c r="I23" i="1"/>
  <c r="J7" i="1"/>
  <c r="I1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<sst xmlns="http://schemas.openxmlformats.org/spreadsheetml/2006/main" count="136" uniqueCount="44">
  <si>
    <t>dataset</t>
  </si>
  <si>
    <t>timestamp</t>
  </si>
  <si>
    <t>container</t>
  </si>
  <si>
    <t>net_io</t>
  </si>
  <si>
    <t>elapsed_s</t>
  </si>
  <si>
    <t>net_rx_mib</t>
  </si>
  <si>
    <t>net_tx_mib</t>
  </si>
  <si>
    <t>net_total_mib</t>
  </si>
  <si>
    <t>net_total_mib_job</t>
  </si>
  <si>
    <t>net_total_mib_delta</t>
  </si>
  <si>
    <t>Email-EuAll</t>
  </si>
  <si>
    <t>spark-master</t>
  </si>
  <si>
    <t>7.46kB / 2.2kB</t>
  </si>
  <si>
    <t>spark-worker</t>
  </si>
  <si>
    <t>8.36kB / 7.02kB</t>
  </si>
  <si>
    <t>cit-Patents</t>
  </si>
  <si>
    <t>119kB / 282kB</t>
  </si>
  <si>
    <t>279kB / 116kB</t>
  </si>
  <si>
    <t>140kB / 424kB</t>
  </si>
  <si>
    <t>426kB / 139kB</t>
  </si>
  <si>
    <t>262kB / 628kB</t>
  </si>
  <si>
    <t>630kB / 260kB</t>
  </si>
  <si>
    <t>soc-LiveJournal1</t>
  </si>
  <si>
    <t>285kB / 775kB</t>
  </si>
  <si>
    <t>777kB / 283kB</t>
  </si>
  <si>
    <t>327kB / 882kB</t>
  </si>
  <si>
    <t>862kB / 317kB</t>
  </si>
  <si>
    <t>374kB / 1e+03kB</t>
  </si>
  <si>
    <t>980kB / 364kB</t>
  </si>
  <si>
    <t>423kB / 1.09MB</t>
  </si>
  <si>
    <t>1.04MB / 406kB</t>
  </si>
  <si>
    <t>soc-pokec-relationships</t>
  </si>
  <si>
    <t>514kB / 1.23MB</t>
  </si>
  <si>
    <t>1.24MB / 512kB</t>
  </si>
  <si>
    <t>538kB / 1.38MB</t>
  </si>
  <si>
    <t>1.38MB / 536kB</t>
  </si>
  <si>
    <t>571kB / 1.44MB</t>
  </si>
  <si>
    <t>1.48MB / 587kB</t>
  </si>
  <si>
    <t>Row Labels</t>
  </si>
  <si>
    <t>Grand Total</t>
  </si>
  <si>
    <t>Column Labels</t>
  </si>
  <si>
    <t>Sum of net_total_mib_delta</t>
  </si>
  <si>
    <t>Sum of net_total_mib_job</t>
  </si>
  <si>
    <t>Sum of net_total_mib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</si>
</sst>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[spark.xlsx]Sheet3!PivotTable10</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Sheet3!$A$5:$A$8</c:f>
              <c:strCache>
                <c:ptCount val="3"/>
                <c:pt idx="0">
                  <c:v>0</c:v>
                </c:pt>
                <c:pt idx="1">
                  <c:v>5</c:v>
                </c:pt>
                <c:pt idx="2">
                  <c:v>10</c:v>
                </c:pt>
              </c:strCache>
            </c:strRef>
          </c:cat>
          <c:val>
            <c:numRef>
              <c:f>Sheet3!$B$5:$B$8</c:f>
              <c:numCache>
                <c:formatCode>General</c:formatCode>
                <c:ptCount val="3"/>
                <c:pt idx="0">
                  <c:v>0.38242340087890625</c:v>
                </c:pt>
                <c:pt idx="1">
                  <c:v>0.537872314453125</c:v>
                </c:pt>
                <c:pt idx="2">
                  <c:v>0.8487701416015625</c:v>
                </c:pt>
              </c:numCache>
            </c:numRef>
          </c:val>
          <c:smooth val="0"/>
          <c:extLst>
            <c:ext xmlns:c16="http://schemas.microsoft.com/office/drawing/2014/chart" uri="{C3380CC4-5D6E-409C-BE32-E72D297353CC}">
              <c16:uniqueId val="{00000000-C686-2142-A973-31F5681A1A6D}"/>
            </c:ext>
          </c:extLst>
        </c:ser>
        <c:ser>
          <c:idx val="1"/>
          <c:order val="1"/>
          <c:tx>
            <c:strRef>
              <c:f>Sheet3!$C$3:$C$4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Sheet3!$A$5:$A$8</c:f>
              <c:strCache>
                <c:ptCount val="3"/>
                <c:pt idx="0">
                  <c:v>0</c:v>
                </c:pt>
                <c:pt idx="1">
                  <c:v>5</c:v>
                </c:pt>
                <c:pt idx="2">
                  <c:v>10</c:v>
                </c:pt>
              </c:strCache>
            </c:strRef>
          </c:cat>
          <c:val>
            <c:numRef>
              <c:f>Sheet3!$C$5:$C$8</c:f>
              <c:numCache>
                <c:formatCode>General</c:formatCode>
                <c:ptCount val="3"/>
                <c:pt idx="0">
                  <c:v>0.37670135498046875</c:v>
                </c:pt>
                <c:pt idx="1">
                  <c:v>0.53882598876953125</c:v>
                </c:pt>
                <c:pt idx="2">
                  <c:v>0.8487701416015625</c:v>
                </c:pt>
              </c:numCache>
            </c:numRef>
          </c:val>
          <c:smooth val="0"/>
          <c:extLst>
            <c:ext xmlns:c16="http://schemas.microsoft.com/office/drawing/2014/chart" uri="{C3380CC4-5D6E-409C-BE32-E72D297353CC}">
              <c16:uniqueId val="{00000008-3CC0-2345-AB4F-061E9B0D5D1D}"/>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[spark.xlsx]Email-EuAll!PivotTable10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'Email-EuAll'!$B$3:$B$4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'Email-EuAll'!$A$5:$A$6</c:f>
              <c:strCache>
                <c:ptCount val="1"/>
                <c:pt idx="0">
                  <c:v>0</c:v>
                </c:pt>
              </c:strCache>
            </c:strRef>
          </c:cat>
          <c:val>
            <c:numRef>
              <c:f>'Email-EuAll'!$B$5:$B$6</c:f>
              <c:numCache>
                <c:formatCode>General</c:formatCode>
                <c:ptCount val="1"/>
                <c:pt idx="0">
                  <c:v>9.212493896484375E-3</c:v>
                </c:pt>
              </c:numCache>
            </c:numRef>
          </c:val>
          <c:smooth val="0"/>
          <c:extLst>
            <c:ext xmlns:c16="http://schemas.microsoft.com/office/drawing/2014/chart" uri="{C3380CC4-5D6E-409C-BE32-E72D297353CC}">
              <c16:uniqueId val="{00000002-C09A-FA47-AE1F-E68C964BE513}"/>
            </c:ext>
          </c:extLst>
        </c:ser>
        <c:ser>
          <c:idx val="1"/>
          <c:order val="1"/>
          <c:tx>
            <c:strRef>
              <c:f>'Email-EuAll'!$C$3:$C$4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'Email-EuAll'!$A$5:$A$6</c:f>
              <c:strCache>
                <c:ptCount val="1"/>
                <c:pt idx="0">
                  <c:v>0</c:v>
                </c:pt>
              </c:strCache>
            </c:strRef>
          </c:cat>
          <c:val>
            <c:numRef>
              <c:f>'Email-EuAll'!$C$5:$C$6</c:f>
              <c:numCache>
                <c:formatCode>General</c:formatCode>
                <c:ptCount val="1"/>
                <c:pt idx="0">
                  <c:v>1.4667510986328125E-2</c:v>
                </c:pt>
              </c:numCache>
            </c:numRef>
          </c:val>
          <c:smooth val="0"/>
          <c:extLst>
            <c:ext xmlns:c16="http://schemas.microsoft.com/office/drawing/2014/chart" uri="{C3380CC4-5D6E-409C-BE32-E72D297353CC}">
              <c16:uniqueId val="{00000003-C09A-FA47-AE1F-E68C964BE513}"/>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[spark.xlsx]cit-Patents!PivotTable10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'cit-Patents'!$B$3:$B$4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'cit-Patents'!$A$5:$A$8</c:f>
              <c:strCache>
                <c:ptCount val="3"/>
                <c:pt idx="0">
                  <c:v>0</c:v>
                </c:pt>
                <c:pt idx="1">
                  <c:v>5</c:v>
                </c:pt>
                <c:pt idx="2">
                  <c:v>10</c:v>
                </c:pt>
              </c:strCache>
            </c:strRef>
          </c:cat>
          <c:val>
            <c:numRef>
              <c:f>'cit-Patents'!$B$5:$B$8</c:f>
              <c:numCache>
                <c:formatCode>General</c:formatCode>
                <c:ptCount val="3"/>
                <c:pt idx="0">
                  <c:v>0.38242340087890625</c:v>
                </c:pt>
                <c:pt idx="1">
                  <c:v>0.537872314453125</c:v>
                </c:pt>
                <c:pt idx="2">
                  <c:v>0.8487701416015625</c:v>
                </c:pt>
              </c:numCache>
            </c:numRef>
          </c:val>
          <c:smooth val="0"/>
          <c:extLst>
            <c:ext xmlns:c16="http://schemas.microsoft.com/office/drawing/2014/chart" uri="{C3380CC4-5D6E-409C-BE32-E72D297353CC}">
              <c16:uniqueId val="{00000002-6557-0541-8CBC-9C33BAB7C644}"/>
            </c:ext>
          </c:extLst>
        </c:ser>
        <c:ser>
          <c:idx val="1"/>
          <c:order val="1"/>
          <c:tx>
            <c:strRef>
              <c:f>'cit-Patents'!$C$3:$C$4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'cit-Patents'!$A$5:$A$8</c:f>
              <c:strCache>
                <c:ptCount val="3"/>
                <c:pt idx="0">
                  <c:v>0</c:v>
                </c:pt>
                <c:pt idx="1">
                  <c:v>5</c:v>
                </c:pt>
                <c:pt idx="2">
                  <c:v>10</c:v>
                </c:pt>
              </c:strCache>
            </c:strRef>
          </c:cat>
          <c:val>
            <c:numRef>
              <c:f>'cit-Patents'!$C$5:$C$8</c:f>
              <c:numCache>
                <c:formatCode>General</c:formatCode>
                <c:ptCount val="3"/>
                <c:pt idx="0">
                  <c:v>0.37670135498046875</c:v>
                </c:pt>
                <c:pt idx="1">
                  <c:v>0.53882598876953125</c:v>
                </c:pt>
                <c:pt idx="2">
                  <c:v>0.8487701416015625</c:v>
                </c:pt>
              </c:numCache>
            </c:numRef>
          </c:val>
          <c:smooth val="0"/>
          <c:extLst>
            <c:ext xmlns:c16="http://schemas.microsoft.com/office/drawing/2014/chart" uri="{C3380CC4-5D6E-409C-BE32-E72D297353CC}">
              <c16:uniqueId val="{00000003-6557-0541-8CBC-9C33BAB7C644}"/>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[spark.xlsx]Sheet3 (4)!PivotTable10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 (4)'!$B$3:$B$4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 (4)'!$A$5:$A$8</c:f>
              <c:strCache>
                <c:ptCount val="3"/>
                <c:pt idx="0">
                  <c:v>0</c:v>
                </c:pt>
                <c:pt idx="1">
                  <c:v>5</c:v>
                </c:pt>
                <c:pt idx="2">
                  <c:v>10</c:v>
                </c:pt>
              </c:strCache>
            </c:strRef>
          </c:cat>
          <c:val>
            <c:numRef>
              <c:f>'Sheet3 (4)'!$B$5:$B$8</c:f>
              <c:numCache>
                <c:formatCode>General</c:formatCode>
                <c:ptCount val="3"/>
                <c:pt idx="0">
                  <c:v>1.6632080078125</c:v>
                </c:pt>
                <c:pt idx="1">
                  <c:v>1.8291473388671875</c:v>
                </c:pt>
                <c:pt idx="2">
                  <c:v>1.9178390502929688</c:v>
                </c:pt>
              </c:numCache>
            </c:numRef>
          </c:val>
          <c:smooth val="0"/>
          <c:extLst>
            <c:ext xmlns:c16="http://schemas.microsoft.com/office/drawing/2014/chart" uri="{C3380CC4-5D6E-409C-BE32-E72D297353CC}">
              <c16:uniqueId val="{00000002-4E94-FC4F-86B7-BBD61BFF4205}"/>
            </c:ext>
          </c:extLst>
        </c:ser>
        <c:ser>
          <c:idx val="1"/>
          <c:order val="1"/>
          <c:tx>
            <c:strRef>
              <c:f>'Sheet3 (4)'!$C$3:$C$4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 (4)'!$A$5:$A$8</c:f>
              <c:strCache>
                <c:ptCount val="3"/>
                <c:pt idx="0">
                  <c:v>0</c:v>
                </c:pt>
                <c:pt idx="1">
                  <c:v>5</c:v>
                </c:pt>
                <c:pt idx="2">
                  <c:v>10</c:v>
                </c:pt>
              </c:strCache>
            </c:strRef>
          </c:cat>
          <c:val>
            <c:numRef>
              <c:f>'Sheet3 (4)'!$C$5:$C$8</c:f>
              <c:numCache>
                <c:formatCode>General</c:formatCode>
                <c:ptCount val="3"/>
                <c:pt idx="0">
                  <c:v>1.67083740234375</c:v>
                </c:pt>
                <c:pt idx="1">
                  <c:v>1.827239990234375</c:v>
                </c:pt>
                <c:pt idx="2">
                  <c:v>1.9712448120117188</c:v>
                </c:pt>
              </c:numCache>
            </c:numRef>
          </c:val>
          <c:smooth val="0"/>
          <c:extLst>
            <c:ext xmlns:c16="http://schemas.microsoft.com/office/drawing/2014/chart" uri="{C3380CC4-5D6E-409C-BE32-E72D297353CC}">
              <c16:uniqueId val="{00000003-4E94-FC4F-86B7-BBD61BFF4205}"/>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[spark.xlsx]Sheet3 (5)!PivotTable10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 (5)'!$B$3:$B$4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 (5)'!$A$5:$A$10</c:f>
              <c:strCache>
                <c:ptCount val="5"/>
                <c:pt idx="0">
                  <c:v>0</c:v>
                </c:pt>
                <c:pt idx="1">
                  <c:v>5</c:v>
                </c:pt>
                <c:pt idx="2">
                  <c:v>10</c:v>
                </c:pt>
                <c:pt idx="3">
                  <c:v>15</c:v>
                </c:pt>
                <c:pt idx="4">
                  <c:v>20</c:v>
                </c:pt>
              </c:strCache>
            </c:strRef>
          </c:cat>
          <c:val>
            <c:numRef>
              <c:f>'Sheet3 (5)'!$B$5:$B$10</c:f>
              <c:numCache>
                <c:formatCode>General</c:formatCode>
                <c:ptCount val="5"/>
                <c:pt idx="0">
                  <c:v>0.8487701416015625</c:v>
                </c:pt>
                <c:pt idx="1">
                  <c:v>1.010894775390625</c:v>
                </c:pt>
                <c:pt idx="2">
                  <c:v>1.1529922485351562</c:v>
                </c:pt>
                <c:pt idx="3">
                  <c:v>1.3103485107421875</c:v>
                </c:pt>
                <c:pt idx="4">
                  <c:v>1.4429092407226562</c:v>
                </c:pt>
              </c:numCache>
            </c:numRef>
          </c:val>
          <c:smooth val="0"/>
          <c:extLst>
            <c:ext xmlns:c16="http://schemas.microsoft.com/office/drawing/2014/chart" uri="{C3380CC4-5D6E-409C-BE32-E72D297353CC}">
              <c16:uniqueId val="{00000002-F9CB-EF4F-BB8B-F5025581D4EC}"/>
            </c:ext>
          </c:extLst>
        </c:ser>
        <c:ser>
          <c:idx val="1"/>
          <c:order val="1"/>
          <c:tx>
            <c:strRef>
              <c:f>'Sheet3 (5)'!$C$3:$C$4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 (5)'!$A$5:$A$10</c:f>
              <c:strCache>
                <c:ptCount val="5"/>
                <c:pt idx="0">
                  <c:v>0</c:v>
                </c:pt>
                <c:pt idx="1">
                  <c:v>5</c:v>
                </c:pt>
                <c:pt idx="2">
                  <c:v>10</c:v>
                </c:pt>
                <c:pt idx="3">
                  <c:v>15</c:v>
                </c:pt>
                <c:pt idx="4">
                  <c:v>20</c:v>
                </c:pt>
              </c:strCache>
            </c:strRef>
          </c:cat>
          <c:val>
            <c:numRef>
              <c:f>'Sheet3 (5)'!$C$5:$C$10</c:f>
              <c:numCache>
                <c:formatCode>General</c:formatCode>
                <c:ptCount val="5"/>
                <c:pt idx="0">
                  <c:v>0.8487701416015625</c:v>
                </c:pt>
                <c:pt idx="1">
                  <c:v>1.010894775390625</c:v>
                </c:pt>
                <c:pt idx="2">
                  <c:v>1.1243820190429688</c:v>
                </c:pt>
                <c:pt idx="3">
                  <c:v>1.28173828125</c:v>
                </c:pt>
                <c:pt idx="4">
                  <c:v>1.3790130615234375</c:v>
                </c:pt>
              </c:numCache>
            </c:numRef>
          </c:val>
          <c:smooth val="0"/>
          <c:extLst>
            <c:ext xmlns:c16="http://schemas.microsoft.com/office/drawing/2014/chart" uri="{C3380CC4-5D6E-409C-BE32-E72D297353CC}">
              <c16:uniqueId val="{00000003-F9CB-EF4F-BB8B-F5025581D4EC}"/>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[spark.xlsx]Email-EuAll!PivotTable10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'Email-EuAll'!$B$3:$B$4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'Email-EuAll'!$A$5:$A$6</c:f>
              <c:strCache>
                <c:ptCount val="1"/>
                <c:pt idx="0">
                  <c:v>0</c:v>
                </c:pt>
              </c:strCache>
            </c:strRef>
          </c:cat>
          <c:val>
            <c:numRef>
              <c:f>'Email-EuAll'!$B$5:$B$6</c:f>
              <c:numCache>
                <c:formatCode>General</c:formatCode>
                <c:ptCount val="1"/>
                <c:pt idx="0">
                  <c:v>9.212493896484375E-3</c:v>
                </c:pt>
              </c:numCache>
            </c:numRef>
          </c:val>
          <c:smooth val="0"/>
          <c:extLst>
            <c:ext xmlns:c16="http://schemas.microsoft.com/office/drawing/2014/chart" uri="{C3380CC4-5D6E-409C-BE32-E72D297353CC}">
              <c16:uniqueId val="{00000000-4399-7F45-AF38-9CC2CD447A2B}"/>
            </c:ext>
          </c:extLst>
        </c:ser>
        <c:ser>
          <c:idx val="1"/>
          <c:order val="1"/>
          <c:tx>
            <c:strRef>
              <c:f>'Email-EuAll'!$C$3:$C$4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'Email-EuAll'!$A$5:$A$6</c:f>
              <c:strCache>
                <c:ptCount val="1"/>
                <c:pt idx="0">
                  <c:v>0</c:v>
                </c:pt>
              </c:strCache>
            </c:strRef>
          </c:cat>
          <c:val>
            <c:numRef>
              <c:f>'Email-EuAll'!$C$5:$C$6</c:f>
              <c:numCache>
                <c:formatCode>General</c:formatCode>
                <c:ptCount val="1"/>
                <c:pt idx="0">
                  <c:v>1.4667510986328125E-2</c:v>
                </c:pt>
              </c:numCache>
            </c:numRef>
          </c:val>
          <c:smooth val="0"/>
          <c:extLst>
            <c:ext xmlns:c16="http://schemas.microsoft.com/office/drawing/2014/chart" uri="{C3380CC4-5D6E-409C-BE32-E72D297353CC}">
              <c16:uniqueId val="{00000001-4399-7F45-AF38-9CC2CD447A2B}"/>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[spark.xlsx]cit-Patents!PivotTable10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'cit-Patents'!$B$3:$B$4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'cit-Patents'!$A$5:$A$8</c:f>
              <c:strCache>
                <c:ptCount val="3"/>
                <c:pt idx="0">
                  <c:v>0</c:v>
                </c:pt>
                <c:pt idx="1">
                  <c:v>5</c:v>
                </c:pt>
                <c:pt idx="2">
                  <c:v>10</c:v>
                </c:pt>
              </c:strCache>
            </c:strRef>
          </c:cat>
          <c:val>
            <c:numRef>
              <c:f>'cit-Patents'!$B$5:$B$8</c:f>
              <c:numCache>
                <c:formatCode>General</c:formatCode>
                <c:ptCount val="3"/>
                <c:pt idx="0">
                  <c:v>0.38242340087890625</c:v>
                </c:pt>
                <c:pt idx="1">
                  <c:v>0.537872314453125</c:v>
                </c:pt>
                <c:pt idx="2">
                  <c:v>0.8487701416015625</c:v>
                </c:pt>
              </c:numCache>
            </c:numRef>
          </c:val>
          <c:smooth val="0"/>
          <c:extLst>
            <c:ext xmlns:c16="http://schemas.microsoft.com/office/drawing/2014/chart" uri="{C3380CC4-5D6E-409C-BE32-E72D297353CC}">
              <c16:uniqueId val="{00000000-969D-4A4F-8BE4-EB70D6348148}"/>
            </c:ext>
          </c:extLst>
        </c:ser>
        <c:ser>
          <c:idx val="1"/>
          <c:order val="1"/>
          <c:tx>
            <c:strRef>
              <c:f>'cit-Patents'!$C$3:$C$4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'cit-Patents'!$A$5:$A$8</c:f>
              <c:strCache>
                <c:ptCount val="3"/>
                <c:pt idx="0">
                  <c:v>0</c:v>
                </c:pt>
                <c:pt idx="1">
                  <c:v>5</c:v>
                </c:pt>
                <c:pt idx="2">
                  <c:v>10</c:v>
                </c:pt>
              </c:strCache>
            </c:strRef>
          </c:cat>
          <c:val>
            <c:numRef>
              <c:f>'cit-Patents'!$C$5:$C$8</c:f>
              <c:numCache>
                <c:formatCode>General</c:formatCode>
                <c:ptCount val="3"/>
                <c:pt idx="0">
                  <c:v>0.37670135498046875</c:v>
                </c:pt>
                <c:pt idx="1">
                  <c:v>0.53882598876953125</c:v>
                </c:pt>
                <c:pt idx="2">
                  <c:v>0.8487701416015625</c:v>
                </c:pt>
              </c:numCache>
            </c:numRef>
          </c:val>
          <c:smooth val="0"/>
          <c:extLst>
            <c:ext xmlns:c16="http://schemas.microsoft.com/office/drawing/2014/chart" uri="{C3380CC4-5D6E-409C-BE32-E72D297353CC}">
              <c16:uniqueId val="{00000001-969D-4A4F-8BE4-EB70D6348148}"/>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[spark.xlsx]Sheet3 (4)!PivotTable10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 (4)'!$B$3:$B$4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 (4)'!$A$5:$A$8</c:f>
              <c:strCache>
                <c:ptCount val="3"/>
                <c:pt idx="0">
                  <c:v>0</c:v>
                </c:pt>
                <c:pt idx="1">
                  <c:v>5</c:v>
                </c:pt>
                <c:pt idx="2">
                  <c:v>10</c:v>
                </c:pt>
              </c:strCache>
            </c:strRef>
          </c:cat>
          <c:val>
            <c:numRef>
              <c:f>'Sheet3 (4)'!$B$5:$B$8</c:f>
              <c:numCache>
                <c:formatCode>General</c:formatCode>
                <c:ptCount val="3"/>
                <c:pt idx="0">
                  <c:v>1.6632080078125</c:v>
                </c:pt>
                <c:pt idx="1">
                  <c:v>1.8291473388671875</c:v>
                </c:pt>
                <c:pt idx="2">
                  <c:v>1.9178390502929688</c:v>
                </c:pt>
              </c:numCache>
            </c:numRef>
          </c:val>
          <c:smooth val="0"/>
          <c:extLst>
            <c:ext xmlns:c16="http://schemas.microsoft.com/office/drawing/2014/chart" uri="{C3380CC4-5D6E-409C-BE32-E72D297353CC}">
              <c16:uniqueId val="{00000000-8E5A-F642-BF2D-925AC1823214}"/>
            </c:ext>
          </c:extLst>
        </c:ser>
        <c:ser>
          <c:idx val="1"/>
          <c:order val="1"/>
          <c:tx>
            <c:strRef>
              <c:f>'Sheet3 (4)'!$C$3:$C$4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 (4)'!$A$5:$A$8</c:f>
              <c:strCache>
                <c:ptCount val="3"/>
                <c:pt idx="0">
                  <c:v>0</c:v>
                </c:pt>
                <c:pt idx="1">
                  <c:v>5</c:v>
                </c:pt>
                <c:pt idx="2">
                  <c:v>10</c:v>
                </c:pt>
              </c:strCache>
            </c:strRef>
          </c:cat>
          <c:val>
            <c:numRef>
              <c:f>'Sheet3 (4)'!$C$5:$C$8</c:f>
              <c:numCache>
                <c:formatCode>General</c:formatCode>
                <c:ptCount val="3"/>
                <c:pt idx="0">
                  <c:v>1.67083740234375</c:v>
                </c:pt>
                <c:pt idx="1">
                  <c:v>1.827239990234375</c:v>
                </c:pt>
                <c:pt idx="2">
                  <c:v>1.9712448120117188</c:v>
                </c:pt>
              </c:numCache>
            </c:numRef>
          </c:val>
          <c:smooth val="0"/>
          <c:extLst>
            <c:ext xmlns:c16="http://schemas.microsoft.com/office/drawing/2014/chart" uri="{C3380CC4-5D6E-409C-BE32-E72D297353CC}">
              <c16:uniqueId val="{00000001-8E5A-F642-BF2D-925AC1823214}"/>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[spark.xlsx]Sheet3 (5)!PivotTable10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 (5)'!$B$3:$B$4</c:f>
              <c:strCache>
                <c:ptCount val="1"/>
                <c:pt idx="0">
                  <c:v>spark-master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 (5)'!$A$5:$A$10</c:f>
              <c:strCache>
                <c:ptCount val="5"/>
                <c:pt idx="0">
                  <c:v>0</c:v>
                </c:pt>
                <c:pt idx="1">
                  <c:v>5</c:v>
                </c:pt>
                <c:pt idx="2">
                  <c:v>10</c:v>
                </c:pt>
                <c:pt idx="3">
                  <c:v>15</c:v>
                </c:pt>
                <c:pt idx="4">
                  <c:v>20</c:v>
                </c:pt>
              </c:strCache>
            </c:strRef>
          </c:cat>
          <c:val>
            <c:numRef>
              <c:f>'Sheet3 (5)'!$B$5:$B$10</c:f>
              <c:numCache>
                <c:formatCode>General</c:formatCode>
                <c:ptCount val="5"/>
                <c:pt idx="0">
                  <c:v>0.8487701416015625</c:v>
                </c:pt>
                <c:pt idx="1">
                  <c:v>1.010894775390625</c:v>
                </c:pt>
                <c:pt idx="2">
                  <c:v>1.1529922485351562</c:v>
                </c:pt>
                <c:pt idx="3">
                  <c:v>1.3103485107421875</c:v>
                </c:pt>
                <c:pt idx="4">
                  <c:v>1.4429092407226562</c:v>
                </c:pt>
              </c:numCache>
            </c:numRef>
          </c:val>
          <c:smooth val="0"/>
          <c:extLst>
            <c:ext xmlns:c16="http://schemas.microsoft.com/office/drawing/2014/chart" uri="{C3380CC4-5D6E-409C-BE32-E72D297353CC}">
              <c16:uniqueId val="{00000000-07E6-AC47-8FE9-21FAD39A7694}"/>
            </c:ext>
          </c:extLst>
        </c:ser>
        <c:ser>
          <c:idx val="1"/>
          <c:order val="1"/>
          <c:tx>
            <c:strRef>
              <c:f>'Sheet3 (5)'!$C$3:$C$4</c:f>
              <c:strCache>
                <c:ptCount val="1"/>
                <c:pt idx="0">
                  <c:v>spark-worker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 (5)'!$A$5:$A$10</c:f>
              <c:strCache>
                <c:ptCount val="5"/>
                <c:pt idx="0">
                  <c:v>0</c:v>
                </c:pt>
                <c:pt idx="1">
                  <c:v>5</c:v>
                </c:pt>
                <c:pt idx="2">
                  <c:v>10</c:v>
                </c:pt>
                <c:pt idx="3">
                  <c:v>15</c:v>
                </c:pt>
                <c:pt idx="4">
                  <c:v>20</c:v>
                </c:pt>
              </c:strCache>
            </c:strRef>
          </c:cat>
          <c:val>
            <c:numRef>
              <c:f>'Sheet3 (5)'!$C$5:$C$10</c:f>
              <c:numCache>
                <c:formatCode>General</c:formatCode>
                <c:ptCount val="5"/>
                <c:pt idx="0">
                  <c:v>0.8487701416015625</c:v>
                </c:pt>
                <c:pt idx="1">
                  <c:v>1.010894775390625</c:v>
                </c:pt>
                <c:pt idx="2">
                  <c:v>1.1243820190429688</c:v>
                </c:pt>
                <c:pt idx="3">
                  <c:v>1.28173828125</c:v>
                </c:pt>
                <c:pt idx="4">
                  <c:v>1.3790130615234375</c:v>
                </c:pt>
              </c:numCache>
            </c:numRef>
          </c:val>
          <c:smooth val="0"/>
          <c:extLst>
            <c:ext xmlns:c16="http://schemas.microsoft.com/office/drawing/2014/chart" uri="{C3380CC4-5D6E-409C-BE32-E72D297353CC}">
              <c16:uniqueId val="{00000001-07E6-AC47-8FE9-21FAD39A7694}"/>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[spark.xlsx]Sheet3 (6)!PivotTable10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Netowrk</a:t>
            </a:r>
            <a:r>
              <a:rPr lang="en-US" baseline="0"/>
              <a:t> 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 (6)'!$B$3:$B$4</c:f>
              <c:strCache>
                <c:ptCount val="1"/>
                <c:pt idx="0">
                  <c:v>cit-Patents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 (6)'!$A$5:$A$10</c:f>
              <c:strCache>
                <c:ptCount val="5"/>
                <c:pt idx="0">
                  <c:v>0</c:v>
                </c:pt>
                <c:pt idx="1">
                  <c:v>5</c:v>
                </c:pt>
                <c:pt idx="2">
                  <c:v>10</c:v>
                </c:pt>
                <c:pt idx="3">
                  <c:v>15</c:v>
                </c:pt>
                <c:pt idx="4">
                  <c:v>20</c:v>
                </c:pt>
              </c:strCache>
            </c:strRef>
          </c:cat>
          <c:val>
            <c:numRef>
              <c:f>'Sheet3 (6)'!$B$5:$B$10</c:f>
              <c:numCache>
                <c:formatCode>General</c:formatCode>
                <c:ptCount val="5"/>
                <c:pt idx="0">
                  <c:v>0</c:v>
                </c:pt>
                <c:pt idx="1">
                  <c:v>1.0766983032226562</c:v>
                </c:pt>
                <c:pt idx="2">
                  <c:v>1.697540283203125</c:v>
                </c:pt>
              </c:numCache>
            </c:numRef>
          </c:val>
          <c:smooth val="0"/>
          <c:extLst>
            <c:ext xmlns:c16="http://schemas.microsoft.com/office/drawing/2014/chart" uri="{C3380CC4-5D6E-409C-BE32-E72D297353CC}">
              <c16:uniqueId val="{00000002-875E-AB45-99C0-3075C1085CBD}"/>
            </c:ext>
          </c:extLst>
        </c:ser>
        <c:ser>
          <c:idx val="1"/>
          <c:order val="1"/>
          <c:tx>
            <c:strRef>
              <c:f>'Sheet3 (6)'!$C$3:$C$4</c:f>
              <c:strCache>
                <c:ptCount val="1"/>
                <c:pt idx="0">
                  <c:v>Email-EuAll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 (6)'!$A$5:$A$10</c:f>
              <c:strCache>
                <c:ptCount val="5"/>
                <c:pt idx="0">
                  <c:v>0</c:v>
                </c:pt>
                <c:pt idx="1">
                  <c:v>5</c:v>
                </c:pt>
                <c:pt idx="2">
                  <c:v>10</c:v>
                </c:pt>
                <c:pt idx="3">
                  <c:v>15</c:v>
                </c:pt>
                <c:pt idx="4">
                  <c:v>20</c:v>
                </c:pt>
              </c:strCache>
            </c:strRef>
          </c:cat>
          <c:val>
            <c:numRef>
              <c:f>'Sheet3 (6)'!$C$5:$C$10</c:f>
              <c:numCache>
                <c:formatCode>General</c:formatCode>
                <c:ptCount val="5"/>
                <c:pt idx="0">
                  <c:v>0</c:v>
                </c:pt>
              </c:numCache>
            </c:numRef>
          </c:val>
          <c:smooth val="0"/>
          <c:extLst>
            <c:ext xmlns:c16="http://schemas.microsoft.com/office/drawing/2014/chart" uri="{C3380CC4-5D6E-409C-BE32-E72D297353CC}">
              <c16:uniqueId val="{00000005-875E-AB45-99C0-3075C1085CBD}"/>
            </c:ext>
          </c:extLst>
        </c:ser>
        <c:ser>
          <c:idx val="2"/>
          <c:order val="2"/>
          <c:tx>
            <c:strRef>
              <c:f>'Sheet3 (6)'!$D$3:$D$4</c:f>
              <c:strCache>
                <c:ptCount val="1"/>
                <c:pt idx="0">
                  <c:v>soc-LiveJournal1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 (6)'!$A$5:$A$10</c:f>
              <c:strCache>
                <c:ptCount val="5"/>
                <c:pt idx="0">
                  <c:v>0</c:v>
                </c:pt>
                <c:pt idx="1">
                  <c:v>5</c:v>
                </c:pt>
                <c:pt idx="2">
                  <c:v>10</c:v>
                </c:pt>
                <c:pt idx="3">
                  <c:v>15</c:v>
                </c:pt>
                <c:pt idx="4">
                  <c:v>20</c:v>
                </c:pt>
              </c:strCache>
            </c:strRef>
          </c:cat>
          <c:val>
            <c:numRef>
              <c:f>'Sheet3 (6)'!$D$5:$D$10</c:f>
              <c:numCache>
                <c:formatCode>General</c:formatCode>
                <c:ptCount val="5"/>
                <c:pt idx="0">
                  <c:v>0</c:v>
                </c:pt>
                <c:pt idx="1">
                  <c:v>2.02178955078125</c:v>
                </c:pt>
                <c:pt idx="2">
                  <c:v>2.277374267578125</c:v>
                </c:pt>
                <c:pt idx="3">
                  <c:v>2.5920867919921875</c:v>
                </c:pt>
                <c:pt idx="4">
                  <c:v>2.8219223022460938</c:v>
                </c:pt>
              </c:numCache>
            </c:numRef>
          </c:val>
          <c:smooth val="0"/>
          <c:extLst>
            <c:ext xmlns:c16="http://schemas.microsoft.com/office/drawing/2014/chart" uri="{C3380CC4-5D6E-409C-BE32-E72D297353CC}">
              <c16:uniqueId val="{00000006-875E-AB45-99C0-3075C1085CBD}"/>
            </c:ext>
          </c:extLst>
        </c:ser>
        <c:ser>
          <c:idx val="3"/>
          <c:order val="3"/>
          <c:tx>
            <c:strRef>
              <c:f>'Sheet3 (6)'!$E$3:$E$4</c:f>
              <c:strCache>
                <c:ptCount val="1"/>
                <c:pt idx="0">
                  <c:v>soc-pokec-relationships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 (6)'!$A$5:$A$10</c:f>
              <c:strCache>
                <c:ptCount val="5"/>
                <c:pt idx="0">
                  <c:v>0</c:v>
                </c:pt>
                <c:pt idx="1">
                  <c:v>5</c:v>
                </c:pt>
                <c:pt idx="2">
                  <c:v>10</c:v>
                </c:pt>
                <c:pt idx="3">
                  <c:v>15</c:v>
                </c:pt>
                <c:pt idx="4">
                  <c:v>20</c:v>
                </c:pt>
              </c:strCache>
            </c:strRef>
          </c:cat>
          <c:val>
            <c:numRef>
              <c:f>'Sheet3 (6)'!$E$5:$E$10</c:f>
              <c:numCache>
                <c:formatCode>General</c:formatCode>
                <c:ptCount val="5"/>
                <c:pt idx="0">
                  <c:v>0</c:v>
                </c:pt>
                <c:pt idx="1">
                  <c:v>3.6563873291015625</c:v>
                </c:pt>
                <c:pt idx="2">
                  <c:v>3.8890838623046875</c:v>
                </c:pt>
              </c:numCache>
            </c:numRef>
          </c:val>
          <c:smooth val="0"/>
          <c:extLst>
            <c:ext xmlns:c16="http://schemas.microsoft.com/office/drawing/2014/chart" uri="{C3380CC4-5D6E-409C-BE32-E72D297353CC}">
              <c16:uniqueId val="{00000007-875E-AB45-99C0-3075C1085CBD}"/>
            </c:ext>
          </c:extLst>
        </c:ser>
        <c:dLbls>
          <c:showLegendKey val="0"/>
          <c:showVal val="0"/>
          <c:showCatName val="0"/>
          <c:showSerName val="0"/>
          <c:showPercent val="0"/>
          <c:showBubbleSize val="0"/>
        </c:dLbls>
        <c:marker val="1"/>
        <c:smooth val="0"/>
        <c:axId val="1952283519"/>
        <c:axId val="1952268287"/>
      </c:lineChart>
      <c:catAx>
        <c:axId val="19522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68287"/>
        <c:crosses val="autoZero"/>
        <c:auto val="1"/>
        <c:lblAlgn val="ctr"/>
        <c:lblOffset val="100"/>
        <c:noMultiLvlLbl val="0"/>
      </c:catAx>
      <c:valAx>
        <c:axId val="19522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3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812800</xdr:colOff>
      <xdr:row>11</xdr:row>
      <xdr:rowOff>44450</xdr:rowOff>
    </xdr:from>
    <xdr:to>
      <xdr:col>9</xdr:col>
      <xdr:colOff>330200</xdr:colOff>
      <xdr:row>24</xdr:row>
      <xdr:rowOff>146050</xdr:rowOff>
    </xdr:to>
    <xdr:graphicFrame macro="">
      <xdr:nvGraphicFramePr>
        <xdr:cNvPr id="2" name="Chart 1">
          <a:extLst>
            <a:ext uri="{FF2B5EF4-FFF2-40B4-BE49-F238E27FC236}">
              <a16:creationId xmlns:a16="http://schemas.microsoft.com/office/drawing/2014/main" id="{D18CFDC6-5557-12AE-8ABE-EF3C9C096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393700</xdr:colOff>
      <xdr:row>15</xdr:row>
      <xdr:rowOff>98428</xdr:rowOff>
    </xdr:from>
    <xdr:to>
      <xdr:col>3</xdr:col>
      <xdr:colOff>114300</xdr:colOff>
      <xdr:row>28</xdr:row>
      <xdr:rowOff>76200</xdr:rowOff>
    </xdr:to>
    <mc:AlternateContent xmlns:mc="http://schemas.openxmlformats.org/markup-compatibility/2006" xmlns:a14="http://schemas.microsoft.com/office/drawing/2010/main">
      <mc:Choice Requires="a14">
        <xdr:graphicFrame macro="">
          <xdr:nvGraphicFramePr>
            <xdr:cNvPr id="3" name="dataset">
              <a:extLst>
                <a:ext uri="{FF2B5EF4-FFF2-40B4-BE49-F238E27FC236}">
                  <a16:creationId xmlns:a16="http://schemas.microsoft.com/office/drawing/2014/main" id="{A9F2C6ED-5EB5-4F93-3E03-E99B309312F9}"/>
                </a:ext>
              </a:extLst>
            </xdr:cNvPr>
            <xdr:cNvGraphicFramePr/>
          </xdr:nvGraphicFramePr>
          <xdr:xfrm>
            <a:off x="0" y="0"/>
            <a:ext cx="0" cy="0"/>
          </xdr:xfrm>
          <a:graphic>
            <a:graphicData uri="http://schemas.microsoft.com/office/drawing/2010/slicer">
              <sle:slicer xmlns:sle="http://schemas.microsoft.com/office/drawing/2010/slicer" name="dataset"/>
            </a:graphicData>
          </a:graphic>
        </xdr:graphicFrame>
      </mc:Choice>
      <mc:Fallback xmlns="">
        <xdr:sp macro="" textlink="">
          <xdr:nvSpPr>
            <xdr:cNvPr id="0" name=""/>
            <xdr:cNvSpPr>
              <a:spLocks noTextEdit="1"/>
            </xdr:cNvSpPr>
          </xdr:nvSpPr>
          <xdr:spPr>
            <a:xfrm>
              <a:off x="2146300" y="3146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812800</xdr:colOff>
      <xdr:row>11</xdr:row>
      <xdr:rowOff>44450</xdr:rowOff>
    </xdr:from>
    <xdr:to>
      <xdr:col>9</xdr:col>
      <xdr:colOff>330200</xdr:colOff>
      <xdr:row>24</xdr:row>
      <xdr:rowOff>146050</xdr:rowOff>
    </xdr:to>
    <xdr:graphicFrame macro="">
      <xdr:nvGraphicFramePr>
        <xdr:cNvPr id="2" name="Chart 1">
          <a:extLst>
            <a:ext uri="{FF2B5EF4-FFF2-40B4-BE49-F238E27FC236}">
              <a16:creationId xmlns:a16="http://schemas.microsoft.com/office/drawing/2014/main" id="{6928DCBD-2391-1849-9801-94BF58DDB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393700</xdr:colOff>
      <xdr:row>15</xdr:row>
      <xdr:rowOff>98428</xdr:rowOff>
    </xdr:from>
    <xdr:to>
      <xdr:col>3</xdr:col>
      <xdr:colOff>114300</xdr:colOff>
      <xdr:row>28</xdr:row>
      <xdr:rowOff>76200</xdr:rowOff>
    </xdr:to>
    <mc:AlternateContent xmlns:mc="http://schemas.openxmlformats.org/markup-compatibility/2006" xmlns:a14="http://schemas.microsoft.com/office/drawing/2010/main">
      <mc:Choice Requires="a14">
        <xdr:graphicFrame macro="">
          <xdr:nvGraphicFramePr>
            <xdr:cNvPr id="3" name="dataset 1">
              <a:extLst>
                <a:ext uri="{FF2B5EF4-FFF2-40B4-BE49-F238E27FC236}">
                  <a16:creationId xmlns:a16="http://schemas.microsoft.com/office/drawing/2014/main" id="{19A17BEE-B723-414B-9596-CE6C887E97AF}"/>
                </a:ext>
              </a:extLst>
            </xdr:cNvPr>
            <xdr:cNvGraphicFramePr/>
          </xdr:nvGraphicFramePr>
          <xdr:xfrm>
            <a:off x="0" y="0"/>
            <a:ext cx="0" cy="0"/>
          </xdr:xfrm>
          <a:graphic>
            <a:graphicData uri="http://schemas.microsoft.com/office/drawing/2010/slicer">
              <sle:slicer xmlns:sle="http://schemas.microsoft.com/office/drawing/2010/slicer" name="dataset 1"/>
            </a:graphicData>
          </a:graphic>
        </xdr:graphicFrame>
      </mc:Choice>
      <mc:Fallback xmlns="">
        <xdr:sp macro="" textlink="">
          <xdr:nvSpPr>
            <xdr:cNvPr id="0" name=""/>
            <xdr:cNvSpPr>
              <a:spLocks noTextEdit="1"/>
            </xdr:cNvSpPr>
          </xdr:nvSpPr>
          <xdr:spPr>
            <a:xfrm>
              <a:off x="1866900" y="3146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812800</xdr:colOff>
      <xdr:row>11</xdr:row>
      <xdr:rowOff>44450</xdr:rowOff>
    </xdr:from>
    <xdr:to>
      <xdr:col>9</xdr:col>
      <xdr:colOff>330200</xdr:colOff>
      <xdr:row>24</xdr:row>
      <xdr:rowOff>146050</xdr:rowOff>
    </xdr:to>
    <xdr:graphicFrame macro="">
      <xdr:nvGraphicFramePr>
        <xdr:cNvPr id="2" name="Chart 1">
          <a:extLst>
            <a:ext uri="{FF2B5EF4-FFF2-40B4-BE49-F238E27FC236}">
              <a16:creationId xmlns:a16="http://schemas.microsoft.com/office/drawing/2014/main" id="{52291157-0414-474E-87CC-8CB7029D5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393700</xdr:colOff>
      <xdr:row>15</xdr:row>
      <xdr:rowOff>98428</xdr:rowOff>
    </xdr:from>
    <xdr:to>
      <xdr:col>3</xdr:col>
      <xdr:colOff>114300</xdr:colOff>
      <xdr:row>28</xdr:row>
      <xdr:rowOff>76200</xdr:rowOff>
    </xdr:to>
    <mc:AlternateContent xmlns:mc="http://schemas.openxmlformats.org/markup-compatibility/2006" xmlns:a14="http://schemas.microsoft.com/office/drawing/2010/main">
      <mc:Choice Requires="a14">
        <xdr:graphicFrame macro="">
          <xdr:nvGraphicFramePr>
            <xdr:cNvPr id="3" name="dataset 2">
              <a:extLst>
                <a:ext uri="{FF2B5EF4-FFF2-40B4-BE49-F238E27FC236}">
                  <a16:creationId xmlns:a16="http://schemas.microsoft.com/office/drawing/2014/main" id="{B7DC06E0-A9FB-0F44-A8FB-5758AA0203CE}"/>
                </a:ext>
              </a:extLst>
            </xdr:cNvPr>
            <xdr:cNvGraphicFramePr/>
          </xdr:nvGraphicFramePr>
          <xdr:xfrm>
            <a:off x="0" y="0"/>
            <a:ext cx="0" cy="0"/>
          </xdr:xfrm>
          <a:graphic>
            <a:graphicData uri="http://schemas.microsoft.com/office/drawing/2010/slicer">
              <sle:slicer xmlns:sle="http://schemas.microsoft.com/office/drawing/2010/slicer" name="dataset 2"/>
            </a:graphicData>
          </a:graphic>
        </xdr:graphicFrame>
      </mc:Choice>
      <mc:Fallback xmlns="">
        <xdr:sp macro="" textlink="">
          <xdr:nvSpPr>
            <xdr:cNvPr id="0" name=""/>
            <xdr:cNvSpPr>
              <a:spLocks noTextEdit="1"/>
            </xdr:cNvSpPr>
          </xdr:nvSpPr>
          <xdr:spPr>
            <a:xfrm>
              <a:off x="2146300" y="3146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812800</xdr:colOff>
      <xdr:row>11</xdr:row>
      <xdr:rowOff>44450</xdr:rowOff>
    </xdr:from>
    <xdr:to>
      <xdr:col>9</xdr:col>
      <xdr:colOff>330200</xdr:colOff>
      <xdr:row>24</xdr:row>
      <xdr:rowOff>146050</xdr:rowOff>
    </xdr:to>
    <xdr:graphicFrame macro="">
      <xdr:nvGraphicFramePr>
        <xdr:cNvPr id="2" name="Chart 1">
          <a:extLst>
            <a:ext uri="{FF2B5EF4-FFF2-40B4-BE49-F238E27FC236}">
              <a16:creationId xmlns:a16="http://schemas.microsoft.com/office/drawing/2014/main" id="{7467B2A5-6665-904C-BA29-A9687A8B9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393700</xdr:colOff>
      <xdr:row>15</xdr:row>
      <xdr:rowOff>98428</xdr:rowOff>
    </xdr:from>
    <xdr:to>
      <xdr:col>2</xdr:col>
      <xdr:colOff>469900</xdr:colOff>
      <xdr:row>28</xdr:row>
      <xdr:rowOff>76200</xdr:rowOff>
    </xdr:to>
    <mc:AlternateContent xmlns:mc="http://schemas.openxmlformats.org/markup-compatibility/2006" xmlns:a14="http://schemas.microsoft.com/office/drawing/2010/main">
      <mc:Choice Requires="a14">
        <xdr:graphicFrame macro="">
          <xdr:nvGraphicFramePr>
            <xdr:cNvPr id="3" name="dataset 3">
              <a:extLst>
                <a:ext uri="{FF2B5EF4-FFF2-40B4-BE49-F238E27FC236}">
                  <a16:creationId xmlns:a16="http://schemas.microsoft.com/office/drawing/2014/main" id="{7DE105E0-EC4E-C346-B18C-83FE3F32BDF5}"/>
                </a:ext>
              </a:extLst>
            </xdr:cNvPr>
            <xdr:cNvGraphicFramePr/>
          </xdr:nvGraphicFramePr>
          <xdr:xfrm>
            <a:off x="0" y="0"/>
            <a:ext cx="0" cy="0"/>
          </xdr:xfrm>
          <a:graphic>
            <a:graphicData uri="http://schemas.microsoft.com/office/drawing/2010/slicer">
              <sle:slicer xmlns:sle="http://schemas.microsoft.com/office/drawing/2010/slicer" name="dataset 3"/>
            </a:graphicData>
          </a:graphic>
        </xdr:graphicFrame>
      </mc:Choice>
      <mc:Fallback xmlns="">
        <xdr:sp macro="" textlink="">
          <xdr:nvSpPr>
            <xdr:cNvPr id="0" name=""/>
            <xdr:cNvSpPr>
              <a:spLocks noTextEdit="1"/>
            </xdr:cNvSpPr>
          </xdr:nvSpPr>
          <xdr:spPr>
            <a:xfrm>
              <a:off x="2146300" y="3146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812800</xdr:colOff>
      <xdr:row>11</xdr:row>
      <xdr:rowOff>44450</xdr:rowOff>
    </xdr:from>
    <xdr:to>
      <xdr:col>9</xdr:col>
      <xdr:colOff>330200</xdr:colOff>
      <xdr:row>24</xdr:row>
      <xdr:rowOff>146050</xdr:rowOff>
    </xdr:to>
    <xdr:graphicFrame macro="">
      <xdr:nvGraphicFramePr>
        <xdr:cNvPr id="2" name="Chart 1">
          <a:extLst>
            <a:ext uri="{FF2B5EF4-FFF2-40B4-BE49-F238E27FC236}">
              <a16:creationId xmlns:a16="http://schemas.microsoft.com/office/drawing/2014/main" id="{198CDC37-5A7E-304E-8DD4-EB4838107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393700</xdr:colOff>
      <xdr:row>15</xdr:row>
      <xdr:rowOff>98428</xdr:rowOff>
    </xdr:from>
    <xdr:to>
      <xdr:col>3</xdr:col>
      <xdr:colOff>0</xdr:colOff>
      <xdr:row>28</xdr:row>
      <xdr:rowOff>76200</xdr:rowOff>
    </xdr:to>
    <mc:AlternateContent xmlns:mc="http://schemas.openxmlformats.org/markup-compatibility/2006" xmlns:a14="http://schemas.microsoft.com/office/drawing/2010/main">
      <mc:Choice Requires="a14">
        <xdr:graphicFrame macro="">
          <xdr:nvGraphicFramePr>
            <xdr:cNvPr id="3" name="dataset 4">
              <a:extLst>
                <a:ext uri="{FF2B5EF4-FFF2-40B4-BE49-F238E27FC236}">
                  <a16:creationId xmlns:a16="http://schemas.microsoft.com/office/drawing/2014/main" id="{4D27E94D-A998-9D45-80F0-E60A0DC654E5}"/>
                </a:ext>
              </a:extLst>
            </xdr:cNvPr>
            <xdr:cNvGraphicFramePr/>
          </xdr:nvGraphicFramePr>
          <xdr:xfrm>
            <a:off x="0" y="0"/>
            <a:ext cx="0" cy="0"/>
          </xdr:xfrm>
          <a:graphic>
            <a:graphicData uri="http://schemas.microsoft.com/office/drawing/2010/slicer">
              <sle:slicer xmlns:sle="http://schemas.microsoft.com/office/drawing/2010/slicer" name="dataset 4"/>
            </a:graphicData>
          </a:graphic>
        </xdr:graphicFrame>
      </mc:Choice>
      <mc:Fallback xmlns="">
        <xdr:sp macro="" textlink="">
          <xdr:nvSpPr>
            <xdr:cNvPr id="0" name=""/>
            <xdr:cNvSpPr>
              <a:spLocks noTextEdit="1"/>
            </xdr:cNvSpPr>
          </xdr:nvSpPr>
          <xdr:spPr>
            <a:xfrm>
              <a:off x="2146300" y="3146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27</xdr:row>
      <xdr:rowOff>0</xdr:rowOff>
    </xdr:to>
    <xdr:grpSp>
      <xdr:nvGrpSpPr>
        <xdr:cNvPr id="6" name="Group 5">
          <a:extLst>
            <a:ext uri="{FF2B5EF4-FFF2-40B4-BE49-F238E27FC236}">
              <a16:creationId xmlns:a16="http://schemas.microsoft.com/office/drawing/2014/main" id="{58AE1853-8D65-CB4E-CDB6-C4FE2E6073B9}"/>
            </a:ext>
          </a:extLst>
        </xdr:cNvPr>
        <xdr:cNvGrpSpPr/>
      </xdr:nvGrpSpPr>
      <xdr:grpSpPr>
        <a:xfrm>
          <a:off x="0" y="0"/>
          <a:ext cx="8255000" cy="5486400"/>
          <a:chOff x="0" y="0"/>
          <a:chExt cx="8255000" cy="5486400"/>
        </a:xfrm>
      </xdr:grpSpPr>
      <xdr:graphicFrame macro="">
        <xdr:nvGraphicFramePr>
          <xdr:cNvPr id="2" name="Chart 1">
            <a:extLst>
              <a:ext uri="{FF2B5EF4-FFF2-40B4-BE49-F238E27FC236}">
                <a16:creationId xmlns:a16="http://schemas.microsoft.com/office/drawing/2014/main" id="{730CF8BC-5ACB-3247-BA65-7C9EC504E425}"/>
              </a:ext>
            </a:extLst>
          </xdr:cNvPr>
          <xdr:cNvGraphicFramePr>
            <a:graphicFrameLocks/>
          </xdr:cNvGraphicFramePr>
        </xdr:nvGraphicFramePr>
        <xdr:xfrm>
          <a:off x="0" y="0"/>
          <a:ext cx="4127500" cy="28448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6CABA9E-3B6C-3F4C-99A4-606A13763F7C}"/>
              </a:ext>
            </a:extLst>
          </xdr:cNvPr>
          <xdr:cNvGraphicFramePr>
            <a:graphicFrameLocks/>
          </xdr:cNvGraphicFramePr>
        </xdr:nvGraphicFramePr>
        <xdr:xfrm>
          <a:off x="4127500" y="0"/>
          <a:ext cx="4127500" cy="2844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D8F158C-18B2-E94C-8627-8A3982F008AA}"/>
              </a:ext>
            </a:extLst>
          </xdr:cNvPr>
          <xdr:cNvGraphicFramePr>
            <a:graphicFrameLocks/>
          </xdr:cNvGraphicFramePr>
        </xdr:nvGraphicFramePr>
        <xdr:xfrm>
          <a:off x="0" y="2844800"/>
          <a:ext cx="4127500" cy="26416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27F9F1F-9A96-8E48-97CE-EF315DD640A9}"/>
              </a:ext>
            </a:extLst>
          </xdr:cNvPr>
          <xdr:cNvGraphicFramePr>
            <a:graphicFrameLocks/>
          </xdr:cNvGraphicFramePr>
        </xdr:nvGraphicFramePr>
        <xdr:xfrm>
          <a:off x="4127500" y="2844800"/>
          <a:ext cx="4127500" cy="2641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812800</xdr:colOff>
      <xdr:row>11</xdr:row>
      <xdr:rowOff>44450</xdr:rowOff>
    </xdr:from>
    <xdr:to>
      <xdr:col>9</xdr:col>
      <xdr:colOff>330200</xdr:colOff>
      <xdr:row>24</xdr:row>
      <xdr:rowOff>146050</xdr:rowOff>
    </xdr:to>
    <xdr:graphicFrame macro="">
      <xdr:nvGraphicFramePr>
        <xdr:cNvPr id="2" name="Chart 1">
          <a:extLst>
            <a:ext uri="{FF2B5EF4-FFF2-40B4-BE49-F238E27FC236}">
              <a16:creationId xmlns:a16="http://schemas.microsoft.com/office/drawing/2014/main" id="{0AB4FA5E-199C-E047-836C-CDFBB0735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393700</xdr:colOff>
      <xdr:row>15</xdr:row>
      <xdr:rowOff>98428</xdr:rowOff>
    </xdr:from>
    <xdr:to>
      <xdr:col>3</xdr:col>
      <xdr:colOff>228600</xdr:colOff>
      <xdr:row>28</xdr:row>
      <xdr:rowOff>76200</xdr:rowOff>
    </xdr:to>
    <mc:AlternateContent xmlns:mc="http://schemas.openxmlformats.org/markup-compatibility/2006" xmlns:a14="http://schemas.microsoft.com/office/drawing/2010/main">
      <mc:Choice Requires="a14">
        <xdr:graphicFrame macro="">
          <xdr:nvGraphicFramePr>
            <xdr:cNvPr id="3" name="dataset 5">
              <a:extLst>
                <a:ext uri="{FF2B5EF4-FFF2-40B4-BE49-F238E27FC236}">
                  <a16:creationId xmlns:a16="http://schemas.microsoft.com/office/drawing/2014/main" id="{57305EC8-37D8-D544-BC1E-F868BA206457}"/>
                </a:ext>
              </a:extLst>
            </xdr:cNvPr>
            <xdr:cNvGraphicFramePr/>
          </xdr:nvGraphicFramePr>
          <xdr:xfrm>
            <a:off x="0" y="0"/>
            <a:ext cx="0" cy="0"/>
          </xdr:xfrm>
          <a:graphic>
            <a:graphicData uri="http://schemas.microsoft.com/office/drawing/2010/slicer">
              <sle:slicer xmlns:sle="http://schemas.microsoft.com/office/drawing/2010/slicer" name="dataset 5"/>
            </a:graphicData>
          </a:graphic>
        </xdr:graphicFrame>
      </mc:Choice>
      <mc:Fallback xmlns="">
        <xdr:sp macro="" textlink="">
          <xdr:nvSpPr>
            <xdr:cNvPr id="0" name=""/>
            <xdr:cNvSpPr>
              <a:spLocks noTextEdit="1"/>
            </xdr:cNvSpPr>
          </xdr:nvSpPr>
          <xdr:spPr>
            <a:xfrm>
              <a:off x="2273300" y="31464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litha Lakshan" refreshedDate="46022.464805902775" createdVersion="8" refreshedVersion="8" minRefreshableVersion="3" recordCount="24" xr:uid="{60C57904-383B-1342-8875-06898F6D1FB2}">
  <cacheSource type="worksheet">
    <worksheetSource name="Table1"/>
  </cacheSource>
  <cacheFields count="10">
    <cacheField name="dataset" numFmtId="0">
      <sharedItems count="4">
        <s v="Email-EuAll"/>
        <s v="cit-Patents"/>
        <s v="soc-LiveJournal1"/>
        <s v="soc-pokec-relationships"/>
      </sharedItems>
    </cacheField>
    <cacheField name="timestamp" numFmtId="0">
      <sharedItems containsSemiMixedTypes="0" containsString="0" containsNumber="1" containsInteger="1" minValue="1767075374" maxValue="1767075445"/>
    </cacheField>
    <cacheField name="container" numFmtId="0">
      <sharedItems count="2">
        <s v="spark-master"/>
        <s v="spark-worker"/>
      </sharedItems>
    </cacheField>
    <cacheField name="net_io" numFmtId="0">
      <sharedItems/>
    </cacheField>
    <cacheField name="elapsed_s" numFmtId="0">
      <sharedItems containsMixedTypes="1" containsNumber="1" containsInteger="1" minValue="0" maxValue="20" count="6">
        <n v="0"/>
        <n v="5"/>
        <n v="10"/>
        <n v="15"/>
        <n v="20"/>
        <s v="" u="1"/>
      </sharedItems>
    </cacheField>
    <cacheField name="net_rx_mib" numFmtId="0">
      <sharedItems containsSemiMixedTypes="0" containsString="0" containsNumber="1" minValue="7.114410400390625E-3" maxValue="1.41143798828125"/>
    </cacheField>
    <cacheField name="net_tx_mib" numFmtId="0">
      <sharedItems containsSemiMixedTypes="0" containsString="0" containsNumber="1" minValue="2.09808349609375E-3" maxValue="1.373291015625"/>
    </cacheField>
    <cacheField name="net_total_mib" numFmtId="0">
      <sharedItems containsSemiMixedTypes="0" containsString="0" containsNumber="1" minValue="9.212493896484375E-3" maxValue="1.9712448120117188"/>
    </cacheField>
    <cacheField name="net_total_mib_job" numFmtId="0">
      <sharedItems containsSemiMixedTypes="0" containsString="0" containsNumber="1" minValue="9.212493896484375E-3" maxValue="1.9712448120117188"/>
    </cacheField>
    <cacheField name="net_total_mib_delta" numFmtId="0">
      <sharedItems containsSemiMixedTypes="0" containsString="0" containsNumber="1" minValue="0" maxValue="1.9712448120117188"/>
    </cacheField>
  </cacheFields>
  <extLst>
    <ext xmlns:x14="http://schemas.microsoft.com/office/spreadsheetml/2009/9/main" uri="{725AE2AE-9491-48be-B2B4-4EB974FC3084}">
      <x14:pivotCacheDefinition pivotCacheId="1735600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767075374"/>
    <x v="0"/>
    <s v="7.46kB / 2.2kB"/>
    <x v="0"/>
    <n v="7.114410400390625E-3"/>
    <n v="2.09808349609375E-3"/>
    <n v="9.212493896484375E-3"/>
    <n v="9.212493896484375E-3"/>
    <n v="0"/>
  </r>
  <r>
    <x v="0"/>
    <n v="1767075374"/>
    <x v="1"/>
    <s v="8.36kB / 7.02kB"/>
    <x v="0"/>
    <n v="7.97271728515625E-3"/>
    <n v="6.694793701171875E-3"/>
    <n v="1.4667510986328125E-2"/>
    <n v="1.4667510986328125E-2"/>
    <n v="0"/>
  </r>
  <r>
    <x v="1"/>
    <n v="1767075378"/>
    <x v="0"/>
    <s v="119kB / 282kB"/>
    <x v="0"/>
    <n v="0.11348724365234375"/>
    <n v="0.2689361572265625"/>
    <n v="0.38242340087890625"/>
    <n v="0.38242340087890625"/>
    <n v="0"/>
  </r>
  <r>
    <x v="1"/>
    <n v="1767075378"/>
    <x v="1"/>
    <s v="279kB / 116kB"/>
    <x v="0"/>
    <n v="0.26607513427734375"/>
    <n v="0.110626220703125"/>
    <n v="0.37670135498046875"/>
    <n v="0.37670135498046875"/>
    <n v="0"/>
  </r>
  <r>
    <x v="1"/>
    <n v="1767075386"/>
    <x v="0"/>
    <s v="140kB / 424kB"/>
    <x v="1"/>
    <n v="0.133514404296875"/>
    <n v="0.40435791015625"/>
    <n v="0.537872314453125"/>
    <n v="0.537872314453125"/>
    <n v="0.537872314453125"/>
  </r>
  <r>
    <x v="1"/>
    <n v="1767075386"/>
    <x v="1"/>
    <s v="426kB / 139kB"/>
    <x v="1"/>
    <n v="0.4062652587890625"/>
    <n v="0.13256072998046875"/>
    <n v="0.53882598876953125"/>
    <n v="0.53882598876953125"/>
    <n v="0.53882598876953125"/>
  </r>
  <r>
    <x v="1"/>
    <n v="1767075393"/>
    <x v="0"/>
    <s v="262kB / 628kB"/>
    <x v="2"/>
    <n v="0.2498626708984375"/>
    <n v="0.598907470703125"/>
    <n v="0.8487701416015625"/>
    <n v="0.8487701416015625"/>
    <n v="0.8487701416015625"/>
  </r>
  <r>
    <x v="1"/>
    <n v="1767075393"/>
    <x v="1"/>
    <s v="630kB / 260kB"/>
    <x v="2"/>
    <n v="0.6008148193359375"/>
    <n v="0.247955322265625"/>
    <n v="0.8487701416015625"/>
    <n v="0.8487701416015625"/>
    <n v="0.8487701416015625"/>
  </r>
  <r>
    <x v="2"/>
    <n v="1767075394"/>
    <x v="0"/>
    <s v="262kB / 628kB"/>
    <x v="0"/>
    <n v="0.2498626708984375"/>
    <n v="0.598907470703125"/>
    <n v="0.8487701416015625"/>
    <n v="0.8487701416015625"/>
    <n v="0"/>
  </r>
  <r>
    <x v="2"/>
    <n v="1767075394"/>
    <x v="1"/>
    <s v="630kB / 260kB"/>
    <x v="0"/>
    <n v="0.6008148193359375"/>
    <n v="0.247955322265625"/>
    <n v="0.8487701416015625"/>
    <n v="0.8487701416015625"/>
    <n v="0"/>
  </r>
  <r>
    <x v="2"/>
    <n v="1767075401"/>
    <x v="0"/>
    <s v="285kB / 775kB"/>
    <x v="1"/>
    <n v="0.27179718017578125"/>
    <n v="0.73909759521484375"/>
    <n v="1.010894775390625"/>
    <n v="1.010894775390625"/>
    <n v="1.010894775390625"/>
  </r>
  <r>
    <x v="2"/>
    <n v="1767075401"/>
    <x v="1"/>
    <s v="777kB / 283kB"/>
    <x v="1"/>
    <n v="0.74100494384765625"/>
    <n v="0.26988983154296875"/>
    <n v="1.010894775390625"/>
    <n v="1.010894775390625"/>
    <n v="1.010894775390625"/>
  </r>
  <r>
    <x v="2"/>
    <n v="1767075409"/>
    <x v="0"/>
    <s v="327kB / 882kB"/>
    <x v="2"/>
    <n v="0.31185150146484375"/>
    <n v="0.8411407470703125"/>
    <n v="1.1529922485351562"/>
    <n v="1.1529922485351562"/>
    <n v="1.1529922485351562"/>
  </r>
  <r>
    <x v="2"/>
    <n v="1767075409"/>
    <x v="1"/>
    <s v="862kB / 317kB"/>
    <x v="2"/>
    <n v="0.8220672607421875"/>
    <n v="0.30231475830078125"/>
    <n v="1.1243820190429688"/>
    <n v="1.1243820190429688"/>
    <n v="1.1243820190429688"/>
  </r>
  <r>
    <x v="2"/>
    <n v="1767075416"/>
    <x v="0"/>
    <s v="374kB / 1e+03kB"/>
    <x v="3"/>
    <n v="0.3566741943359375"/>
    <n v="0.95367431640625"/>
    <n v="1.3103485107421875"/>
    <n v="1.3103485107421875"/>
    <n v="1.3103485107421875"/>
  </r>
  <r>
    <x v="2"/>
    <n v="1767075416"/>
    <x v="1"/>
    <s v="980kB / 364kB"/>
    <x v="3"/>
    <n v="0.934600830078125"/>
    <n v="0.347137451171875"/>
    <n v="1.28173828125"/>
    <n v="1.28173828125"/>
    <n v="1.28173828125"/>
  </r>
  <r>
    <x v="2"/>
    <n v="1767075424"/>
    <x v="0"/>
    <s v="423kB / 1.09MB"/>
    <x v="4"/>
    <n v="0.40340423583984375"/>
    <n v="1.0395050048828125"/>
    <n v="1.4429092407226562"/>
    <n v="1.4429092407226562"/>
    <n v="1.4429092407226562"/>
  </r>
  <r>
    <x v="2"/>
    <n v="1767075424"/>
    <x v="1"/>
    <s v="1.04MB / 406kB"/>
    <x v="4"/>
    <n v="0.9918212890625"/>
    <n v="0.3871917724609375"/>
    <n v="1.3790130615234375"/>
    <n v="1.3790130615234375"/>
    <n v="1.3790130615234375"/>
  </r>
  <r>
    <x v="3"/>
    <n v="1767075431"/>
    <x v="0"/>
    <s v="514kB / 1.23MB"/>
    <x v="0"/>
    <n v="0.4901885986328125"/>
    <n v="1.1730194091796875"/>
    <n v="1.6632080078125"/>
    <n v="1.6632080078125"/>
    <n v="0"/>
  </r>
  <r>
    <x v="3"/>
    <n v="1767075431"/>
    <x v="1"/>
    <s v="1.24MB / 512kB"/>
    <x v="0"/>
    <n v="1.18255615234375"/>
    <n v="0.48828125"/>
    <n v="1.67083740234375"/>
    <n v="1.67083740234375"/>
    <n v="0"/>
  </r>
  <r>
    <x v="3"/>
    <n v="1767075437"/>
    <x v="0"/>
    <s v="538kB / 1.38MB"/>
    <x v="1"/>
    <n v="0.5130767822265625"/>
    <n v="1.316070556640625"/>
    <n v="1.8291473388671875"/>
    <n v="1.8291473388671875"/>
    <n v="1.8291473388671875"/>
  </r>
  <r>
    <x v="3"/>
    <n v="1767075437"/>
    <x v="1"/>
    <s v="1.38MB / 536kB"/>
    <x v="1"/>
    <n v="1.316070556640625"/>
    <n v="0.51116943359375"/>
    <n v="1.827239990234375"/>
    <n v="1.827239990234375"/>
    <n v="1.827239990234375"/>
  </r>
  <r>
    <x v="3"/>
    <n v="1767075445"/>
    <x v="0"/>
    <s v="571kB / 1.44MB"/>
    <x v="2"/>
    <n v="0.54454803466796875"/>
    <n v="1.373291015625"/>
    <n v="1.9178390502929688"/>
    <n v="1.9178390502929688"/>
    <n v="1.9178390502929688"/>
  </r>
  <r>
    <x v="3"/>
    <n v="1767075445"/>
    <x v="1"/>
    <s v="1.48MB / 587kB"/>
    <x v="2"/>
    <n v="1.41143798828125"/>
    <n v="0.55980682373046875"/>
    <n v="1.9712448120117188"/>
    <n v="1.9712448120117188"/>
    <n v="1.97124481201171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6A44D5-E9B8-8643-B289-813A6500B14D}" name="PivotTable10"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8" firstHeaderRow="1" firstDataRow="2" firstDataCol="1" rowPageCount="1" colPageCount="1"/>
  <pivotFields count="10">
    <pivotField axis="axisPage" multipleItemSelectionAllowed="1" showAll="0">
      <items count="5">
        <item x="1"/>
        <item h="1" x="0"/>
        <item h="1" x="2"/>
        <item h="1" x="3"/>
        <item t="default"/>
      </items>
    </pivotField>
    <pivotField showAll="0"/>
    <pivotField axis="axisCol" showAll="0">
      <items count="3">
        <item x="0"/>
        <item x="1"/>
        <item t="default"/>
      </items>
    </pivotField>
    <pivotField showAll="0"/>
    <pivotField axis="axisRow" showAll="0">
      <items count="7">
        <item m="1" x="5"/>
        <item x="0"/>
        <item x="1"/>
        <item x="2"/>
        <item x="3"/>
        <item x="4"/>
        <item t="default"/>
      </items>
    </pivotField>
    <pivotField showAll="0"/>
    <pivotField showAll="0"/>
    <pivotField showAll="0"/>
    <pivotField dataField="1" showAll="0"/>
    <pivotField showAll="0"/>
  </pivotFields>
  <rowFields count="1">
    <field x="4"/>
  </rowFields>
  <rowItems count="4">
    <i>
      <x v="1"/>
    </i>
    <i>
      <x v="2"/>
    </i>
    <i>
      <x v="3"/>
    </i>
    <i t="grand">
      <x/>
    </i>
  </rowItems>
  <colFields count="1">
    <field x="2"/>
  </colFields>
  <colItems count="3">
    <i>
      <x/>
    </i>
    <i>
      <x v="1"/>
    </i>
    <i t="grand">
      <x/>
    </i>
  </colItems>
  <pageFields count="1">
    <pageField fld="0" hier="-1"/>
  </pageFields>
  <dataFields count="1">
    <dataField name="Sum of net_total_mib_job" fld="8" baseField="0" baseItem="0"/>
  </dataFields>
  <chartFormats count="11">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10" format="11" series="1">
      <pivotArea type="data" outline="0" fieldPosition="0">
        <references count="2">
          <reference field="4294967294" count="1" selected="0">
            <x v="0"/>
          </reference>
          <reference field="0" count="1" selected="0">
            <x v="0"/>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12" format="14" series="1">
      <pivotArea type="data" outline="0" fieldPosition="0">
        <references count="2">
          <reference field="4294967294" count="1" selected="0">
            <x v="0"/>
          </reference>
          <reference field="2" count="1" selected="0">
            <x v="0"/>
          </reference>
        </references>
      </pivotArea>
    </chartFormat>
    <chartFormat chart="12" format="1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ECD41F-56E9-DB4C-8140-C5E298E40698}" name="PivotTable10"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D6" firstHeaderRow="1" firstDataRow="2" firstDataCol="1" rowPageCount="1" colPageCount="1"/>
  <pivotFields count="10">
    <pivotField axis="axisPage" multipleItemSelectionAllowed="1" showAll="0">
      <items count="5">
        <item h="1" x="1"/>
        <item x="0"/>
        <item h="1" x="2"/>
        <item h="1" x="3"/>
        <item t="default"/>
      </items>
    </pivotField>
    <pivotField showAll="0"/>
    <pivotField axis="axisCol" showAll="0">
      <items count="3">
        <item x="0"/>
        <item x="1"/>
        <item t="default"/>
      </items>
    </pivotField>
    <pivotField showAll="0"/>
    <pivotField axis="axisRow" showAll="0">
      <items count="7">
        <item m="1" x="5"/>
        <item x="0"/>
        <item x="1"/>
        <item x="2"/>
        <item x="3"/>
        <item x="4"/>
        <item t="default"/>
      </items>
    </pivotField>
    <pivotField showAll="0"/>
    <pivotField showAll="0"/>
    <pivotField dataField="1" showAll="0"/>
    <pivotField showAll="0"/>
    <pivotField showAll="0"/>
  </pivotFields>
  <rowFields count="1">
    <field x="4"/>
  </rowFields>
  <rowItems count="2">
    <i>
      <x v="1"/>
    </i>
    <i t="grand">
      <x/>
    </i>
  </rowItems>
  <colFields count="1">
    <field x="2"/>
  </colFields>
  <colItems count="3">
    <i>
      <x/>
    </i>
    <i>
      <x v="1"/>
    </i>
    <i t="grand">
      <x/>
    </i>
  </colItems>
  <pageFields count="1">
    <pageField fld="0" hier="-1"/>
  </pageFields>
  <dataFields count="1">
    <dataField name="Sum of net_total_mib" fld="7" baseField="0" baseItem="0"/>
  </dataFields>
  <chartFormats count="8">
    <chartFormat chart="17" format="22" series="1">
      <pivotArea type="data" outline="0" fieldPosition="0">
        <references count="1">
          <reference field="2" count="1" selected="0">
            <x v="0"/>
          </reference>
        </references>
      </pivotArea>
    </chartFormat>
    <chartFormat chart="17" format="23" series="1">
      <pivotArea type="data" outline="0" fieldPosition="0">
        <references count="1">
          <reference field="2" count="1" selected="0">
            <x v="1"/>
          </reference>
        </references>
      </pivotArea>
    </chartFormat>
    <chartFormat chart="12" format="18" series="1">
      <pivotArea type="data" outline="0" fieldPosition="0">
        <references count="1">
          <reference field="2" count="1" selected="0">
            <x v="0"/>
          </reference>
        </references>
      </pivotArea>
    </chartFormat>
    <chartFormat chart="12" format="19" series="1">
      <pivotArea type="data" outline="0" fieldPosition="0">
        <references count="1">
          <reference field="2" count="1" selected="0">
            <x v="1"/>
          </reference>
        </references>
      </pivotArea>
    </chartFormat>
    <chartFormat chart="17" format="24" series="1">
      <pivotArea type="data" outline="0" fieldPosition="0">
        <references count="2">
          <reference field="4294967294" count="1" selected="0">
            <x v="0"/>
          </reference>
          <reference field="2" count="1" selected="0">
            <x v="0"/>
          </reference>
        </references>
      </pivotArea>
    </chartFormat>
    <chartFormat chart="17" format="25" series="1">
      <pivotArea type="data" outline="0" fieldPosition="0">
        <references count="2">
          <reference field="4294967294" count="1" selected="0">
            <x v="0"/>
          </reference>
          <reference field="2" count="1" selected="0">
            <x v="1"/>
          </reference>
        </references>
      </pivotArea>
    </chartFormat>
    <chartFormat chart="28" format="24" series="1">
      <pivotArea type="data" outline="0" fieldPosition="0">
        <references count="2">
          <reference field="4294967294" count="1" selected="0">
            <x v="0"/>
          </reference>
          <reference field="2" count="1" selected="0">
            <x v="0"/>
          </reference>
        </references>
      </pivotArea>
    </chartFormat>
    <chartFormat chart="28" format="2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08C61-43D9-1840-BBA1-16359AA26EBC}" name="PivotTable10"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D8" firstHeaderRow="1" firstDataRow="2" firstDataCol="1" rowPageCount="1" colPageCount="1"/>
  <pivotFields count="10">
    <pivotField axis="axisPage" multipleItemSelectionAllowed="1" showAll="0">
      <items count="5">
        <item x="1"/>
        <item h="1" x="0"/>
        <item h="1" x="2"/>
        <item h="1" x="3"/>
        <item t="default"/>
      </items>
    </pivotField>
    <pivotField showAll="0"/>
    <pivotField axis="axisCol" showAll="0">
      <items count="3">
        <item x="0"/>
        <item x="1"/>
        <item t="default"/>
      </items>
    </pivotField>
    <pivotField showAll="0"/>
    <pivotField axis="axisRow" showAll="0">
      <items count="7">
        <item m="1" x="5"/>
        <item x="0"/>
        <item x="1"/>
        <item x="2"/>
        <item x="3"/>
        <item x="4"/>
        <item t="default"/>
      </items>
    </pivotField>
    <pivotField showAll="0"/>
    <pivotField showAll="0"/>
    <pivotField showAll="0"/>
    <pivotField dataField="1" showAll="0"/>
    <pivotField showAll="0"/>
  </pivotFields>
  <rowFields count="1">
    <field x="4"/>
  </rowFields>
  <rowItems count="4">
    <i>
      <x v="1"/>
    </i>
    <i>
      <x v="2"/>
    </i>
    <i>
      <x v="3"/>
    </i>
    <i t="grand">
      <x/>
    </i>
  </rowItems>
  <colFields count="1">
    <field x="2"/>
  </colFields>
  <colItems count="3">
    <i>
      <x/>
    </i>
    <i>
      <x v="1"/>
    </i>
    <i t="grand">
      <x/>
    </i>
  </colItems>
  <pageFields count="1">
    <pageField fld="0" hier="-1"/>
  </pageFields>
  <dataFields count="1">
    <dataField name="Sum of net_total_mib_job" fld="8" baseField="0" baseItem="0"/>
  </dataFields>
  <chartFormats count="19">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10" format="11" series="1">
      <pivotArea type="data" outline="0" fieldPosition="0">
        <references count="2">
          <reference field="4294967294" count="1" selected="0">
            <x v="0"/>
          </reference>
          <reference field="0" count="1" selected="0">
            <x v="0"/>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12" format="14" series="1">
      <pivotArea type="data" outline="0" fieldPosition="0">
        <references count="2">
          <reference field="4294967294" count="1" selected="0">
            <x v="0"/>
          </reference>
          <reference field="2" count="1" selected="0">
            <x v="0"/>
          </reference>
        </references>
      </pivotArea>
    </chartFormat>
    <chartFormat chart="12" format="15" series="1">
      <pivotArea type="data" outline="0" fieldPosition="0">
        <references count="2">
          <reference field="4294967294" count="1" selected="0">
            <x v="0"/>
          </reference>
          <reference field="2" count="1" selected="0">
            <x v="1"/>
          </reference>
        </references>
      </pivotArea>
    </chartFormat>
    <chartFormat chart="14" format="18" series="1">
      <pivotArea type="data" outline="0" fieldPosition="0">
        <references count="2">
          <reference field="4294967294" count="1" selected="0">
            <x v="0"/>
          </reference>
          <reference field="2" count="1" selected="0">
            <x v="0"/>
          </reference>
        </references>
      </pivotArea>
    </chartFormat>
    <chartFormat chart="14" format="19" series="1">
      <pivotArea type="data" outline="0" fieldPosition="0">
        <references count="2">
          <reference field="4294967294" count="1" selected="0">
            <x v="0"/>
          </reference>
          <reference field="2" count="1" selected="0">
            <x v="1"/>
          </reference>
        </references>
      </pivotArea>
    </chartFormat>
    <chartFormat chart="16" format="22" series="1">
      <pivotArea type="data" outline="0" fieldPosition="0">
        <references count="2">
          <reference field="4294967294" count="1" selected="0">
            <x v="0"/>
          </reference>
          <reference field="2" count="1" selected="0">
            <x v="0"/>
          </reference>
        </references>
      </pivotArea>
    </chartFormat>
    <chartFormat chart="16" format="23" series="1">
      <pivotArea type="data" outline="0" fieldPosition="0">
        <references count="2">
          <reference field="4294967294" count="1" selected="0">
            <x v="0"/>
          </reference>
          <reference field="2" count="1" selected="0">
            <x v="1"/>
          </reference>
        </references>
      </pivotArea>
    </chartFormat>
    <chartFormat chart="19" format="22" series="1">
      <pivotArea type="data" outline="0" fieldPosition="0">
        <references count="2">
          <reference field="4294967294" count="1" selected="0">
            <x v="0"/>
          </reference>
          <reference field="2" count="1" selected="0">
            <x v="0"/>
          </reference>
        </references>
      </pivotArea>
    </chartFormat>
    <chartFormat chart="19" format="23" series="1">
      <pivotArea type="data" outline="0" fieldPosition="0">
        <references count="2">
          <reference field="4294967294" count="1" selected="0">
            <x v="0"/>
          </reference>
          <reference field="2" count="1" selected="0">
            <x v="1"/>
          </reference>
        </references>
      </pivotArea>
    </chartFormat>
    <chartFormat chart="31" format="24" series="1">
      <pivotArea type="data" outline="0" fieldPosition="0">
        <references count="2">
          <reference field="4294967294" count="1" selected="0">
            <x v="0"/>
          </reference>
          <reference field="2" count="1" selected="0">
            <x v="0"/>
          </reference>
        </references>
      </pivotArea>
    </chartFormat>
    <chartFormat chart="31" format="2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35FCC-871D-DB41-98B5-7C9C17F9D472}" name="PivotTable10"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D8" firstHeaderRow="1" firstDataRow="2" firstDataCol="1" rowPageCount="1" colPageCount="1"/>
  <pivotFields count="10">
    <pivotField axis="axisPage" multipleItemSelectionAllowed="1" showAll="0">
      <items count="5">
        <item h="1" x="1"/>
        <item h="1" x="0"/>
        <item h="1" x="2"/>
        <item x="3"/>
        <item t="default"/>
      </items>
    </pivotField>
    <pivotField showAll="0"/>
    <pivotField axis="axisCol" showAll="0">
      <items count="3">
        <item x="0"/>
        <item x="1"/>
        <item t="default"/>
      </items>
    </pivotField>
    <pivotField showAll="0"/>
    <pivotField axis="axisRow" showAll="0">
      <items count="7">
        <item m="1" x="5"/>
        <item x="0"/>
        <item x="1"/>
        <item x="2"/>
        <item x="3"/>
        <item x="4"/>
        <item t="default"/>
      </items>
    </pivotField>
    <pivotField showAll="0"/>
    <pivotField showAll="0"/>
    <pivotField showAll="0"/>
    <pivotField dataField="1" showAll="0"/>
    <pivotField showAll="0"/>
  </pivotFields>
  <rowFields count="1">
    <field x="4"/>
  </rowFields>
  <rowItems count="4">
    <i>
      <x v="1"/>
    </i>
    <i>
      <x v="2"/>
    </i>
    <i>
      <x v="3"/>
    </i>
    <i t="grand">
      <x/>
    </i>
  </rowItems>
  <colFields count="1">
    <field x="2"/>
  </colFields>
  <colItems count="3">
    <i>
      <x/>
    </i>
    <i>
      <x v="1"/>
    </i>
    <i t="grand">
      <x/>
    </i>
  </colItems>
  <pageFields count="1">
    <pageField fld="0" hier="-1"/>
  </pageFields>
  <dataFields count="1">
    <dataField name="Sum of net_total_mib_job" fld="8" baseField="0" baseItem="0"/>
  </dataFields>
  <chartFormats count="21">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10" format="11" series="1">
      <pivotArea type="data" outline="0" fieldPosition="0">
        <references count="2">
          <reference field="4294967294" count="1" selected="0">
            <x v="0"/>
          </reference>
          <reference field="0" count="1" selected="0">
            <x v="0"/>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12" format="14" series="1">
      <pivotArea type="data" outline="0" fieldPosition="0">
        <references count="2">
          <reference field="4294967294" count="1" selected="0">
            <x v="0"/>
          </reference>
          <reference field="2" count="1" selected="0">
            <x v="0"/>
          </reference>
        </references>
      </pivotArea>
    </chartFormat>
    <chartFormat chart="12" format="15" series="1">
      <pivotArea type="data" outline="0" fieldPosition="0">
        <references count="2">
          <reference field="4294967294" count="1" selected="0">
            <x v="0"/>
          </reference>
          <reference field="2" count="1" selected="0">
            <x v="1"/>
          </reference>
        </references>
      </pivotArea>
    </chartFormat>
    <chartFormat chart="14" format="18" series="1">
      <pivotArea type="data" outline="0" fieldPosition="0">
        <references count="2">
          <reference field="4294967294" count="1" selected="0">
            <x v="0"/>
          </reference>
          <reference field="2" count="1" selected="0">
            <x v="0"/>
          </reference>
        </references>
      </pivotArea>
    </chartFormat>
    <chartFormat chart="14" format="19" series="1">
      <pivotArea type="data" outline="0" fieldPosition="0">
        <references count="2">
          <reference field="4294967294" count="1" selected="0">
            <x v="0"/>
          </reference>
          <reference field="2" count="1" selected="0">
            <x v="1"/>
          </reference>
        </references>
      </pivotArea>
    </chartFormat>
    <chartFormat chart="16" format="22" series="1">
      <pivotArea type="data" outline="0" fieldPosition="0">
        <references count="2">
          <reference field="4294967294" count="1" selected="0">
            <x v="0"/>
          </reference>
          <reference field="2" count="1" selected="0">
            <x v="0"/>
          </reference>
        </references>
      </pivotArea>
    </chartFormat>
    <chartFormat chart="16" format="23" series="1">
      <pivotArea type="data" outline="0" fieldPosition="0">
        <references count="2">
          <reference field="4294967294" count="1" selected="0">
            <x v="0"/>
          </reference>
          <reference field="2" count="1" selected="0">
            <x v="1"/>
          </reference>
        </references>
      </pivotArea>
    </chartFormat>
    <chartFormat chart="18" format="26" series="1">
      <pivotArea type="data" outline="0" fieldPosition="0">
        <references count="2">
          <reference field="4294967294" count="1" selected="0">
            <x v="0"/>
          </reference>
          <reference field="2" count="1" selected="0">
            <x v="0"/>
          </reference>
        </references>
      </pivotArea>
    </chartFormat>
    <chartFormat chart="18" format="27" series="1">
      <pivotArea type="data" outline="0" fieldPosition="0">
        <references count="2">
          <reference field="4294967294" count="1" selected="0">
            <x v="0"/>
          </reference>
          <reference field="2" count="1" selected="0">
            <x v="1"/>
          </reference>
        </references>
      </pivotArea>
    </chartFormat>
    <chartFormat chart="22" format="26" series="1">
      <pivotArea type="data" outline="0" fieldPosition="0">
        <references count="2">
          <reference field="4294967294" count="1" selected="0">
            <x v="0"/>
          </reference>
          <reference field="2" count="1" selected="0">
            <x v="0"/>
          </reference>
        </references>
      </pivotArea>
    </chartFormat>
    <chartFormat chart="22" format="27" series="1">
      <pivotArea type="data" outline="0" fieldPosition="0">
        <references count="2">
          <reference field="4294967294" count="1" selected="0">
            <x v="0"/>
          </reference>
          <reference field="2" count="1" selected="0">
            <x v="1"/>
          </reference>
        </references>
      </pivotArea>
    </chartFormat>
    <chartFormat chart="33" format="28" series="1">
      <pivotArea type="data" outline="0" fieldPosition="0">
        <references count="2">
          <reference field="4294967294" count="1" selected="0">
            <x v="0"/>
          </reference>
          <reference field="2" count="1" selected="0">
            <x v="0"/>
          </reference>
        </references>
      </pivotArea>
    </chartFormat>
    <chartFormat chart="33" format="2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603B4-9D5E-7246-A675-558FBD524437}" name="PivotTable10"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10" firstHeaderRow="1" firstDataRow="2" firstDataCol="1" rowPageCount="1" colPageCount="1"/>
  <pivotFields count="10">
    <pivotField axis="axisPage" multipleItemSelectionAllowed="1" showAll="0">
      <items count="5">
        <item h="1" x="1"/>
        <item h="1" x="0"/>
        <item x="2"/>
        <item h="1" x="3"/>
        <item t="default"/>
      </items>
    </pivotField>
    <pivotField showAll="0"/>
    <pivotField axis="axisCol" showAll="0">
      <items count="3">
        <item x="0"/>
        <item x="1"/>
        <item t="default"/>
      </items>
    </pivotField>
    <pivotField showAll="0"/>
    <pivotField axis="axisRow" showAll="0">
      <items count="7">
        <item m="1" x="5"/>
        <item x="0"/>
        <item x="1"/>
        <item x="2"/>
        <item x="3"/>
        <item x="4"/>
        <item t="default"/>
      </items>
    </pivotField>
    <pivotField showAll="0"/>
    <pivotField showAll="0"/>
    <pivotField showAll="0"/>
    <pivotField dataField="1" showAll="0"/>
    <pivotField showAll="0"/>
  </pivotFields>
  <rowFields count="1">
    <field x="4"/>
  </rowFields>
  <rowItems count="6">
    <i>
      <x v="1"/>
    </i>
    <i>
      <x v="2"/>
    </i>
    <i>
      <x v="3"/>
    </i>
    <i>
      <x v="4"/>
    </i>
    <i>
      <x v="5"/>
    </i>
    <i t="grand">
      <x/>
    </i>
  </rowItems>
  <colFields count="1">
    <field x="2"/>
  </colFields>
  <colItems count="3">
    <i>
      <x/>
    </i>
    <i>
      <x v="1"/>
    </i>
    <i t="grand">
      <x/>
    </i>
  </colItems>
  <pageFields count="1">
    <pageField fld="0" hier="-1"/>
  </pageFields>
  <dataFields count="1">
    <dataField name="Sum of net_total_mib_job" fld="8" baseField="0" baseItem="0"/>
  </dataFields>
  <chartFormats count="23">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0"/>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2">
          <reference field="4294967294" count="1" selected="0">
            <x v="0"/>
          </reference>
          <reference field="0" count="1" selected="0">
            <x v="0"/>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10" format="11" series="1">
      <pivotArea type="data" outline="0" fieldPosition="0">
        <references count="2">
          <reference field="4294967294" count="1" selected="0">
            <x v="0"/>
          </reference>
          <reference field="0" count="1" selected="0">
            <x v="0"/>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12" format="14" series="1">
      <pivotArea type="data" outline="0" fieldPosition="0">
        <references count="2">
          <reference field="4294967294" count="1" selected="0">
            <x v="0"/>
          </reference>
          <reference field="2" count="1" selected="0">
            <x v="0"/>
          </reference>
        </references>
      </pivotArea>
    </chartFormat>
    <chartFormat chart="12" format="15" series="1">
      <pivotArea type="data" outline="0" fieldPosition="0">
        <references count="2">
          <reference field="4294967294" count="1" selected="0">
            <x v="0"/>
          </reference>
          <reference field="2" count="1" selected="0">
            <x v="1"/>
          </reference>
        </references>
      </pivotArea>
    </chartFormat>
    <chartFormat chart="14" format="18" series="1">
      <pivotArea type="data" outline="0" fieldPosition="0">
        <references count="2">
          <reference field="4294967294" count="1" selected="0">
            <x v="0"/>
          </reference>
          <reference field="2" count="1" selected="0">
            <x v="0"/>
          </reference>
        </references>
      </pivotArea>
    </chartFormat>
    <chartFormat chart="14" format="19" series="1">
      <pivotArea type="data" outline="0" fieldPosition="0">
        <references count="2">
          <reference field="4294967294" count="1" selected="0">
            <x v="0"/>
          </reference>
          <reference field="2" count="1" selected="0">
            <x v="1"/>
          </reference>
        </references>
      </pivotArea>
    </chartFormat>
    <chartFormat chart="16" format="22" series="1">
      <pivotArea type="data" outline="0" fieldPosition="0">
        <references count="2">
          <reference field="4294967294" count="1" selected="0">
            <x v="0"/>
          </reference>
          <reference field="2" count="1" selected="0">
            <x v="0"/>
          </reference>
        </references>
      </pivotArea>
    </chartFormat>
    <chartFormat chart="16" format="23" series="1">
      <pivotArea type="data" outline="0" fieldPosition="0">
        <references count="2">
          <reference field="4294967294" count="1" selected="0">
            <x v="0"/>
          </reference>
          <reference field="2" count="1" selected="0">
            <x v="1"/>
          </reference>
        </references>
      </pivotArea>
    </chartFormat>
    <chartFormat chart="18" format="26" series="1">
      <pivotArea type="data" outline="0" fieldPosition="0">
        <references count="2">
          <reference field="4294967294" count="1" selected="0">
            <x v="0"/>
          </reference>
          <reference field="2" count="1" selected="0">
            <x v="0"/>
          </reference>
        </references>
      </pivotArea>
    </chartFormat>
    <chartFormat chart="18" format="27" series="1">
      <pivotArea type="data" outline="0" fieldPosition="0">
        <references count="2">
          <reference field="4294967294" count="1" selected="0">
            <x v="0"/>
          </reference>
          <reference field="2" count="1" selected="0">
            <x v="1"/>
          </reference>
        </references>
      </pivotArea>
    </chartFormat>
    <chartFormat chart="22" format="30" series="1">
      <pivotArea type="data" outline="0" fieldPosition="0">
        <references count="2">
          <reference field="4294967294" count="1" selected="0">
            <x v="0"/>
          </reference>
          <reference field="2" count="1" selected="0">
            <x v="0"/>
          </reference>
        </references>
      </pivotArea>
    </chartFormat>
    <chartFormat chart="22" format="31" series="1">
      <pivotArea type="data" outline="0" fieldPosition="0">
        <references count="2">
          <reference field="4294967294" count="1" selected="0">
            <x v="0"/>
          </reference>
          <reference field="2" count="1" selected="0">
            <x v="1"/>
          </reference>
        </references>
      </pivotArea>
    </chartFormat>
    <chartFormat chart="34" format="30" series="1">
      <pivotArea type="data" outline="0" fieldPosition="0">
        <references count="2">
          <reference field="4294967294" count="1" selected="0">
            <x v="0"/>
          </reference>
          <reference field="2" count="1" selected="0">
            <x v="0"/>
          </reference>
        </references>
      </pivotArea>
    </chartFormat>
    <chartFormat chart="34" format="31" series="1">
      <pivotArea type="data" outline="0" fieldPosition="0">
        <references count="2">
          <reference field="4294967294" count="1" selected="0">
            <x v="0"/>
          </reference>
          <reference field="2" count="1" selected="0">
            <x v="1"/>
          </reference>
        </references>
      </pivotArea>
    </chartFormat>
    <chartFormat chart="35" format="32" series="1">
      <pivotArea type="data" outline="0" fieldPosition="0">
        <references count="2">
          <reference field="4294967294" count="1" selected="0">
            <x v="0"/>
          </reference>
          <reference field="2" count="1" selected="0">
            <x v="0"/>
          </reference>
        </references>
      </pivotArea>
    </chartFormat>
    <chartFormat chart="35" format="3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679D9A-7B5F-B54F-8907-F2997A545D77}" name="PivotTable10"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F10" firstHeaderRow="1" firstDataRow="2" firstDataCol="1"/>
  <pivotFields count="10">
    <pivotField axis="axisCol" multipleItemSelectionAllowed="1" showAll="0">
      <items count="5">
        <item x="1"/>
        <item x="0"/>
        <item x="2"/>
        <item x="3"/>
        <item t="default"/>
      </items>
    </pivotField>
    <pivotField showAll="0"/>
    <pivotField showAll="0">
      <items count="3">
        <item x="0"/>
        <item x="1"/>
        <item t="default"/>
      </items>
    </pivotField>
    <pivotField showAll="0"/>
    <pivotField axis="axisRow" showAll="0">
      <items count="7">
        <item m="1" x="5"/>
        <item x="0"/>
        <item x="1"/>
        <item x="2"/>
        <item x="3"/>
        <item x="4"/>
        <item t="default"/>
      </items>
    </pivotField>
    <pivotField showAll="0"/>
    <pivotField showAll="0"/>
    <pivotField showAll="0"/>
    <pivotField showAll="0"/>
    <pivotField dataField="1" showAll="0"/>
  </pivotFields>
  <rowFields count="1">
    <field x="4"/>
  </rowFields>
  <rowItems count="6">
    <i>
      <x v="1"/>
    </i>
    <i>
      <x v="2"/>
    </i>
    <i>
      <x v="3"/>
    </i>
    <i>
      <x v="4"/>
    </i>
    <i>
      <x v="5"/>
    </i>
    <i t="grand">
      <x/>
    </i>
  </rowItems>
  <colFields count="1">
    <field x="0"/>
  </colFields>
  <colItems count="5">
    <i>
      <x/>
    </i>
    <i>
      <x v="1"/>
    </i>
    <i>
      <x v="2"/>
    </i>
    <i>
      <x v="3"/>
    </i>
    <i t="grand">
      <x/>
    </i>
  </colItems>
  <dataFields count="1">
    <dataField name="Sum of net_total_mib_delta" fld="9" baseField="0" baseItem="0"/>
  </dataFields>
  <chartFormats count="5">
    <chartFormat chart="34" format="33" series="1">
      <pivotArea type="data" outline="0" fieldPosition="0">
        <references count="1">
          <reference field="0" count="1" selected="0">
            <x v="2"/>
          </reference>
        </references>
      </pivotArea>
    </chartFormat>
    <chartFormat chart="34" format="34" series="1">
      <pivotArea type="data" outline="0" fieldPosition="0">
        <references count="2">
          <reference field="4294967294" count="1" selected="0">
            <x v="0"/>
          </reference>
          <reference field="0" count="1" selected="0">
            <x v="0"/>
          </reference>
        </references>
      </pivotArea>
    </chartFormat>
    <chartFormat chart="34" format="35" series="1">
      <pivotArea type="data" outline="0" fieldPosition="0">
        <references count="2">
          <reference field="4294967294" count="1" selected="0">
            <x v="0"/>
          </reference>
          <reference field="0" count="1" selected="0">
            <x v="1"/>
          </reference>
        </references>
      </pivotArea>
    </chartFormat>
    <chartFormat chart="34" format="36" series="1">
      <pivotArea type="data" outline="0" fieldPosition="0">
        <references count="2">
          <reference field="4294967294" count="1" selected="0">
            <x v="0"/>
          </reference>
          <reference field="0" count="1" selected="0">
            <x v="2"/>
          </reference>
        </references>
      </pivotArea>
    </chartFormat>
    <chartFormat chart="34" format="3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 xr10:uid="{7C335220-60FC-8041-B209-320EDA4B2266}" sourceName="dataset">
  <pivotTables>
    <pivotTable tabId="3" name="PivotTable10"/>
  </pivotTables>
  <data>
    <tabular pivotCacheId="1735600106">
      <items count="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 xr10:uid="{F6F9618F-20CA-994F-8E8D-75E3F29B0E72}" sourceName="dataset">
  <pivotTables>
    <pivotTable tabId="9" name="PivotTable10"/>
  </pivotTables>
  <data>
    <tabular pivotCacheId="1735600106">
      <items count="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 xr10:uid="{3060083F-BA33-4B43-9B33-AB17DE4A8CEA}" sourceName="dataset">
  <pivotTables>
    <pivotTable tabId="10" name="PivotTable10"/>
  </pivotTables>
  <data>
    <tabular pivotCacheId="1735600106">
      <items count="4">
        <i x="1" s="1"/>
        <i x="0"/>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 xr10:uid="{BDF15D38-7E18-DA45-B870-8B5D21699D9C}" sourceName="dataset">
  <pivotTables>
    <pivotTable tabId="11" name="PivotTable10"/>
  </pivotTables>
  <data>
    <tabular pivotCacheId="1735600106">
      <items count="4">
        <i x="1"/>
        <i x="0"/>
        <i x="2"/>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 xr10:uid="{C8D4162E-5524-D54B-BDA2-8A62ED414D39}" sourceName="dataset">
  <pivotTables>
    <pivotTable tabId="12" name="PivotTable10"/>
  </pivotTables>
  <data>
    <tabular pivotCacheId="1735600106">
      <items count="4">
        <i x="1"/>
        <i x="0"/>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11" xr10:uid="{135BDAEE-6EE2-5D42-92C6-98DB9B647A91}" sourceName="dataset">
  <pivotTables>
    <pivotTable tabId="15" name="PivotTable10"/>
  </pivotTables>
  <data>
    <tabular pivotCacheId="173560010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xr10:uid="{4A0F10B9-5F9C-D545-84B3-B4718CFE2256}" cache="Slicer_dataset" caption="datase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1" xr10:uid="{84FFC3B9-A2A2-7545-8234-6BE31A21D288}" cache="Slicer_dataset1" caption="datase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2" xr10:uid="{5AA993FE-3C50-244D-90BF-E682B7F60666}" cache="Slicer_dataset11" caption="dataset"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3" xr10:uid="{99DD663A-EFA8-6844-8057-3C8176FD3B84}" cache="Slicer_dataset111" caption="dataset"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4" xr10:uid="{2BA21738-CF10-D840-82FE-61FE2DEA94D9}" cache="Slicer_dataset1111" caption="dataset"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5" xr10:uid="{E234E943-5393-DC48-A526-D65E17F8DEA6}" cache="Slicer_dataset11111" caption="datase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25">
  <autoFilter ref="A1:J25" xr:uid="{00000000-0009-0000-0100-000001000000}"/>
  <tableColumns count="10">
    <tableColumn id="1" xr3:uid="{00000000-0010-0000-0000-000001000000}" name="dataset"/>
    <tableColumn id="2" xr3:uid="{00000000-0010-0000-0000-000002000000}" name="timestamp"/>
    <tableColumn id="3" xr3:uid="{00000000-0010-0000-0000-000003000000}" name="container"/>
    <tableColumn id="4" xr3:uid="{00000000-0010-0000-0000-000004000000}" name="net_io"/>
    <tableColumn id="5" xr3:uid="{00000000-0010-0000-0000-000005000000}" name="elapsed_s">
      <calculatedColumnFormula array="1">(_xlfn.XMATCH(Table1[[#This Row],[timestamp]],_xlfn._xlws.SORT(_xlfn.UNIQUE(_xlfn._xlws.FILTER(Table1[timestamp],Table1[dataset]=Table1[[#This Row],[dataset]]))),0,1)-1)*5</calculatedColumnFormula>
    </tableColumn>
    <tableColumn id="6" xr3:uid="{00000000-0010-0000-0000-000006000000}" name="net_rx_mib"/>
    <tableColumn id="7" xr3:uid="{00000000-0010-0000-0000-000007000000}" name="net_tx_mib"/>
    <tableColumn id="8" xr3:uid="{00000000-0010-0000-0000-000008000000}" name="net_total_mib"/>
    <tableColumn id="9" xr3:uid="{00000000-0010-0000-0000-000009000000}" name="net_total_mib_job"/>
    <tableColumn id="10" xr3:uid="{00000000-0010-0000-0000-00000A000000}" name="net_total_mib_delta"/>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workbookViewId="0">
      <selection activeCell="A16" sqref="A16"/>
    </sheetView>
  </sheetViews>
  <sheetFormatPr baseColWidth="10" defaultColWidth="8.83203125" defaultRowHeight="16" x14ac:dyDescent="0.2"/>
  <cols>
    <col min="2" max="2" width="12.6640625" customWidth="1"/>
    <col min="3" max="3" width="11.33203125" customWidth="1"/>
    <col min="4" max="4" width="24" customWidth="1"/>
    <col min="5" max="5" width="10.83203125" customWidth="1"/>
    <col min="8" max="8" width="16.5" customWidth="1"/>
    <col min="9" max="9" width="26.6640625" customWidth="1"/>
    <col min="10" max="10" width="22.1640625" customWidth="1"/>
  </cols>
  <sheetData>
    <row r="1" spans="1:10" x14ac:dyDescent="0.2">
      <c r="A1" t="s">
        <v>0</v>
      </c>
      <c r="B1" t="s">
        <v>1</v>
      </c>
      <c r="C1" t="s">
        <v>2</v>
      </c>
      <c r="D1" t="s">
        <v>3</v>
      </c>
      <c r="E1" t="s">
        <v>4</v>
      </c>
      <c r="F1" t="s">
        <v>5</v>
      </c>
      <c r="G1" t="s">
        <v>6</v>
      </c>
      <c r="H1" t="s">
        <v>7</v>
      </c>
      <c r="I1" t="s">
        <v>8</v>
      </c>
      <c r="J1" t="s">
        <v>9</v>
      </c>
    </row>
    <row r="2" spans="1:10" x14ac:dyDescent="0.2">
      <c r="A2" t="s">
        <v>10</v>
      </c>
      <c r="B2">
        <v>1767075374</v>
      </c>
      <c r="C2" t="s">
        <v>11</v>
      </c>
      <c r="D2" t="s">
        <v>12</v>
      </c>
      <c r="E2" cm="1">
        <f t="array" ref="E2">(_xlfn.XMATCH(Table1[[#This Row],[timestamp]],_xlfn._xlws.SORT(_xlfn.UNIQUE(_xlfn._xlws.FILTER(Table1[timestamp],Table1[dataset]=Table1[[#This Row],[dataset]]))),0,1)-1)*5</f>
        <v>0</v>
      </c>
      <c r="F2">
        <f t="shared" ref="F2:F25" si="0">IFERROR(IF(RIGHT(TRIM(LEFT($D2,FIND("/",$D2)-1)),2)="kB",VALUE(LEFT(TRIM(LEFT($D2,FIND("/",$D2)-1)),LEN(TRIM(LEFT($D2,FIND("/",$D2)-1)))-2))*1000/1024/1024,IF(RIGHT(TRIM(LEFT($D2,FIND("/",$D2)-1)),2)="MB",VALUE(LEFT(TRIM(LEFT($D2,FIND("/",$D2)-1)),LEN(TRIM(LEFT($D2,FIND("/",$D2)-1)))-2))*1000000/1024/1024,IF(RIGHT(TRIM(LEFT($D2,FIND("/",$D2)-1)),2)="GB",VALUE(LEFT(TRIM(LEFT($D2,FIND("/",$D2)-1)),LEN(TRIM(LEFT($D2,FIND("/",$D2)-1)))-2))*1000000000/1024/1024,VALUE(LEFT(TRIM(LEFT($D2,FIND("/",$D2)-1)),LEN(TRIM(LEFT($D2,FIND("/",$D2)-1)))-2))/1024/1024))),0)</f>
        <v>7.114410400390625E-3</v>
      </c>
      <c r="G2">
        <f t="shared" ref="G2:G25" si="1">IFERROR(IF(RIGHT(TRIM(MID($D2,FIND("/",$D2)+1,999)),2)="kB",VALUE(LEFT(TRIM(MID($D2,FIND("/",$D2)+1,999)),LEN(TRIM(MID($D2,FIND("/",$D2)+1,999)))-2))*1000/1024/1024,IF(RIGHT(TRIM(MID($D2,FIND("/",$D2)+1,999)),2)="MB",VALUE(LEFT(TRIM(MID($D2,FIND("/",$D2)+1,999)),LEN(TRIM(MID($D2,FIND("/",$D2)+1,999)))-2))*1000000/1024/1024,IF(RIGHT(TRIM(MID($D2,FIND("/",$D2)+1,999)),2)="GB",VALUE(LEFT(TRIM(MID($D2,FIND("/",$D2)+1,999)),LEN(TRIM(MID($D2,FIND("/",$D2)+1,999)))-2))*1000000000/1024/1024,VALUE(LEFT(TRIM(MID($D2,FIND("/",$D2)+1,999)),LEN(TRIM(MID($D2,FIND("/",$D2)+1,999)))-2))/1024/1024))),0)</f>
        <v>2.09808349609375E-3</v>
      </c>
      <c r="H2">
        <f t="shared" ref="H2:H25" si="2">IF(OR($F2="",$G2=""),"",$F2+$G2)</f>
        <v>9.212493896484375E-3</v>
      </c>
      <c r="I2">
        <f ca="1">IF($H2="","",MAX(0,$H2-SUMIFS($H$2:$H$25,$A$2:$A$25,$A2,$C$2:$C$25,$C2,$B$2:$B$25,_xludf.MINIFS($B$2:$B$25,$A$2:$A$25,$A2,$C$2:$C$25,$C2))))</f>
        <v>9.212493896484375E-3</v>
      </c>
      <c r="J2">
        <f>IF($E2=0,0,IFERROR(MAX(0,$H2-SUMIFS($H$2:$H$25,$A$2:$A$25,$A2,$C$2:$C$25,$C2,$B$2:$B$25,_xludf.MAXIFS($B$2:$B$25,$A$2:$A$25,$A2,$C$2:$C$25,$C2,$B$2:$B$25,"&lt;"&amp;$B2))),0))</f>
        <v>0</v>
      </c>
    </row>
    <row r="3" spans="1:10" x14ac:dyDescent="0.2">
      <c r="A3" t="s">
        <v>10</v>
      </c>
      <c r="B3">
        <v>1767075374</v>
      </c>
      <c r="C3" t="s">
        <v>13</v>
      </c>
      <c r="D3" t="s">
        <v>14</v>
      </c>
      <c r="E3" cm="1">
        <f t="array" ref="E3">(_xlfn.XMATCH(Table1[[#This Row],[timestamp]],_xlfn._xlws.SORT(_xlfn.UNIQUE(_xlfn._xlws.FILTER(Table1[timestamp],Table1[dataset]=Table1[[#This Row],[dataset]]))),0,1)-1)*5</f>
        <v>0</v>
      </c>
      <c r="F3">
        <f t="shared" si="0"/>
        <v>7.97271728515625E-3</v>
      </c>
      <c r="G3">
        <f t="shared" si="1"/>
        <v>6.694793701171875E-3</v>
      </c>
      <c r="H3">
        <f t="shared" si="2"/>
        <v>1.4667510986328125E-2</v>
      </c>
      <c r="I3">
        <f ca="1">IF($H3="","",MAX(0,$H3-SUMIFS($H$2:$H$25,$A$2:$A$25,$A3,$C$2:$C$25,$C3,$B$2:$B$25,_xludf.MINIFS($B$2:$B$25,$A$2:$A$25,$A3,$C$2:$C$25,$C3))))</f>
        <v>1.4667510986328125E-2</v>
      </c>
      <c r="J3">
        <f>IF($E3=0,0,IFERROR(MAX(0,$H3-SUMIFS($H$2:$H$25,$A$2:$A$25,$A3,$C$2:$C$25,$C3,$B$2:$B$25,_xludf.MAXIFS($B$2:$B$25,$A$2:$A$25,$A3,$C$2:$C$25,$C3,$B$2:$B$25,"&lt;"&amp;$B3))),0))</f>
        <v>0</v>
      </c>
    </row>
    <row r="4" spans="1:10" x14ac:dyDescent="0.2">
      <c r="A4" t="s">
        <v>15</v>
      </c>
      <c r="B4">
        <v>1767075378</v>
      </c>
      <c r="C4" t="s">
        <v>11</v>
      </c>
      <c r="D4" t="s">
        <v>16</v>
      </c>
      <c r="E4" cm="1">
        <f t="array" ref="E4">(_xlfn.XMATCH(Table1[[#This Row],[timestamp]],_xlfn._xlws.SORT(_xlfn.UNIQUE(_xlfn._xlws.FILTER(Table1[timestamp],Table1[dataset]=Table1[[#This Row],[dataset]]))),0,1)-1)*5</f>
        <v>0</v>
      </c>
      <c r="F4">
        <f t="shared" si="0"/>
        <v>0.11348724365234375</v>
      </c>
      <c r="G4">
        <f t="shared" si="1"/>
        <v>0.2689361572265625</v>
      </c>
      <c r="H4">
        <f t="shared" si="2"/>
        <v>0.38242340087890625</v>
      </c>
      <c r="I4">
        <f ca="1">IF($H4="","",MAX(0,$H4-SUMIFS($H$2:$H$25,$A$2:$A$25,$A4,$C$2:$C$25,$C4,$B$2:$B$25,_xludf.MINIFS($B$2:$B$25,$A$2:$A$25,$A4,$C$2:$C$25,$C4))))</f>
        <v>0.38242340087890625</v>
      </c>
      <c r="J4">
        <f>IF($E4=0,0,IFERROR(MAX(0,$H4-SUMIFS($H$2:$H$25,$A$2:$A$25,$A4,$C$2:$C$25,$C4,$B$2:$B$25,_xludf.MAXIFS($B$2:$B$25,$A$2:$A$25,$A4,$C$2:$C$25,$C4,$B$2:$B$25,"&lt;"&amp;$B4))),0))</f>
        <v>0</v>
      </c>
    </row>
    <row r="5" spans="1:10" x14ac:dyDescent="0.2">
      <c r="A5" t="s">
        <v>15</v>
      </c>
      <c r="B5">
        <v>1767075378</v>
      </c>
      <c r="C5" t="s">
        <v>13</v>
      </c>
      <c r="D5" t="s">
        <v>17</v>
      </c>
      <c r="E5" cm="1">
        <f t="array" ref="E5">(_xlfn.XMATCH(Table1[[#This Row],[timestamp]],_xlfn._xlws.SORT(_xlfn.UNIQUE(_xlfn._xlws.FILTER(Table1[timestamp],Table1[dataset]=Table1[[#This Row],[dataset]]))),0,1)-1)*5</f>
        <v>0</v>
      </c>
      <c r="F5">
        <f t="shared" si="0"/>
        <v>0.26607513427734375</v>
      </c>
      <c r="G5">
        <f t="shared" si="1"/>
        <v>0.110626220703125</v>
      </c>
      <c r="H5">
        <f t="shared" si="2"/>
        <v>0.37670135498046875</v>
      </c>
      <c r="I5">
        <f ca="1">IF($H5="","",MAX(0,$H5-SUMIFS($H$2:$H$25,$A$2:$A$25,$A5,$C$2:$C$25,$C5,$B$2:$B$25,_xludf.MINIFS($B$2:$B$25,$A$2:$A$25,$A5,$C$2:$C$25,$C5))))</f>
        <v>0.37670135498046875</v>
      </c>
      <c r="J5">
        <f>IF($E5=0,0,IFERROR(MAX(0,$H5-SUMIFS($H$2:$H$25,$A$2:$A$25,$A5,$C$2:$C$25,$C5,$B$2:$B$25,_xludf.MAXIFS($B$2:$B$25,$A$2:$A$25,$A5,$C$2:$C$25,$C5,$B$2:$B$25,"&lt;"&amp;$B5))),0))</f>
        <v>0</v>
      </c>
    </row>
    <row r="6" spans="1:10" x14ac:dyDescent="0.2">
      <c r="A6" t="s">
        <v>15</v>
      </c>
      <c r="B6">
        <v>1767075386</v>
      </c>
      <c r="C6" t="s">
        <v>11</v>
      </c>
      <c r="D6" t="s">
        <v>18</v>
      </c>
      <c r="E6" cm="1">
        <f t="array" ref="E6">(_xlfn.XMATCH(Table1[[#This Row],[timestamp]],_xlfn._xlws.SORT(_xlfn.UNIQUE(_xlfn._xlws.FILTER(Table1[timestamp],Table1[dataset]=Table1[[#This Row],[dataset]]))),0,1)-1)*5</f>
        <v>5</v>
      </c>
      <c r="F6">
        <f t="shared" si="0"/>
        <v>0.133514404296875</v>
      </c>
      <c r="G6">
        <f t="shared" si="1"/>
        <v>0.40435791015625</v>
      </c>
      <c r="H6">
        <f t="shared" si="2"/>
        <v>0.537872314453125</v>
      </c>
      <c r="I6">
        <f ca="1">IF($H6="","",MAX(0,$H6-SUMIFS($H$2:$H$25,$A$2:$A$25,$A6,$C$2:$C$25,$C6,$B$2:$B$25,_xludf.MINIFS($B$2:$B$25,$A$2:$A$25,$A6,$C$2:$C$25,$C6))))</f>
        <v>0.537872314453125</v>
      </c>
      <c r="J6">
        <f ca="1">IF($E6=0,0,IFERROR(MAX(0,$H6-SUMIFS($H$2:$H$25,$A$2:$A$25,$A6,$C$2:$C$25,$C6,$B$2:$B$25,_xludf.MAXIFS($B$2:$B$25,$A$2:$A$25,$A6,$C$2:$C$25,$C6,$B$2:$B$25,"&lt;"&amp;$B6))),0))</f>
        <v>0.537872314453125</v>
      </c>
    </row>
    <row r="7" spans="1:10" x14ac:dyDescent="0.2">
      <c r="A7" t="s">
        <v>15</v>
      </c>
      <c r="B7">
        <v>1767075386</v>
      </c>
      <c r="C7" t="s">
        <v>13</v>
      </c>
      <c r="D7" t="s">
        <v>19</v>
      </c>
      <c r="E7" cm="1">
        <f t="array" ref="E7">(_xlfn.XMATCH(Table1[[#This Row],[timestamp]],_xlfn._xlws.SORT(_xlfn.UNIQUE(_xlfn._xlws.FILTER(Table1[timestamp],Table1[dataset]=Table1[[#This Row],[dataset]]))),0,1)-1)*5</f>
        <v>5</v>
      </c>
      <c r="F7">
        <f t="shared" si="0"/>
        <v>0.4062652587890625</v>
      </c>
      <c r="G7">
        <f t="shared" si="1"/>
        <v>0.13256072998046875</v>
      </c>
      <c r="H7">
        <f t="shared" si="2"/>
        <v>0.53882598876953125</v>
      </c>
      <c r="I7">
        <f ca="1">IF($H7="","",MAX(0,$H7-SUMIFS($H$2:$H$25,$A$2:$A$25,$A7,$C$2:$C$25,$C7,$B$2:$B$25,_xludf.MINIFS($B$2:$B$25,$A$2:$A$25,$A7,$C$2:$C$25,$C7))))</f>
        <v>0.53882598876953125</v>
      </c>
      <c r="J7">
        <f ca="1">IF($E7=0,0,IFERROR(MAX(0,$H7-SUMIFS($H$2:$H$25,$A$2:$A$25,$A7,$C$2:$C$25,$C7,$B$2:$B$25,_xludf.MAXIFS($B$2:$B$25,$A$2:$A$25,$A7,$C$2:$C$25,$C7,$B$2:$B$25,"&lt;"&amp;$B7))),0))</f>
        <v>0.53882598876953125</v>
      </c>
    </row>
    <row r="8" spans="1:10" x14ac:dyDescent="0.2">
      <c r="A8" t="s">
        <v>15</v>
      </c>
      <c r="B8">
        <v>1767075393</v>
      </c>
      <c r="C8" t="s">
        <v>11</v>
      </c>
      <c r="D8" t="s">
        <v>20</v>
      </c>
      <c r="E8" cm="1">
        <f t="array" ref="E8">(_xlfn.XMATCH(Table1[[#This Row],[timestamp]],_xlfn._xlws.SORT(_xlfn.UNIQUE(_xlfn._xlws.FILTER(Table1[timestamp],Table1[dataset]=Table1[[#This Row],[dataset]]))),0,1)-1)*5</f>
        <v>10</v>
      </c>
      <c r="F8">
        <f t="shared" si="0"/>
        <v>0.2498626708984375</v>
      </c>
      <c r="G8">
        <f t="shared" si="1"/>
        <v>0.598907470703125</v>
      </c>
      <c r="H8">
        <f t="shared" si="2"/>
        <v>0.8487701416015625</v>
      </c>
      <c r="I8">
        <f ca="1">IF($H8="","",MAX(0,$H8-SUMIFS($H$2:$H$25,$A$2:$A$25,$A8,$C$2:$C$25,$C8,$B$2:$B$25,_xludf.MINIFS($B$2:$B$25,$A$2:$A$25,$A8,$C$2:$C$25,$C8))))</f>
        <v>0.8487701416015625</v>
      </c>
      <c r="J8">
        <f ca="1">IF($E8=0,0,IFERROR(MAX(0,$H8-SUMIFS($H$2:$H$25,$A$2:$A$25,$A8,$C$2:$C$25,$C8,$B$2:$B$25,_xludf.MAXIFS($B$2:$B$25,$A$2:$A$25,$A8,$C$2:$C$25,$C8,$B$2:$B$25,"&lt;"&amp;$B8))),0))</f>
        <v>0.8487701416015625</v>
      </c>
    </row>
    <row r="9" spans="1:10" x14ac:dyDescent="0.2">
      <c r="A9" t="s">
        <v>15</v>
      </c>
      <c r="B9">
        <v>1767075393</v>
      </c>
      <c r="C9" t="s">
        <v>13</v>
      </c>
      <c r="D9" t="s">
        <v>21</v>
      </c>
      <c r="E9" cm="1">
        <f t="array" ref="E9">(_xlfn.XMATCH(Table1[[#This Row],[timestamp]],_xlfn._xlws.SORT(_xlfn.UNIQUE(_xlfn._xlws.FILTER(Table1[timestamp],Table1[dataset]=Table1[[#This Row],[dataset]]))),0,1)-1)*5</f>
        <v>10</v>
      </c>
      <c r="F9">
        <f t="shared" si="0"/>
        <v>0.6008148193359375</v>
      </c>
      <c r="G9">
        <f t="shared" si="1"/>
        <v>0.247955322265625</v>
      </c>
      <c r="H9">
        <f t="shared" si="2"/>
        <v>0.8487701416015625</v>
      </c>
      <c r="I9">
        <f ca="1">IF($H9="","",MAX(0,$H9-SUMIFS($H$2:$H$25,$A$2:$A$25,$A9,$C$2:$C$25,$C9,$B$2:$B$25,_xludf.MINIFS($B$2:$B$25,$A$2:$A$25,$A9,$C$2:$C$25,$C9))))</f>
        <v>0.8487701416015625</v>
      </c>
      <c r="J9">
        <f ca="1">IF($E9=0,0,IFERROR(MAX(0,$H9-SUMIFS($H$2:$H$25,$A$2:$A$25,$A9,$C$2:$C$25,$C9,$B$2:$B$25,_xludf.MAXIFS($B$2:$B$25,$A$2:$A$25,$A9,$C$2:$C$25,$C9,$B$2:$B$25,"&lt;"&amp;$B9))),0))</f>
        <v>0.8487701416015625</v>
      </c>
    </row>
    <row r="10" spans="1:10" x14ac:dyDescent="0.2">
      <c r="A10" t="s">
        <v>22</v>
      </c>
      <c r="B10">
        <v>1767075394</v>
      </c>
      <c r="C10" t="s">
        <v>11</v>
      </c>
      <c r="D10" t="s">
        <v>20</v>
      </c>
      <c r="E10" cm="1">
        <f t="array" ref="E10">(_xlfn.XMATCH(Table1[[#This Row],[timestamp]],_xlfn._xlws.SORT(_xlfn.UNIQUE(_xlfn._xlws.FILTER(Table1[timestamp],Table1[dataset]=Table1[[#This Row],[dataset]]))),0,1)-1)*5</f>
        <v>0</v>
      </c>
      <c r="F10">
        <f t="shared" si="0"/>
        <v>0.2498626708984375</v>
      </c>
      <c r="G10">
        <f t="shared" si="1"/>
        <v>0.598907470703125</v>
      </c>
      <c r="H10">
        <f t="shared" si="2"/>
        <v>0.8487701416015625</v>
      </c>
      <c r="I10">
        <f ca="1">IF($H10="","",MAX(0,$H10-SUMIFS($H$2:$H$25,$A$2:$A$25,$A10,$C$2:$C$25,$C10,$B$2:$B$25,_xludf.MINIFS($B$2:$B$25,$A$2:$A$25,$A10,$C$2:$C$25,$C10))))</f>
        <v>0.8487701416015625</v>
      </c>
      <c r="J10">
        <f>IF($E10=0,0,IFERROR(MAX(0,$H10-SUMIFS($H$2:$H$25,$A$2:$A$25,$A10,$C$2:$C$25,$C10,$B$2:$B$25,_xludf.MAXIFS($B$2:$B$25,$A$2:$A$25,$A10,$C$2:$C$25,$C10,$B$2:$B$25,"&lt;"&amp;$B10))),0))</f>
        <v>0</v>
      </c>
    </row>
    <row r="11" spans="1:10" x14ac:dyDescent="0.2">
      <c r="A11" t="s">
        <v>22</v>
      </c>
      <c r="B11">
        <v>1767075394</v>
      </c>
      <c r="C11" t="s">
        <v>13</v>
      </c>
      <c r="D11" t="s">
        <v>21</v>
      </c>
      <c r="E11" cm="1">
        <f t="array" ref="E11">(_xlfn.XMATCH(Table1[[#This Row],[timestamp]],_xlfn._xlws.SORT(_xlfn.UNIQUE(_xlfn._xlws.FILTER(Table1[timestamp],Table1[dataset]=Table1[[#This Row],[dataset]]))),0,1)-1)*5</f>
        <v>0</v>
      </c>
      <c r="F11">
        <f t="shared" si="0"/>
        <v>0.6008148193359375</v>
      </c>
      <c r="G11">
        <f t="shared" si="1"/>
        <v>0.247955322265625</v>
      </c>
      <c r="H11">
        <f t="shared" si="2"/>
        <v>0.8487701416015625</v>
      </c>
      <c r="I11">
        <f ca="1">IF($H11="","",MAX(0,$H11-SUMIFS($H$2:$H$25,$A$2:$A$25,$A11,$C$2:$C$25,$C11,$B$2:$B$25,_xludf.MINIFS($B$2:$B$25,$A$2:$A$25,$A11,$C$2:$C$25,$C11))))</f>
        <v>0.8487701416015625</v>
      </c>
      <c r="J11">
        <f>IF($E11=0,0,IFERROR(MAX(0,$H11-SUMIFS($H$2:$H$25,$A$2:$A$25,$A11,$C$2:$C$25,$C11,$B$2:$B$25,_xludf.MAXIFS($B$2:$B$25,$A$2:$A$25,$A11,$C$2:$C$25,$C11,$B$2:$B$25,"&lt;"&amp;$B11))),0))</f>
        <v>0</v>
      </c>
    </row>
    <row r="12" spans="1:10" x14ac:dyDescent="0.2">
      <c r="A12" t="s">
        <v>22</v>
      </c>
      <c r="B12">
        <v>1767075401</v>
      </c>
      <c r="C12" t="s">
        <v>11</v>
      </c>
      <c r="D12" t="s">
        <v>23</v>
      </c>
      <c r="E12" cm="1">
        <f t="array" ref="E12">(_xlfn.XMATCH(Table1[[#This Row],[timestamp]],_xlfn._xlws.SORT(_xlfn.UNIQUE(_xlfn._xlws.FILTER(Table1[timestamp],Table1[dataset]=Table1[[#This Row],[dataset]]))),0,1)-1)*5</f>
        <v>5</v>
      </c>
      <c r="F12">
        <f t="shared" si="0"/>
        <v>0.27179718017578125</v>
      </c>
      <c r="G12">
        <f t="shared" si="1"/>
        <v>0.73909759521484375</v>
      </c>
      <c r="H12">
        <f t="shared" si="2"/>
        <v>1.010894775390625</v>
      </c>
      <c r="I12">
        <f ca="1">IF($H12="","",MAX(0,$H12-SUMIFS($H$2:$H$25,$A$2:$A$25,$A12,$C$2:$C$25,$C12,$B$2:$B$25,_xludf.MINIFS($B$2:$B$25,$A$2:$A$25,$A12,$C$2:$C$25,$C12))))</f>
        <v>1.010894775390625</v>
      </c>
      <c r="J12">
        <f ca="1">IF($E12=0,0,IFERROR(MAX(0,$H12-SUMIFS($H$2:$H$25,$A$2:$A$25,$A12,$C$2:$C$25,$C12,$B$2:$B$25,_xludf.MAXIFS($B$2:$B$25,$A$2:$A$25,$A12,$C$2:$C$25,$C12,$B$2:$B$25,"&lt;"&amp;$B12))),0))</f>
        <v>1.010894775390625</v>
      </c>
    </row>
    <row r="13" spans="1:10" x14ac:dyDescent="0.2">
      <c r="A13" t="s">
        <v>22</v>
      </c>
      <c r="B13">
        <v>1767075401</v>
      </c>
      <c r="C13" t="s">
        <v>13</v>
      </c>
      <c r="D13" t="s">
        <v>24</v>
      </c>
      <c r="E13" cm="1">
        <f t="array" ref="E13">(_xlfn.XMATCH(Table1[[#This Row],[timestamp]],_xlfn._xlws.SORT(_xlfn.UNIQUE(_xlfn._xlws.FILTER(Table1[timestamp],Table1[dataset]=Table1[[#This Row],[dataset]]))),0,1)-1)*5</f>
        <v>5</v>
      </c>
      <c r="F13">
        <f t="shared" si="0"/>
        <v>0.74100494384765625</v>
      </c>
      <c r="G13">
        <f t="shared" si="1"/>
        <v>0.26988983154296875</v>
      </c>
      <c r="H13">
        <f t="shared" si="2"/>
        <v>1.010894775390625</v>
      </c>
      <c r="I13">
        <f ca="1">IF($H13="","",MAX(0,$H13-SUMIFS($H$2:$H$25,$A$2:$A$25,$A13,$C$2:$C$25,$C13,$B$2:$B$25,_xludf.MINIFS($B$2:$B$25,$A$2:$A$25,$A13,$C$2:$C$25,$C13))))</f>
        <v>1.010894775390625</v>
      </c>
      <c r="J13">
        <f ca="1">IF($E13=0,0,IFERROR(MAX(0,$H13-SUMIFS($H$2:$H$25,$A$2:$A$25,$A13,$C$2:$C$25,$C13,$B$2:$B$25,_xludf.MAXIFS($B$2:$B$25,$A$2:$A$25,$A13,$C$2:$C$25,$C13,$B$2:$B$25,"&lt;"&amp;$B13))),0))</f>
        <v>1.010894775390625</v>
      </c>
    </row>
    <row r="14" spans="1:10" x14ac:dyDescent="0.2">
      <c r="A14" t="s">
        <v>22</v>
      </c>
      <c r="B14">
        <v>1767075409</v>
      </c>
      <c r="C14" t="s">
        <v>11</v>
      </c>
      <c r="D14" t="s">
        <v>25</v>
      </c>
      <c r="E14" cm="1">
        <f t="array" ref="E14">(_xlfn.XMATCH(Table1[[#This Row],[timestamp]],_xlfn._xlws.SORT(_xlfn.UNIQUE(_xlfn._xlws.FILTER(Table1[timestamp],Table1[dataset]=Table1[[#This Row],[dataset]]))),0,1)-1)*5</f>
        <v>10</v>
      </c>
      <c r="F14">
        <f t="shared" si="0"/>
        <v>0.31185150146484375</v>
      </c>
      <c r="G14">
        <f t="shared" si="1"/>
        <v>0.8411407470703125</v>
      </c>
      <c r="H14">
        <f t="shared" si="2"/>
        <v>1.1529922485351562</v>
      </c>
      <c r="I14">
        <f ca="1">IF($H14="","",MAX(0,$H14-SUMIFS($H$2:$H$25,$A$2:$A$25,$A14,$C$2:$C$25,$C14,$B$2:$B$25,_xludf.MINIFS($B$2:$B$25,$A$2:$A$25,$A14,$C$2:$C$25,$C14))))</f>
        <v>1.1529922485351562</v>
      </c>
      <c r="J14">
        <f ca="1">IF($E14=0,0,IFERROR(MAX(0,$H14-SUMIFS($H$2:$H$25,$A$2:$A$25,$A14,$C$2:$C$25,$C14,$B$2:$B$25,_xludf.MAXIFS($B$2:$B$25,$A$2:$A$25,$A14,$C$2:$C$25,$C14,$B$2:$B$25,"&lt;"&amp;$B14))),0))</f>
        <v>1.1529922485351562</v>
      </c>
    </row>
    <row r="15" spans="1:10" x14ac:dyDescent="0.2">
      <c r="A15" t="s">
        <v>22</v>
      </c>
      <c r="B15">
        <v>1767075409</v>
      </c>
      <c r="C15" t="s">
        <v>13</v>
      </c>
      <c r="D15" t="s">
        <v>26</v>
      </c>
      <c r="E15" cm="1">
        <f t="array" ref="E15">(_xlfn.XMATCH(Table1[[#This Row],[timestamp]],_xlfn._xlws.SORT(_xlfn.UNIQUE(_xlfn._xlws.FILTER(Table1[timestamp],Table1[dataset]=Table1[[#This Row],[dataset]]))),0,1)-1)*5</f>
        <v>10</v>
      </c>
      <c r="F15">
        <f t="shared" si="0"/>
        <v>0.8220672607421875</v>
      </c>
      <c r="G15">
        <f t="shared" si="1"/>
        <v>0.30231475830078125</v>
      </c>
      <c r="H15">
        <f t="shared" si="2"/>
        <v>1.1243820190429688</v>
      </c>
      <c r="I15">
        <f ca="1">IF($H15="","",MAX(0,$H15-SUMIFS($H$2:$H$25,$A$2:$A$25,$A15,$C$2:$C$25,$C15,$B$2:$B$25,_xludf.MINIFS($B$2:$B$25,$A$2:$A$25,$A15,$C$2:$C$25,$C15))))</f>
        <v>1.1243820190429688</v>
      </c>
      <c r="J15">
        <f ca="1">IF($E15=0,0,IFERROR(MAX(0,$H15-SUMIFS($H$2:$H$25,$A$2:$A$25,$A15,$C$2:$C$25,$C15,$B$2:$B$25,_xludf.MAXIFS($B$2:$B$25,$A$2:$A$25,$A15,$C$2:$C$25,$C15,$B$2:$B$25,"&lt;"&amp;$B15))),0))</f>
        <v>1.1243820190429688</v>
      </c>
    </row>
    <row r="16" spans="1:10" x14ac:dyDescent="0.2">
      <c r="A16" t="s">
        <v>22</v>
      </c>
      <c r="B16">
        <v>1767075416</v>
      </c>
      <c r="C16" t="s">
        <v>11</v>
      </c>
      <c r="D16" t="s">
        <v>27</v>
      </c>
      <c r="E16" cm="1">
        <f t="array" ref="E16">(_xlfn.XMATCH(Table1[[#This Row],[timestamp]],_xlfn._xlws.SORT(_xlfn.UNIQUE(_xlfn._xlws.FILTER(Table1[timestamp],Table1[dataset]=Table1[[#This Row],[dataset]]))),0,1)-1)*5</f>
        <v>15</v>
      </c>
      <c r="F16">
        <f t="shared" si="0"/>
        <v>0.3566741943359375</v>
      </c>
      <c r="G16">
        <f t="shared" si="1"/>
        <v>0.95367431640625</v>
      </c>
      <c r="H16">
        <f t="shared" si="2"/>
        <v>1.3103485107421875</v>
      </c>
      <c r="I16">
        <f ca="1">IF($H16="","",MAX(0,$H16-SUMIFS($H$2:$H$25,$A$2:$A$25,$A16,$C$2:$C$25,$C16,$B$2:$B$25,_xludf.MINIFS($B$2:$B$25,$A$2:$A$25,$A16,$C$2:$C$25,$C16))))</f>
        <v>1.3103485107421875</v>
      </c>
      <c r="J16">
        <f ca="1">IF($E16=0,0,IFERROR(MAX(0,$H16-SUMIFS($H$2:$H$25,$A$2:$A$25,$A16,$C$2:$C$25,$C16,$B$2:$B$25,_xludf.MAXIFS($B$2:$B$25,$A$2:$A$25,$A16,$C$2:$C$25,$C16,$B$2:$B$25,"&lt;"&amp;$B16))),0))</f>
        <v>1.3103485107421875</v>
      </c>
    </row>
    <row r="17" spans="1:10" x14ac:dyDescent="0.2">
      <c r="A17" t="s">
        <v>22</v>
      </c>
      <c r="B17">
        <v>1767075416</v>
      </c>
      <c r="C17" t="s">
        <v>13</v>
      </c>
      <c r="D17" t="s">
        <v>28</v>
      </c>
      <c r="E17" cm="1">
        <f t="array" ref="E17">(_xlfn.XMATCH(Table1[[#This Row],[timestamp]],_xlfn._xlws.SORT(_xlfn.UNIQUE(_xlfn._xlws.FILTER(Table1[timestamp],Table1[dataset]=Table1[[#This Row],[dataset]]))),0,1)-1)*5</f>
        <v>15</v>
      </c>
      <c r="F17">
        <f t="shared" si="0"/>
        <v>0.934600830078125</v>
      </c>
      <c r="G17">
        <f t="shared" si="1"/>
        <v>0.347137451171875</v>
      </c>
      <c r="H17">
        <f t="shared" si="2"/>
        <v>1.28173828125</v>
      </c>
      <c r="I17">
        <f ca="1">IF($H17="","",MAX(0,$H17-SUMIFS($H$2:$H$25,$A$2:$A$25,$A17,$C$2:$C$25,$C17,$B$2:$B$25,_xludf.MINIFS($B$2:$B$25,$A$2:$A$25,$A17,$C$2:$C$25,$C17))))</f>
        <v>1.28173828125</v>
      </c>
      <c r="J17">
        <f ca="1">IF($E17=0,0,IFERROR(MAX(0,$H17-SUMIFS($H$2:$H$25,$A$2:$A$25,$A17,$C$2:$C$25,$C17,$B$2:$B$25,_xludf.MAXIFS($B$2:$B$25,$A$2:$A$25,$A17,$C$2:$C$25,$C17,$B$2:$B$25,"&lt;"&amp;$B17))),0))</f>
        <v>1.28173828125</v>
      </c>
    </row>
    <row r="18" spans="1:10" x14ac:dyDescent="0.2">
      <c r="A18" t="s">
        <v>22</v>
      </c>
      <c r="B18">
        <v>1767075424</v>
      </c>
      <c r="C18" t="s">
        <v>11</v>
      </c>
      <c r="D18" t="s">
        <v>29</v>
      </c>
      <c r="E18" cm="1">
        <f t="array" ref="E18">(_xlfn.XMATCH(Table1[[#This Row],[timestamp]],_xlfn._xlws.SORT(_xlfn.UNIQUE(_xlfn._xlws.FILTER(Table1[timestamp],Table1[dataset]=Table1[[#This Row],[dataset]]))),0,1)-1)*5</f>
        <v>20</v>
      </c>
      <c r="F18">
        <f t="shared" si="0"/>
        <v>0.40340423583984375</v>
      </c>
      <c r="G18">
        <f t="shared" si="1"/>
        <v>1.0395050048828125</v>
      </c>
      <c r="H18">
        <f t="shared" si="2"/>
        <v>1.4429092407226562</v>
      </c>
      <c r="I18">
        <f ca="1">IF($H18="","",MAX(0,$H18-SUMIFS($H$2:$H$25,$A$2:$A$25,$A18,$C$2:$C$25,$C18,$B$2:$B$25,_xludf.MINIFS($B$2:$B$25,$A$2:$A$25,$A18,$C$2:$C$25,$C18))))</f>
        <v>1.4429092407226562</v>
      </c>
      <c r="J18">
        <f ca="1">IF($E18=0,0,IFERROR(MAX(0,$H18-SUMIFS($H$2:$H$25,$A$2:$A$25,$A18,$C$2:$C$25,$C18,$B$2:$B$25,_xludf.MAXIFS($B$2:$B$25,$A$2:$A$25,$A18,$C$2:$C$25,$C18,$B$2:$B$25,"&lt;"&amp;$B18))),0))</f>
        <v>1.4429092407226562</v>
      </c>
    </row>
    <row r="19" spans="1:10" x14ac:dyDescent="0.2">
      <c r="A19" t="s">
        <v>22</v>
      </c>
      <c r="B19">
        <v>1767075424</v>
      </c>
      <c r="C19" t="s">
        <v>13</v>
      </c>
      <c r="D19" t="s">
        <v>30</v>
      </c>
      <c r="E19" cm="1">
        <f t="array" ref="E19">(_xlfn.XMATCH(Table1[[#This Row],[timestamp]],_xlfn._xlws.SORT(_xlfn.UNIQUE(_xlfn._xlws.FILTER(Table1[timestamp],Table1[dataset]=Table1[[#This Row],[dataset]]))),0,1)-1)*5</f>
        <v>20</v>
      </c>
      <c r="F19">
        <f t="shared" si="0"/>
        <v>0.9918212890625</v>
      </c>
      <c r="G19">
        <f t="shared" si="1"/>
        <v>0.3871917724609375</v>
      </c>
      <c r="H19">
        <f t="shared" si="2"/>
        <v>1.3790130615234375</v>
      </c>
      <c r="I19">
        <f ca="1">IF($H19="","",MAX(0,$H19-SUMIFS($H$2:$H$25,$A$2:$A$25,$A19,$C$2:$C$25,$C19,$B$2:$B$25,_xludf.MINIFS($B$2:$B$25,$A$2:$A$25,$A19,$C$2:$C$25,$C19))))</f>
        <v>1.3790130615234375</v>
      </c>
      <c r="J19">
        <f ca="1">IF($E19=0,0,IFERROR(MAX(0,$H19-SUMIFS($H$2:$H$25,$A$2:$A$25,$A19,$C$2:$C$25,$C19,$B$2:$B$25,_xludf.MAXIFS($B$2:$B$25,$A$2:$A$25,$A19,$C$2:$C$25,$C19,$B$2:$B$25,"&lt;"&amp;$B19))),0))</f>
        <v>1.3790130615234375</v>
      </c>
    </row>
    <row r="20" spans="1:10" x14ac:dyDescent="0.2">
      <c r="A20" t="s">
        <v>31</v>
      </c>
      <c r="B20">
        <v>1767075431</v>
      </c>
      <c r="C20" t="s">
        <v>11</v>
      </c>
      <c r="D20" t="s">
        <v>32</v>
      </c>
      <c r="E20" cm="1">
        <f t="array" ref="E20">(_xlfn.XMATCH(Table1[[#This Row],[timestamp]],_xlfn._xlws.SORT(_xlfn.UNIQUE(_xlfn._xlws.FILTER(Table1[timestamp],Table1[dataset]=Table1[[#This Row],[dataset]]))),0,1)-1)*5</f>
        <v>0</v>
      </c>
      <c r="F20">
        <f t="shared" si="0"/>
        <v>0.4901885986328125</v>
      </c>
      <c r="G20">
        <f t="shared" si="1"/>
        <v>1.1730194091796875</v>
      </c>
      <c r="H20">
        <f t="shared" si="2"/>
        <v>1.6632080078125</v>
      </c>
      <c r="I20">
        <f ca="1">IF($H20="","",MAX(0,$H20-SUMIFS($H$2:$H$25,$A$2:$A$25,$A20,$C$2:$C$25,$C20,$B$2:$B$25,_xludf.MINIFS($B$2:$B$25,$A$2:$A$25,$A20,$C$2:$C$25,$C20))))</f>
        <v>1.6632080078125</v>
      </c>
      <c r="J20">
        <f>IF($E20=0,0,IFERROR(MAX(0,$H20-SUMIFS($H$2:$H$25,$A$2:$A$25,$A20,$C$2:$C$25,$C20,$B$2:$B$25,_xludf.MAXIFS($B$2:$B$25,$A$2:$A$25,$A20,$C$2:$C$25,$C20,$B$2:$B$25,"&lt;"&amp;$B20))),0))</f>
        <v>0</v>
      </c>
    </row>
    <row r="21" spans="1:10" x14ac:dyDescent="0.2">
      <c r="A21" t="s">
        <v>31</v>
      </c>
      <c r="B21">
        <v>1767075431</v>
      </c>
      <c r="C21" t="s">
        <v>13</v>
      </c>
      <c r="D21" t="s">
        <v>33</v>
      </c>
      <c r="E21" cm="1">
        <f t="array" ref="E21">(_xlfn.XMATCH(Table1[[#This Row],[timestamp]],_xlfn._xlws.SORT(_xlfn.UNIQUE(_xlfn._xlws.FILTER(Table1[timestamp],Table1[dataset]=Table1[[#This Row],[dataset]]))),0,1)-1)*5</f>
        <v>0</v>
      </c>
      <c r="F21">
        <f t="shared" si="0"/>
        <v>1.18255615234375</v>
      </c>
      <c r="G21">
        <f t="shared" si="1"/>
        <v>0.48828125</v>
      </c>
      <c r="H21">
        <f t="shared" si="2"/>
        <v>1.67083740234375</v>
      </c>
      <c r="I21">
        <f ca="1">IF($H21="","",MAX(0,$H21-SUMIFS($H$2:$H$25,$A$2:$A$25,$A21,$C$2:$C$25,$C21,$B$2:$B$25,_xludf.MINIFS($B$2:$B$25,$A$2:$A$25,$A21,$C$2:$C$25,$C21))))</f>
        <v>1.67083740234375</v>
      </c>
      <c r="J21">
        <f>IF($E21=0,0,IFERROR(MAX(0,$H21-SUMIFS($H$2:$H$25,$A$2:$A$25,$A21,$C$2:$C$25,$C21,$B$2:$B$25,_xludf.MAXIFS($B$2:$B$25,$A$2:$A$25,$A21,$C$2:$C$25,$C21,$B$2:$B$25,"&lt;"&amp;$B21))),0))</f>
        <v>0</v>
      </c>
    </row>
    <row r="22" spans="1:10" x14ac:dyDescent="0.2">
      <c r="A22" t="s">
        <v>31</v>
      </c>
      <c r="B22">
        <v>1767075437</v>
      </c>
      <c r="C22" t="s">
        <v>11</v>
      </c>
      <c r="D22" t="s">
        <v>34</v>
      </c>
      <c r="E22" cm="1">
        <f t="array" ref="E22">(_xlfn.XMATCH(Table1[[#This Row],[timestamp]],_xlfn._xlws.SORT(_xlfn.UNIQUE(_xlfn._xlws.FILTER(Table1[timestamp],Table1[dataset]=Table1[[#This Row],[dataset]]))),0,1)-1)*5</f>
        <v>5</v>
      </c>
      <c r="F22">
        <f t="shared" si="0"/>
        <v>0.5130767822265625</v>
      </c>
      <c r="G22">
        <f t="shared" si="1"/>
        <v>1.316070556640625</v>
      </c>
      <c r="H22">
        <f t="shared" si="2"/>
        <v>1.8291473388671875</v>
      </c>
      <c r="I22">
        <f ca="1">IF($H22="","",MAX(0,$H22-SUMIFS($H$2:$H$25,$A$2:$A$25,$A22,$C$2:$C$25,$C22,$B$2:$B$25,_xludf.MINIFS($B$2:$B$25,$A$2:$A$25,$A22,$C$2:$C$25,$C22))))</f>
        <v>1.8291473388671875</v>
      </c>
      <c r="J22">
        <f ca="1">IF($E22=0,0,IFERROR(MAX(0,$H22-SUMIFS($H$2:$H$25,$A$2:$A$25,$A22,$C$2:$C$25,$C22,$B$2:$B$25,_xludf.MAXIFS($B$2:$B$25,$A$2:$A$25,$A22,$C$2:$C$25,$C22,$B$2:$B$25,"&lt;"&amp;$B22))),0))</f>
        <v>1.8291473388671875</v>
      </c>
    </row>
    <row r="23" spans="1:10" x14ac:dyDescent="0.2">
      <c r="A23" t="s">
        <v>31</v>
      </c>
      <c r="B23">
        <v>1767075437</v>
      </c>
      <c r="C23" t="s">
        <v>13</v>
      </c>
      <c r="D23" t="s">
        <v>35</v>
      </c>
      <c r="E23" cm="1">
        <f t="array" ref="E23">(_xlfn.XMATCH(Table1[[#This Row],[timestamp]],_xlfn._xlws.SORT(_xlfn.UNIQUE(_xlfn._xlws.FILTER(Table1[timestamp],Table1[dataset]=Table1[[#This Row],[dataset]]))),0,1)-1)*5</f>
        <v>5</v>
      </c>
      <c r="F23">
        <f t="shared" si="0"/>
        <v>1.316070556640625</v>
      </c>
      <c r="G23">
        <f t="shared" si="1"/>
        <v>0.51116943359375</v>
      </c>
      <c r="H23">
        <f t="shared" si="2"/>
        <v>1.827239990234375</v>
      </c>
      <c r="I23">
        <f ca="1">IF($H23="","",MAX(0,$H23-SUMIFS($H$2:$H$25,$A$2:$A$25,$A23,$C$2:$C$25,$C23,$B$2:$B$25,_xludf.MINIFS($B$2:$B$25,$A$2:$A$25,$A23,$C$2:$C$25,$C23))))</f>
        <v>1.827239990234375</v>
      </c>
      <c r="J23">
        <f ca="1">IF($E23=0,0,IFERROR(MAX(0,$H23-SUMIFS($H$2:$H$25,$A$2:$A$25,$A23,$C$2:$C$25,$C23,$B$2:$B$25,_xludf.MAXIFS($B$2:$B$25,$A$2:$A$25,$A23,$C$2:$C$25,$C23,$B$2:$B$25,"&lt;"&amp;$B23))),0))</f>
        <v>1.827239990234375</v>
      </c>
    </row>
    <row r="24" spans="1:10" x14ac:dyDescent="0.2">
      <c r="A24" t="s">
        <v>31</v>
      </c>
      <c r="B24">
        <v>1767075445</v>
      </c>
      <c r="C24" t="s">
        <v>11</v>
      </c>
      <c r="D24" t="s">
        <v>36</v>
      </c>
      <c r="E24" cm="1">
        <f t="array" ref="E24">(_xlfn.XMATCH(Table1[[#This Row],[timestamp]],_xlfn._xlws.SORT(_xlfn.UNIQUE(_xlfn._xlws.FILTER(Table1[timestamp],Table1[dataset]=Table1[[#This Row],[dataset]]))),0,1)-1)*5</f>
        <v>10</v>
      </c>
      <c r="F24">
        <f t="shared" si="0"/>
        <v>0.54454803466796875</v>
      </c>
      <c r="G24">
        <f t="shared" si="1"/>
        <v>1.373291015625</v>
      </c>
      <c r="H24">
        <f t="shared" si="2"/>
        <v>1.9178390502929688</v>
      </c>
      <c r="I24">
        <f ca="1">IF($H24="","",MAX(0,$H24-SUMIFS($H$2:$H$25,$A$2:$A$25,$A24,$C$2:$C$25,$C24,$B$2:$B$25,_xludf.MINIFS($B$2:$B$25,$A$2:$A$25,$A24,$C$2:$C$25,$C24))))</f>
        <v>1.9178390502929688</v>
      </c>
      <c r="J24">
        <f ca="1">IF($E24=0,0,IFERROR(MAX(0,$H24-SUMIFS($H$2:$H$25,$A$2:$A$25,$A24,$C$2:$C$25,$C24,$B$2:$B$25,_xludf.MAXIFS($B$2:$B$25,$A$2:$A$25,$A24,$C$2:$C$25,$C24,$B$2:$B$25,"&lt;"&amp;$B24))),0))</f>
        <v>1.9178390502929688</v>
      </c>
    </row>
    <row r="25" spans="1:10" x14ac:dyDescent="0.2">
      <c r="A25" t="s">
        <v>31</v>
      </c>
      <c r="B25">
        <v>1767075445</v>
      </c>
      <c r="C25" t="s">
        <v>13</v>
      </c>
      <c r="D25" t="s">
        <v>37</v>
      </c>
      <c r="E25" cm="1">
        <f t="array" ref="E25">(_xlfn.XMATCH(Table1[[#This Row],[timestamp]],_xlfn._xlws.SORT(_xlfn.UNIQUE(_xlfn._xlws.FILTER(Table1[timestamp],Table1[dataset]=Table1[[#This Row],[dataset]]))),0,1)-1)*5</f>
        <v>10</v>
      </c>
      <c r="F25">
        <f t="shared" si="0"/>
        <v>1.41143798828125</v>
      </c>
      <c r="G25">
        <f t="shared" si="1"/>
        <v>0.55980682373046875</v>
      </c>
      <c r="H25">
        <f t="shared" si="2"/>
        <v>1.9712448120117188</v>
      </c>
      <c r="I25">
        <f ca="1">IF($H25="","",MAX(0,$H25-SUMIFS($H$2:$H$25,$A$2:$A$25,$A25,$C$2:$C$25,$C25,$B$2:$B$25,_xludf.MINIFS($B$2:$B$25,$A$2:$A$25,$A25,$C$2:$C$25,$C25))))</f>
        <v>1.9712448120117188</v>
      </c>
      <c r="J25">
        <f ca="1">IF($E25=0,0,IFERROR(MAX(0,$H25-SUMIFS($H$2:$H$25,$A$2:$A$25,$A25,$C$2:$C$25,$C25,$B$2:$B$25,_xludf.MAXIFS($B$2:$B$25,$A$2:$A$25,$A25,$C$2:$C$25,$C25,$B$2:$B$25,"&lt;"&amp;$B25))),0))</f>
        <v>1.9712448120117188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4CCF-533C-C34C-A041-42D01884D672}">
  <dimension ref="A1:D8"/>
  <sheetViews>
    <sheetView workbookViewId="0">
      <selection activeCell="A3" sqref="A3"/>
    </sheetView>
  </sheetViews>
  <sheetFormatPr baseColWidth="10" defaultRowHeight="16" x14ac:dyDescent="0.2"/>
  <cols>
    <col min="1" max="1" width="23" bestFit="1" customWidth="1"/>
    <col min="2" max="2" width="15.5" bestFit="1" customWidth="1"/>
    <col min="3" max="4" width="12.1640625" bestFit="1" customWidth="1"/>
    <col min="5" max="5" width="20.6640625" bestFit="1" customWidth="1"/>
    <col min="6" max="6" width="12.1640625" bestFit="1" customWidth="1"/>
    <col min="7" max="7" width="24.6640625" bestFit="1" customWidth="1"/>
    <col min="8" max="8" width="23" bestFit="1" customWidth="1"/>
    <col min="9" max="9" width="24.6640625" bestFit="1" customWidth="1"/>
    <col min="10" max="10" width="27.83203125" bestFit="1" customWidth="1"/>
    <col min="11" max="11" width="29.5" bestFit="1" customWidth="1"/>
  </cols>
  <sheetData>
    <row r="1" spans="1:4" x14ac:dyDescent="0.2">
      <c r="A1" s="1" t="s">
        <v>0</v>
      </c>
      <c r="B1" t="s">
        <v>15</v>
      </c>
    </row>
    <row r="3" spans="1:4" x14ac:dyDescent="0.2">
      <c r="A3" s="1" t="s">
        <v>42</v>
      </c>
      <c r="B3" s="1" t="s">
        <v>40</v>
      </c>
    </row>
    <row r="4" spans="1:4" x14ac:dyDescent="0.2">
      <c r="A4" s="1" t="s">
        <v>38</v>
      </c>
      <c r="B4" t="s">
        <v>11</v>
      </c>
      <c r="C4" t="s">
        <v>13</v>
      </c>
      <c r="D4" t="s">
        <v>39</v>
      </c>
    </row>
    <row r="5" spans="1:4" x14ac:dyDescent="0.2">
      <c r="A5" s="2">
        <v>0</v>
      </c>
      <c r="B5">
        <v>0.38242340087890625</v>
      </c>
      <c r="C5">
        <v>0.37670135498046875</v>
      </c>
      <c r="D5">
        <v>0.759124755859375</v>
      </c>
    </row>
    <row r="6" spans="1:4" x14ac:dyDescent="0.2">
      <c r="A6" s="2">
        <v>5</v>
      </c>
      <c r="B6">
        <v>0.537872314453125</v>
      </c>
      <c r="C6">
        <v>0.53882598876953125</v>
      </c>
      <c r="D6">
        <v>1.0766983032226562</v>
      </c>
    </row>
    <row r="7" spans="1:4" x14ac:dyDescent="0.2">
      <c r="A7" s="2">
        <v>10</v>
      </c>
      <c r="B7">
        <v>0.8487701416015625</v>
      </c>
      <c r="C7">
        <v>0.8487701416015625</v>
      </c>
      <c r="D7">
        <v>1.697540283203125</v>
      </c>
    </row>
    <row r="8" spans="1:4" x14ac:dyDescent="0.2">
      <c r="A8" s="2" t="s">
        <v>39</v>
      </c>
      <c r="B8">
        <v>1.7690658569335938</v>
      </c>
      <c r="C8">
        <v>1.7642974853515625</v>
      </c>
      <c r="D8">
        <v>3.5333633422851562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730F-FC81-5D41-92C1-47A2E75201B8}">
  <dimension ref="A1:D6"/>
  <sheetViews>
    <sheetView workbookViewId="0">
      <selection activeCell="H9" sqref="H9"/>
    </sheetView>
  </sheetViews>
  <sheetFormatPr baseColWidth="10" defaultRowHeight="16" x14ac:dyDescent="0.2"/>
  <cols>
    <col min="1" max="1" width="19.33203125" bestFit="1" customWidth="1"/>
    <col min="2" max="2" width="15.5" bestFit="1" customWidth="1"/>
    <col min="3" max="4" width="12.1640625" bestFit="1" customWidth="1"/>
    <col min="5" max="5" width="24.6640625" bestFit="1" customWidth="1"/>
    <col min="6" max="6" width="27.83203125" bestFit="1" customWidth="1"/>
    <col min="7" max="7" width="29.5" bestFit="1" customWidth="1"/>
    <col min="8" max="8" width="23" bestFit="1" customWidth="1"/>
    <col min="9" max="9" width="24.6640625" bestFit="1" customWidth="1"/>
    <col min="10" max="10" width="27.83203125" bestFit="1" customWidth="1"/>
    <col min="11" max="11" width="29.5" bestFit="1" customWidth="1"/>
  </cols>
  <sheetData>
    <row r="1" spans="1:4" x14ac:dyDescent="0.2">
      <c r="A1" s="1" t="s">
        <v>0</v>
      </c>
      <c r="B1" t="s">
        <v>10</v>
      </c>
    </row>
    <row r="3" spans="1:4" x14ac:dyDescent="0.2">
      <c r="A3" s="1" t="s">
        <v>43</v>
      </c>
      <c r="B3" s="1" t="s">
        <v>40</v>
      </c>
    </row>
    <row r="4" spans="1:4" x14ac:dyDescent="0.2">
      <c r="A4" s="1" t="s">
        <v>38</v>
      </c>
      <c r="B4" t="s">
        <v>11</v>
      </c>
      <c r="C4" t="s">
        <v>13</v>
      </c>
      <c r="D4" t="s">
        <v>39</v>
      </c>
    </row>
    <row r="5" spans="1:4" x14ac:dyDescent="0.2">
      <c r="A5" s="2">
        <v>0</v>
      </c>
      <c r="B5">
        <v>9.212493896484375E-3</v>
      </c>
      <c r="C5">
        <v>1.4667510986328125E-2</v>
      </c>
      <c r="D5">
        <v>2.38800048828125E-2</v>
      </c>
    </row>
    <row r="6" spans="1:4" x14ac:dyDescent="0.2">
      <c r="A6" s="2" t="s">
        <v>39</v>
      </c>
      <c r="B6">
        <v>9.212493896484375E-3</v>
      </c>
      <c r="C6">
        <v>1.4667510986328125E-2</v>
      </c>
      <c r="D6">
        <v>2.38800048828125E-2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CAD9-9CCA-7445-A593-21D6B84301CE}">
  <dimension ref="A1:D8"/>
  <sheetViews>
    <sheetView workbookViewId="0">
      <selection activeCell="H29" sqref="H29"/>
    </sheetView>
  </sheetViews>
  <sheetFormatPr baseColWidth="10" defaultRowHeight="16" x14ac:dyDescent="0.2"/>
  <cols>
    <col min="1" max="1" width="23" bestFit="1" customWidth="1"/>
    <col min="2" max="2" width="15.5" bestFit="1" customWidth="1"/>
    <col min="3" max="4" width="12.1640625" bestFit="1" customWidth="1"/>
    <col min="5" max="5" width="20.6640625" bestFit="1" customWidth="1"/>
    <col min="6" max="6" width="12.1640625" bestFit="1" customWidth="1"/>
    <col min="7" max="7" width="24.6640625" bestFit="1" customWidth="1"/>
    <col min="8" max="8" width="23" bestFit="1" customWidth="1"/>
    <col min="9" max="9" width="24.6640625" bestFit="1" customWidth="1"/>
    <col min="10" max="10" width="27.83203125" bestFit="1" customWidth="1"/>
    <col min="11" max="11" width="29.5" bestFit="1" customWidth="1"/>
  </cols>
  <sheetData>
    <row r="1" spans="1:4" x14ac:dyDescent="0.2">
      <c r="A1" t="s">
        <v>0</v>
      </c>
      <c r="B1" t="s">
        <v>15</v>
      </c>
    </row>
    <row r="3" spans="1:4" x14ac:dyDescent="0.2">
      <c r="A3" t="s">
        <v>42</v>
      </c>
      <c r="B3" t="s">
        <v>40</v>
      </c>
    </row>
    <row r="4" spans="1:4" x14ac:dyDescent="0.2">
      <c r="A4" t="s">
        <v>38</v>
      </c>
      <c r="B4" t="s">
        <v>11</v>
      </c>
      <c r="C4" t="s">
        <v>13</v>
      </c>
      <c r="D4" t="s">
        <v>39</v>
      </c>
    </row>
    <row r="5" spans="1:4" x14ac:dyDescent="0.2">
      <c r="A5" s="2">
        <v>0</v>
      </c>
      <c r="B5">
        <v>0.38242340087890625</v>
      </c>
      <c r="C5">
        <v>0.37670135498046875</v>
      </c>
      <c r="D5">
        <v>0.759124755859375</v>
      </c>
    </row>
    <row r="6" spans="1:4" x14ac:dyDescent="0.2">
      <c r="A6" s="2">
        <v>5</v>
      </c>
      <c r="B6">
        <v>0.537872314453125</v>
      </c>
      <c r="C6">
        <v>0.53882598876953125</v>
      </c>
      <c r="D6">
        <v>1.0766983032226562</v>
      </c>
    </row>
    <row r="7" spans="1:4" x14ac:dyDescent="0.2">
      <c r="A7" s="2">
        <v>10</v>
      </c>
      <c r="B7">
        <v>0.8487701416015625</v>
      </c>
      <c r="C7">
        <v>0.8487701416015625</v>
      </c>
      <c r="D7">
        <v>1.697540283203125</v>
      </c>
    </row>
    <row r="8" spans="1:4" x14ac:dyDescent="0.2">
      <c r="A8" s="2" t="s">
        <v>39</v>
      </c>
      <c r="B8">
        <v>1.7690658569335938</v>
      </c>
      <c r="C8">
        <v>1.7642974853515625</v>
      </c>
      <c r="D8">
        <v>3.5333633422851562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CF8D-EB5A-0E40-A89E-FAA7C2714381}">
  <dimension ref="A1:D8"/>
  <sheetViews>
    <sheetView workbookViewId="0">
      <selection activeCell="G28" sqref="G28"/>
    </sheetView>
  </sheetViews>
  <sheetFormatPr baseColWidth="10" defaultRowHeight="16" x14ac:dyDescent="0.2"/>
  <cols>
    <col min="1" max="2" width="23" bestFit="1" customWidth="1"/>
    <col min="3" max="4" width="12.1640625" bestFit="1" customWidth="1"/>
    <col min="5" max="5" width="20.6640625" bestFit="1" customWidth="1"/>
    <col min="6" max="6" width="12.1640625" bestFit="1" customWidth="1"/>
    <col min="7" max="7" width="24.6640625" bestFit="1" customWidth="1"/>
    <col min="8" max="8" width="23" bestFit="1" customWidth="1"/>
    <col min="9" max="9" width="24.6640625" bestFit="1" customWidth="1"/>
    <col min="10" max="10" width="27.83203125" bestFit="1" customWidth="1"/>
    <col min="11" max="11" width="29.5" bestFit="1" customWidth="1"/>
  </cols>
  <sheetData>
    <row r="1" spans="1:4" x14ac:dyDescent="0.2">
      <c r="A1" s="1" t="s">
        <v>0</v>
      </c>
      <c r="B1" t="s">
        <v>31</v>
      </c>
    </row>
    <row r="3" spans="1:4" x14ac:dyDescent="0.2">
      <c r="A3" s="1" t="s">
        <v>42</v>
      </c>
      <c r="B3" s="1" t="s">
        <v>40</v>
      </c>
    </row>
    <row r="4" spans="1:4" x14ac:dyDescent="0.2">
      <c r="A4" s="1" t="s">
        <v>38</v>
      </c>
      <c r="B4" t="s">
        <v>11</v>
      </c>
      <c r="C4" t="s">
        <v>13</v>
      </c>
      <c r="D4" t="s">
        <v>39</v>
      </c>
    </row>
    <row r="5" spans="1:4" x14ac:dyDescent="0.2">
      <c r="A5" s="2">
        <v>0</v>
      </c>
      <c r="B5">
        <v>1.6632080078125</v>
      </c>
      <c r="C5">
        <v>1.67083740234375</v>
      </c>
      <c r="D5">
        <v>3.33404541015625</v>
      </c>
    </row>
    <row r="6" spans="1:4" x14ac:dyDescent="0.2">
      <c r="A6" s="2">
        <v>5</v>
      </c>
      <c r="B6">
        <v>1.8291473388671875</v>
      </c>
      <c r="C6">
        <v>1.827239990234375</v>
      </c>
      <c r="D6">
        <v>3.6563873291015625</v>
      </c>
    </row>
    <row r="7" spans="1:4" x14ac:dyDescent="0.2">
      <c r="A7" s="2">
        <v>10</v>
      </c>
      <c r="B7">
        <v>1.9178390502929688</v>
      </c>
      <c r="C7">
        <v>1.9712448120117188</v>
      </c>
      <c r="D7">
        <v>3.8890838623046875</v>
      </c>
    </row>
    <row r="8" spans="1:4" x14ac:dyDescent="0.2">
      <c r="A8" s="2" t="s">
        <v>39</v>
      </c>
      <c r="B8">
        <v>5.4101943969726562</v>
      </c>
      <c r="C8">
        <v>5.4693222045898438</v>
      </c>
      <c r="D8">
        <v>10.8795166015625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4AB0-F3D2-2649-A4E4-4E244A518FDB}">
  <dimension ref="A1:D10"/>
  <sheetViews>
    <sheetView workbookViewId="0">
      <selection activeCell="G28" sqref="G28"/>
    </sheetView>
  </sheetViews>
  <sheetFormatPr baseColWidth="10" defaultRowHeight="16" x14ac:dyDescent="0.2"/>
  <cols>
    <col min="1" max="1" width="23" bestFit="1" customWidth="1"/>
    <col min="2" max="2" width="17" bestFit="1" customWidth="1"/>
    <col min="3" max="4" width="12.1640625" bestFit="1" customWidth="1"/>
    <col min="5" max="5" width="20.6640625" bestFit="1" customWidth="1"/>
    <col min="6" max="6" width="12.1640625" bestFit="1" customWidth="1"/>
    <col min="7" max="7" width="24.6640625" bestFit="1" customWidth="1"/>
    <col min="8" max="8" width="23" bestFit="1" customWidth="1"/>
    <col min="9" max="9" width="24.6640625" bestFit="1" customWidth="1"/>
    <col min="10" max="10" width="27.83203125" bestFit="1" customWidth="1"/>
    <col min="11" max="11" width="29.5" bestFit="1" customWidth="1"/>
  </cols>
  <sheetData>
    <row r="1" spans="1:4" x14ac:dyDescent="0.2">
      <c r="A1" s="1" t="s">
        <v>0</v>
      </c>
      <c r="B1" t="s">
        <v>22</v>
      </c>
    </row>
    <row r="3" spans="1:4" x14ac:dyDescent="0.2">
      <c r="A3" s="1" t="s">
        <v>42</v>
      </c>
      <c r="B3" s="1" t="s">
        <v>40</v>
      </c>
    </row>
    <row r="4" spans="1:4" x14ac:dyDescent="0.2">
      <c r="A4" s="1" t="s">
        <v>38</v>
      </c>
      <c r="B4" t="s">
        <v>11</v>
      </c>
      <c r="C4" t="s">
        <v>13</v>
      </c>
      <c r="D4" t="s">
        <v>39</v>
      </c>
    </row>
    <row r="5" spans="1:4" x14ac:dyDescent="0.2">
      <c r="A5" s="2">
        <v>0</v>
      </c>
      <c r="B5">
        <v>0.8487701416015625</v>
      </c>
      <c r="C5">
        <v>0.8487701416015625</v>
      </c>
      <c r="D5">
        <v>1.697540283203125</v>
      </c>
    </row>
    <row r="6" spans="1:4" x14ac:dyDescent="0.2">
      <c r="A6" s="2">
        <v>5</v>
      </c>
      <c r="B6">
        <v>1.010894775390625</v>
      </c>
      <c r="C6">
        <v>1.010894775390625</v>
      </c>
      <c r="D6">
        <v>2.02178955078125</v>
      </c>
    </row>
    <row r="7" spans="1:4" x14ac:dyDescent="0.2">
      <c r="A7" s="2">
        <v>10</v>
      </c>
      <c r="B7">
        <v>1.1529922485351562</v>
      </c>
      <c r="C7">
        <v>1.1243820190429688</v>
      </c>
      <c r="D7">
        <v>2.277374267578125</v>
      </c>
    </row>
    <row r="8" spans="1:4" x14ac:dyDescent="0.2">
      <c r="A8" s="2">
        <v>15</v>
      </c>
      <c r="B8">
        <v>1.3103485107421875</v>
      </c>
      <c r="C8">
        <v>1.28173828125</v>
      </c>
      <c r="D8">
        <v>2.5920867919921875</v>
      </c>
    </row>
    <row r="9" spans="1:4" x14ac:dyDescent="0.2">
      <c r="A9" s="2">
        <v>20</v>
      </c>
      <c r="B9">
        <v>1.4429092407226562</v>
      </c>
      <c r="C9">
        <v>1.3790130615234375</v>
      </c>
      <c r="D9">
        <v>2.8219223022460938</v>
      </c>
    </row>
    <row r="10" spans="1:4" x14ac:dyDescent="0.2">
      <c r="A10" s="2" t="s">
        <v>39</v>
      </c>
      <c r="B10">
        <v>5.7659149169921875</v>
      </c>
      <c r="C10">
        <v>5.6447982788085938</v>
      </c>
      <c r="D10">
        <v>11.410713195800781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9820-07DF-1D4A-9BDC-5CA754B53EAA}">
  <dimension ref="A1"/>
  <sheetViews>
    <sheetView workbookViewId="0">
      <selection activeCell="L19" sqref="L19"/>
    </sheetView>
  </sheetViews>
  <sheetFormatPr baseColWidth="10" defaultRowHeight="16"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1083-AAB3-5C4B-BDE6-0BD22B56DC26}">
  <dimension ref="A3:F10"/>
  <sheetViews>
    <sheetView tabSelected="1" workbookViewId="0">
      <selection activeCell="E29" sqref="E29"/>
    </sheetView>
  </sheetViews>
  <sheetFormatPr baseColWidth="10" defaultRowHeight="16" x14ac:dyDescent="0.2"/>
  <cols>
    <col min="1" max="1" width="24.6640625" bestFit="1" customWidth="1"/>
    <col min="2" max="2" width="15.5" bestFit="1" customWidth="1"/>
    <col min="3" max="3" width="10.6640625" bestFit="1" customWidth="1"/>
    <col min="4" max="4" width="14.6640625" bestFit="1" customWidth="1"/>
    <col min="5" max="5" width="20.6640625" bestFit="1" customWidth="1"/>
    <col min="6" max="6" width="12.1640625" bestFit="1" customWidth="1"/>
    <col min="7" max="7" width="24.6640625" bestFit="1" customWidth="1"/>
    <col min="8" max="8" width="23" bestFit="1" customWidth="1"/>
    <col min="9" max="9" width="24.6640625" bestFit="1" customWidth="1"/>
    <col min="10" max="10" width="27.83203125" bestFit="1" customWidth="1"/>
    <col min="11" max="11" width="29.5" bestFit="1" customWidth="1"/>
  </cols>
  <sheetData>
    <row r="3" spans="1:6" x14ac:dyDescent="0.2">
      <c r="A3" s="1" t="s">
        <v>41</v>
      </c>
      <c r="B3" s="1" t="s">
        <v>40</v>
      </c>
    </row>
    <row r="4" spans="1:6" x14ac:dyDescent="0.2">
      <c r="A4" s="1" t="s">
        <v>38</v>
      </c>
      <c r="B4" t="s">
        <v>15</v>
      </c>
      <c r="C4" t="s">
        <v>10</v>
      </c>
      <c r="D4" t="s">
        <v>22</v>
      </c>
      <c r="E4" t="s">
        <v>31</v>
      </c>
      <c r="F4" t="s">
        <v>39</v>
      </c>
    </row>
    <row r="5" spans="1:6" x14ac:dyDescent="0.2">
      <c r="A5" s="2">
        <v>0</v>
      </c>
      <c r="B5">
        <v>0</v>
      </c>
      <c r="C5">
        <v>0</v>
      </c>
      <c r="D5">
        <v>0</v>
      </c>
      <c r="E5">
        <v>0</v>
      </c>
      <c r="F5">
        <v>0</v>
      </c>
    </row>
    <row r="6" spans="1:6" x14ac:dyDescent="0.2">
      <c r="A6" s="2">
        <v>5</v>
      </c>
      <c r="B6">
        <v>1.0766983032226562</v>
      </c>
      <c r="D6">
        <v>2.02178955078125</v>
      </c>
      <c r="E6">
        <v>3.6563873291015625</v>
      </c>
      <c r="F6">
        <v>6.7548751831054688</v>
      </c>
    </row>
    <row r="7" spans="1:6" x14ac:dyDescent="0.2">
      <c r="A7" s="2">
        <v>10</v>
      </c>
      <c r="B7">
        <v>1.697540283203125</v>
      </c>
      <c r="D7">
        <v>2.277374267578125</v>
      </c>
      <c r="E7">
        <v>3.8890838623046875</v>
      </c>
      <c r="F7">
        <v>7.8639984130859375</v>
      </c>
    </row>
    <row r="8" spans="1:6" x14ac:dyDescent="0.2">
      <c r="A8" s="2">
        <v>15</v>
      </c>
      <c r="D8">
        <v>2.5920867919921875</v>
      </c>
      <c r="F8">
        <v>2.5920867919921875</v>
      </c>
    </row>
    <row r="9" spans="1:6" x14ac:dyDescent="0.2">
      <c r="A9" s="2">
        <v>20</v>
      </c>
      <c r="D9">
        <v>2.8219223022460938</v>
      </c>
      <c r="F9">
        <v>2.8219223022460938</v>
      </c>
    </row>
    <row r="10" spans="1:6" x14ac:dyDescent="0.2">
      <c r="A10" s="2" t="s">
        <v>39</v>
      </c>
      <c r="B10">
        <v>2.7742385864257812</v>
      </c>
      <c r="C10">
        <v>0</v>
      </c>
      <c r="D10">
        <v>9.7131729125976562</v>
      </c>
      <c r="E10">
        <v>7.54547119140625</v>
      </c>
      <c r="F10">
        <v>20.032882690429688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Sheet3</vt:lpstr>
      <vt:lpstr>Email-EuAll</vt:lpstr>
      <vt:lpstr>cit-Patents</vt:lpstr>
      <vt:lpstr>Sheet3 (4)</vt:lpstr>
      <vt:lpstr>Sheet3 (5)</vt:lpstr>
      <vt:lpstr>Sheet13</vt:lpstr>
      <vt:lpstr>Sheet3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WEERASINGHE P D L L</cp:lastModifiedBy>
  <dcterms:modified xsi:type="dcterms:W3CDTF">2025-12-31T07:01:44Z</dcterms:modified>
</cp:coreProperties>
</file>