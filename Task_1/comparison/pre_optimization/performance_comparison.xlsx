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litha/Documents/MSC/BigData/Assignment/Final2/Task_1/comparison/pre_optimization/"/>
    </mc:Choice>
  </mc:AlternateContent>
  <xr:revisionPtr revIDLastSave="0" documentId="13_ncr:1_{5267055C-94E7-144E-BAA9-82982817FB99}" xr6:coauthVersionLast="47" xr6:coauthVersionMax="47" xr10:uidLastSave="{00000000-0000-0000-0000-000000000000}"/>
  <bookViews>
    <workbookView xWindow="0" yWindow="620" windowWidth="28800" windowHeight="16240" activeTab="6" xr2:uid="{669AD58B-FE57-114D-A07E-39C4A3E941BF}"/>
  </bookViews>
  <sheets>
    <sheet name="Duration" sheetId="1" r:id="rId1"/>
    <sheet name="hadoop memoery" sheetId="2" r:id="rId2"/>
    <sheet name="Spark" sheetId="4" r:id="rId3"/>
    <sheet name="mem_peak" sheetId="3" r:id="rId4"/>
    <sheet name="mem_peak_comparison" sheetId="7" r:id="rId5"/>
    <sheet name="spark_mem_peak" sheetId="5" r:id="rId6"/>
    <sheet name="spark_peak_table" sheetId="6" r:id="rId7"/>
  </sheets>
  <definedNames>
    <definedName name="_xlchart.v1.0" hidden="1">mem_peak!$A$2:$A$5</definedName>
    <definedName name="_xlchart.v1.1" hidden="1">mem_peak!$B$1</definedName>
    <definedName name="_xlchart.v1.10" hidden="1">mem_peak!$B$1</definedName>
    <definedName name="_xlchart.v1.11" hidden="1">mem_peak!$B$2:$B$5</definedName>
    <definedName name="_xlchart.v1.12" hidden="1">mem_peak!$C$1</definedName>
    <definedName name="_xlchart.v1.13" hidden="1">mem_peak!$C$2:$C$5</definedName>
    <definedName name="_xlchart.v1.14" hidden="1">mem_peak!$D$1</definedName>
    <definedName name="_xlchart.v1.15" hidden="1">mem_peak!$D$2:$D$5</definedName>
    <definedName name="_xlchart.v1.16" hidden="1">mem_peak!$E$1</definedName>
    <definedName name="_xlchart.v1.17" hidden="1">mem_peak!$E$2:$E$5</definedName>
    <definedName name="_xlchart.v1.2" hidden="1">mem_peak!$B$2:$B$5</definedName>
    <definedName name="_xlchart.v1.3" hidden="1">mem_peak!$C$1</definedName>
    <definedName name="_xlchart.v1.4" hidden="1">mem_peak!$C$2:$C$5</definedName>
    <definedName name="_xlchart.v1.5" hidden="1">mem_peak!$D$1</definedName>
    <definedName name="_xlchart.v1.6" hidden="1">mem_peak!$D$2:$D$5</definedName>
    <definedName name="_xlchart.v1.7" hidden="1">mem_peak!$E$1</definedName>
    <definedName name="_xlchart.v1.8" hidden="1">mem_peak!$E$2:$E$5</definedName>
    <definedName name="_xlchart.v1.9" hidden="1">mem_peak!$A$2:$A$5</definedName>
    <definedName name="_xlchart.v2.18" hidden="1">spark_peak_table!$A$2:$A$5</definedName>
    <definedName name="_xlchart.v2.19" hidden="1">spark_peak_table!$B$1</definedName>
    <definedName name="_xlchart.v2.20" hidden="1">spark_peak_table!$B$2:$B$5</definedName>
    <definedName name="_xlchart.v2.21" hidden="1">spark_peak_table!$C$1</definedName>
    <definedName name="_xlchart.v2.22" hidden="1">spark_peak_table!$C$2:$C$5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3" i="4"/>
  <c r="K2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B3" i="3"/>
  <c r="C3" i="3"/>
  <c r="D3" i="3"/>
  <c r="E3" i="3"/>
  <c r="B4" i="3"/>
  <c r="C4" i="3"/>
  <c r="D4" i="3"/>
  <c r="E4" i="3"/>
  <c r="B5" i="3"/>
  <c r="C5" i="3"/>
  <c r="D5" i="3"/>
  <c r="E5" i="3"/>
  <c r="E2" i="3"/>
  <c r="C2" i="3"/>
  <c r="D2" i="3"/>
  <c r="B2" i="3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4" i="2"/>
  <c r="J5" i="2"/>
  <c r="J6" i="2"/>
  <c r="J7" i="2"/>
  <c r="J3" i="2"/>
  <c r="J2" i="2"/>
</calcChain>
</file>

<file path=xl/sharedStrings.xml><?xml version="1.0" encoding="utf-8"?>
<sst xmlns="http://schemas.openxmlformats.org/spreadsheetml/2006/main" count="1990" uniqueCount="849">
  <si>
    <t>Email-EuAll</t>
  </si>
  <si>
    <t>cit-Patents</t>
  </si>
  <si>
    <t>soc-LiveJournal1</t>
  </si>
  <si>
    <t>soc-pokec-relationships</t>
  </si>
  <si>
    <t>Dataset</t>
  </si>
  <si>
    <t>Hadoop</t>
  </si>
  <si>
    <t>Spark</t>
  </si>
  <si>
    <t>469.6MiB / 3.828GiB</t>
  </si>
  <si>
    <t>379.9MiB / 3.828GiB</t>
  </si>
  <si>
    <t>457.1MiB / 3.828GiB</t>
  </si>
  <si>
    <t>630.2MiB / 3.828GiB</t>
  </si>
  <si>
    <t>684.5MiB / 3.828GiB</t>
  </si>
  <si>
    <t>383.8MiB / 3.828GiB</t>
  </si>
  <si>
    <t>464.2MiB / 3.828GiB</t>
  </si>
  <si>
    <t>772.9MiB / 3.828GiB</t>
  </si>
  <si>
    <t>688.1MiB / 3.828GiB</t>
  </si>
  <si>
    <t>379.4MiB / 3.828GiB</t>
  </si>
  <si>
    <t>464.9MiB / 3.828GiB</t>
  </si>
  <si>
    <t>1.033GiB / 3.828GiB</t>
  </si>
  <si>
    <t>683.7MiB / 3.828GiB</t>
  </si>
  <si>
    <t>346MiB / 3.828GiB</t>
  </si>
  <si>
    <t>456.8MiB / 3.828GiB</t>
  </si>
  <si>
    <t>1.416GiB / 3.828GiB</t>
  </si>
  <si>
    <t>681MiB / 3.828GiB</t>
  </si>
  <si>
    <t>345.5MiB / 3.828GiB</t>
  </si>
  <si>
    <t>456.6MiB / 3.828GiB</t>
  </si>
  <si>
    <t>1.423GiB / 3.828GiB</t>
  </si>
  <si>
    <t>682.1MiB / 3.828GiB</t>
  </si>
  <si>
    <t>338.9MiB / 3.828GiB</t>
  </si>
  <si>
    <t>447.9MiB / 3.828GiB</t>
  </si>
  <si>
    <t>1.419GiB / 3.828GiB</t>
  </si>
  <si>
    <t>696MiB / 3.828GiB</t>
  </si>
  <si>
    <t>325.1MiB / 3.828GiB</t>
  </si>
  <si>
    <t>447.7MiB / 3.828GiB</t>
  </si>
  <si>
    <t>1.256GiB / 3.828GiB</t>
  </si>
  <si>
    <t>696.7MiB / 3.828GiB</t>
  </si>
  <si>
    <t>332.2MiB / 3.828GiB</t>
  </si>
  <si>
    <t>448.1MiB / 3.828GiB</t>
  </si>
  <si>
    <t>1.424GiB / 3.828GiB</t>
  </si>
  <si>
    <t>691MiB / 3.828GiB</t>
  </si>
  <si>
    <t>318.5MiB / 3.828GiB</t>
  </si>
  <si>
    <t>440MiB / 3.828GiB</t>
  </si>
  <si>
    <t>1.42GiB / 3.828GiB</t>
  </si>
  <si>
    <t>683.2MiB / 3.828GiB</t>
  </si>
  <si>
    <t>293.1MiB / 3.828GiB</t>
  </si>
  <si>
    <t>432.1MiB / 3.828GiB</t>
  </si>
  <si>
    <t>1.394GiB / 3.828GiB</t>
  </si>
  <si>
    <t>685.2MiB / 3.828GiB</t>
  </si>
  <si>
    <t>295.6MiB / 3.828GiB</t>
  </si>
  <si>
    <t>432.8MiB / 3.828GiB</t>
  </si>
  <si>
    <t>1.29GiB / 3.828GiB</t>
  </si>
  <si>
    <t>689MiB / 3.828GiB</t>
  </si>
  <si>
    <t>298.9MiB / 3.828GiB</t>
  </si>
  <si>
    <t>433.8MiB / 3.828GiB</t>
  </si>
  <si>
    <t>1.006GiB / 3.828GiB</t>
  </si>
  <si>
    <t>711MiB / 3.828GiB</t>
  </si>
  <si>
    <t>304.7MiB / 3.828GiB</t>
  </si>
  <si>
    <t>443.9MiB / 3.828GiB</t>
  </si>
  <si>
    <t>921.8MiB / 3.828GiB</t>
  </si>
  <si>
    <t>714.1MiB / 3.828GiB</t>
  </si>
  <si>
    <t>308.1MiB / 3.828GiB</t>
  </si>
  <si>
    <t>446MiB / 3.828GiB</t>
  </si>
  <si>
    <t>1.158GiB / 3.828GiB</t>
  </si>
  <si>
    <t>715.9MiB / 3.828GiB</t>
  </si>
  <si>
    <t>310.1MiB / 3.828GiB</t>
  </si>
  <si>
    <t>446.7MiB / 3.828GiB</t>
  </si>
  <si>
    <t>1020MiB / 3.828GiB</t>
  </si>
  <si>
    <t>718.9MiB / 3.828GiB</t>
  </si>
  <si>
    <t>312.2MiB / 3.828GiB</t>
  </si>
  <si>
    <t>447MiB / 3.828GiB</t>
  </si>
  <si>
    <t>1.014GiB / 3.828GiB</t>
  </si>
  <si>
    <t>466.1MiB / 3.828GiB</t>
  </si>
  <si>
    <t>329.6MiB / 3.828GiB</t>
  </si>
  <si>
    <t>440.9MiB / 3.828GiB</t>
  </si>
  <si>
    <t>535.8MiB / 3.828GiB</t>
  </si>
  <si>
    <t>658.7MiB / 3.828GiB</t>
  </si>
  <si>
    <t>335.1MiB / 3.828GiB</t>
  </si>
  <si>
    <t>604.1MiB / 3.828GiB</t>
  </si>
  <si>
    <t>662.5MiB / 3.828GiB</t>
  </si>
  <si>
    <t>340MiB / 3.828GiB</t>
  </si>
  <si>
    <t>445.4MiB / 3.828GiB</t>
  </si>
  <si>
    <t>1.013GiB / 3.828GiB</t>
  </si>
  <si>
    <t>663.8MiB / 3.828GiB</t>
  </si>
  <si>
    <t>348.5MiB / 3.828GiB</t>
  </si>
  <si>
    <t>446.1MiB / 3.828GiB</t>
  </si>
  <si>
    <t>1.354GiB / 3.828GiB</t>
  </si>
  <si>
    <t>664.2MiB / 3.828GiB</t>
  </si>
  <si>
    <t>335.7MiB / 3.828GiB</t>
  </si>
  <si>
    <t>445.1MiB / 3.828GiB</t>
  </si>
  <si>
    <t>1.369GiB / 3.828GiB</t>
  </si>
  <si>
    <t>664.8MiB / 3.828GiB</t>
  </si>
  <si>
    <t>317.5MiB / 3.828GiB</t>
  </si>
  <si>
    <t>443.1MiB / 3.828GiB</t>
  </si>
  <si>
    <t>1.379GiB / 3.828GiB</t>
  </si>
  <si>
    <t>666.3MiB / 3.828GiB</t>
  </si>
  <si>
    <t>323MiB / 3.828GiB</t>
  </si>
  <si>
    <t>444MiB / 3.828GiB</t>
  </si>
  <si>
    <t>1.366GiB / 3.828GiB</t>
  </si>
  <si>
    <t>667.3MiB / 3.828GiB</t>
  </si>
  <si>
    <t>321.4MiB / 3.828GiB</t>
  </si>
  <si>
    <t>444.2MiB / 3.828GiB</t>
  </si>
  <si>
    <t>1.377GiB / 3.828GiB</t>
  </si>
  <si>
    <t>668.7MiB / 3.828GiB</t>
  </si>
  <si>
    <t>320.4MiB / 3.828GiB</t>
  </si>
  <si>
    <t>444.4MiB / 3.828GiB</t>
  </si>
  <si>
    <t>1.382GiB / 3.828GiB</t>
  </si>
  <si>
    <t>683MiB / 3.828GiB</t>
  </si>
  <si>
    <t>318.9MiB / 3.828GiB</t>
  </si>
  <si>
    <t>444.6MiB / 3.828GiB</t>
  </si>
  <si>
    <t>1.393GiB / 3.828GiB</t>
  </si>
  <si>
    <t>684.6MiB / 3.828GiB</t>
  </si>
  <si>
    <t>323.2MiB / 3.828GiB</t>
  </si>
  <si>
    <t>1.383GiB / 3.828GiB</t>
  </si>
  <si>
    <t>668.9MiB / 3.828GiB</t>
  </si>
  <si>
    <t>319.9MiB / 3.828GiB</t>
  </si>
  <si>
    <t>445.9MiB / 3.828GiB</t>
  </si>
  <si>
    <t>1.399GiB / 3.828GiB</t>
  </si>
  <si>
    <t>670.1MiB / 3.828GiB</t>
  </si>
  <si>
    <t>319.3MiB / 3.828GiB</t>
  </si>
  <si>
    <t>446.5MiB / 3.828GiB</t>
  </si>
  <si>
    <t>1.408GiB / 3.828GiB</t>
  </si>
  <si>
    <t>675.8MiB / 3.828GiB</t>
  </si>
  <si>
    <t>309.9MiB / 3.828GiB</t>
  </si>
  <si>
    <t>446.6MiB / 3.828GiB</t>
  </si>
  <si>
    <t>1.029GiB / 3.828GiB</t>
  </si>
  <si>
    <t>676.7MiB / 3.828GiB</t>
  </si>
  <si>
    <t>316MiB / 3.828GiB</t>
  </si>
  <si>
    <t>1.409GiB / 3.828GiB</t>
  </si>
  <si>
    <t>673.7MiB / 3.828GiB</t>
  </si>
  <si>
    <t>317.3MiB / 3.828GiB</t>
  </si>
  <si>
    <t>447.4MiB / 3.828GiB</t>
  </si>
  <si>
    <t>1.411GiB / 3.828GiB</t>
  </si>
  <si>
    <t>670.9MiB / 3.828GiB</t>
  </si>
  <si>
    <t>317.7MiB / 3.828GiB</t>
  </si>
  <si>
    <t>456.4MiB / 3.828GiB</t>
  </si>
  <si>
    <t>1.407GiB / 3.828GiB</t>
  </si>
  <si>
    <t>671.9MiB / 3.828GiB</t>
  </si>
  <si>
    <t>317MiB / 3.828GiB</t>
  </si>
  <si>
    <t>456.7MiB / 3.828GiB</t>
  </si>
  <si>
    <t>1.034GiB / 3.828GiB</t>
  </si>
  <si>
    <t>674MiB / 3.828GiB</t>
  </si>
  <si>
    <t>322.9MiB / 3.828GiB</t>
  </si>
  <si>
    <t>457.2MiB / 3.828GiB</t>
  </si>
  <si>
    <t>1.401GiB / 3.828GiB</t>
  </si>
  <si>
    <t>675.6MiB / 3.828GiB</t>
  </si>
  <si>
    <t>318.2MiB / 3.828GiB</t>
  </si>
  <si>
    <t>458.2MiB / 3.828GiB</t>
  </si>
  <si>
    <t>676MiB / 3.828GiB</t>
  </si>
  <si>
    <t>311.2MiB / 3.828GiB</t>
  </si>
  <si>
    <t>458.8MiB / 3.828GiB</t>
  </si>
  <si>
    <t>1.403GiB / 3.828GiB</t>
  </si>
  <si>
    <t>676.6MiB / 3.828GiB</t>
  </si>
  <si>
    <t>311.6MiB / 3.828GiB</t>
  </si>
  <si>
    <t>459.7MiB / 3.828GiB</t>
  </si>
  <si>
    <t>1.243GiB / 3.828GiB</t>
  </si>
  <si>
    <t>677.2MiB / 3.828GiB</t>
  </si>
  <si>
    <t>459.9MiB / 3.828GiB</t>
  </si>
  <si>
    <t>1.395GiB / 3.828GiB</t>
  </si>
  <si>
    <t>659.4MiB / 3.828GiB</t>
  </si>
  <si>
    <t>320.6MiB / 3.828GiB</t>
  </si>
  <si>
    <t>459MiB / 3.828GiB</t>
  </si>
  <si>
    <t>1.405GiB / 3.828GiB</t>
  </si>
  <si>
    <t>660MiB / 3.828GiB</t>
  </si>
  <si>
    <t>317.8MiB / 3.828GiB</t>
  </si>
  <si>
    <t>459.6MiB / 3.828GiB</t>
  </si>
  <si>
    <t>1.008GiB / 3.828GiB</t>
  </si>
  <si>
    <t>661.1MiB / 3.828GiB</t>
  </si>
  <si>
    <t>337.9MiB / 3.828GiB</t>
  </si>
  <si>
    <t>460.2MiB / 3.828GiB</t>
  </si>
  <si>
    <t>1.398GiB / 3.828GiB</t>
  </si>
  <si>
    <t>661.7MiB / 3.828GiB</t>
  </si>
  <si>
    <t>327.4MiB / 3.828GiB</t>
  </si>
  <si>
    <t>460.5MiB / 3.828GiB</t>
  </si>
  <si>
    <t>326.5MiB / 3.828GiB</t>
  </si>
  <si>
    <t>460.7MiB / 3.828GiB</t>
  </si>
  <si>
    <t>1.412GiB / 3.828GiB</t>
  </si>
  <si>
    <t>672MiB / 3.828GiB</t>
  </si>
  <si>
    <t>323.5MiB / 3.828GiB</t>
  </si>
  <si>
    <t>460.6MiB / 3.828GiB</t>
  </si>
  <si>
    <t>1.222GiB / 3.828GiB</t>
  </si>
  <si>
    <t>674.7MiB / 3.828GiB</t>
  </si>
  <si>
    <t>334.9MiB / 3.828GiB</t>
  </si>
  <si>
    <t>461.5MiB / 3.828GiB</t>
  </si>
  <si>
    <t>675.5MiB / 3.828GiB</t>
  </si>
  <si>
    <t>337.1MiB / 3.828GiB</t>
  </si>
  <si>
    <t>461.9MiB / 3.828GiB</t>
  </si>
  <si>
    <t>335MiB / 3.828GiB</t>
  </si>
  <si>
    <t>462.2MiB / 3.828GiB</t>
  </si>
  <si>
    <t>1024MiB / 3.828GiB</t>
  </si>
  <si>
    <t>678.3MiB / 3.828GiB</t>
  </si>
  <si>
    <t>324.2MiB / 3.828GiB</t>
  </si>
  <si>
    <t>462.6MiB / 3.828GiB</t>
  </si>
  <si>
    <t>1.293GiB / 3.828GiB</t>
  </si>
  <si>
    <t>679MiB / 3.828GiB</t>
  </si>
  <si>
    <t>325.2MiB / 3.828GiB</t>
  </si>
  <si>
    <t>462.8MiB / 3.828GiB</t>
  </si>
  <si>
    <t>1.315GiB / 3.828GiB</t>
  </si>
  <si>
    <t>679.8MiB / 3.828GiB</t>
  </si>
  <si>
    <t>327.1MiB / 3.828GiB</t>
  </si>
  <si>
    <t>463MiB / 3.828GiB</t>
  </si>
  <si>
    <t>1.312GiB / 3.828GiB</t>
  </si>
  <si>
    <t>677.1MiB / 3.828GiB</t>
  </si>
  <si>
    <t>328.3MiB / 3.828GiB</t>
  </si>
  <si>
    <t>463.7MiB / 3.828GiB</t>
  </si>
  <si>
    <t>1.299GiB / 3.828GiB</t>
  </si>
  <si>
    <t>706.1MiB / 3.828GiB</t>
  </si>
  <si>
    <t>335.5MiB / 3.828GiB</t>
  </si>
  <si>
    <t>465.5MiB / 3.828GiB</t>
  </si>
  <si>
    <t>1004MiB / 3.828GiB</t>
  </si>
  <si>
    <t>708.3MiB / 3.828GiB</t>
  </si>
  <si>
    <t>338.3MiB / 3.828GiB</t>
  </si>
  <si>
    <t>468.9MiB / 3.828GiB</t>
  </si>
  <si>
    <t>922.1MiB / 3.828GiB</t>
  </si>
  <si>
    <t>712.7MiB / 3.828GiB</t>
  </si>
  <si>
    <t>342MiB / 3.828GiB</t>
  </si>
  <si>
    <t>469.4MiB / 3.828GiB</t>
  </si>
  <si>
    <t>1.255GiB / 3.828GiB</t>
  </si>
  <si>
    <t>713.7MiB / 3.828GiB</t>
  </si>
  <si>
    <t>341.7MiB / 3.828GiB</t>
  </si>
  <si>
    <t>469.9MiB / 3.828GiB</t>
  </si>
  <si>
    <t>984.9MiB / 3.828GiB</t>
  </si>
  <si>
    <t>715.4MiB / 3.828GiB</t>
  </si>
  <si>
    <t>342.6MiB / 3.828GiB</t>
  </si>
  <si>
    <t>470.2MiB / 3.828GiB</t>
  </si>
  <si>
    <t>1.244GiB / 3.828GiB</t>
  </si>
  <si>
    <t>479.3MiB / 3.828GiB</t>
  </si>
  <si>
    <t>367.7MiB / 3.828GiB</t>
  </si>
  <si>
    <t>472.9MiB / 3.828GiB</t>
  </si>
  <si>
    <t>544.5MiB / 3.828GiB</t>
  </si>
  <si>
    <t>669MiB / 3.828GiB</t>
  </si>
  <si>
    <t>371.1MiB / 3.828GiB</t>
  </si>
  <si>
    <t>475.9MiB / 3.828GiB</t>
  </si>
  <si>
    <t>629.2MiB / 3.828GiB</t>
  </si>
  <si>
    <t>658.4MiB / 3.828GiB</t>
  </si>
  <si>
    <t>363.6MiB / 3.828GiB</t>
  </si>
  <si>
    <t>471.3MiB / 3.828GiB</t>
  </si>
  <si>
    <t>1007MiB / 3.828GiB</t>
  </si>
  <si>
    <t>660.2MiB / 3.828GiB</t>
  </si>
  <si>
    <t>357.2MiB / 3.828GiB</t>
  </si>
  <si>
    <t>471.8MiB / 3.828GiB</t>
  </si>
  <si>
    <t>661.2MiB / 3.828GiB</t>
  </si>
  <si>
    <t>356.2MiB / 3.828GiB</t>
  </si>
  <si>
    <t>1.334GiB / 3.828GiB</t>
  </si>
  <si>
    <t>656.1MiB / 3.828GiB</t>
  </si>
  <si>
    <t>472.7MiB / 3.828GiB</t>
  </si>
  <si>
    <t>1.344GiB / 3.828GiB</t>
  </si>
  <si>
    <t>657.8MiB / 3.828GiB</t>
  </si>
  <si>
    <t>342.9MiB / 3.828GiB</t>
  </si>
  <si>
    <t>494.8MiB / 3.828GiB</t>
  </si>
  <si>
    <t>965.6MiB / 3.828GiB</t>
  </si>
  <si>
    <t>659.5MiB / 3.828GiB</t>
  </si>
  <si>
    <t>336.3MiB / 3.828GiB</t>
  </si>
  <si>
    <t>494.9MiB / 3.828GiB</t>
  </si>
  <si>
    <t>1.339GiB / 3.828GiB</t>
  </si>
  <si>
    <t>660.5MiB / 3.828GiB</t>
  </si>
  <si>
    <t>495.2MiB / 3.828GiB</t>
  </si>
  <si>
    <t>1.349GiB / 3.828GiB</t>
  </si>
  <si>
    <t>661.4MiB / 3.828GiB</t>
  </si>
  <si>
    <t>344.2MiB / 3.828GiB</t>
  </si>
  <si>
    <t>495.3MiB / 3.828GiB</t>
  </si>
  <si>
    <t>1.355GiB / 3.828GiB</t>
  </si>
  <si>
    <t>663.5MiB / 3.828GiB</t>
  </si>
  <si>
    <t>345.1MiB / 3.828GiB</t>
  </si>
  <si>
    <t>495.7MiB / 3.828GiB</t>
  </si>
  <si>
    <t>1.101GiB / 3.828GiB</t>
  </si>
  <si>
    <t>664.7MiB / 3.828GiB</t>
  </si>
  <si>
    <t>351.3MiB / 3.828GiB</t>
  </si>
  <si>
    <t>495.8MiB / 3.828GiB</t>
  </si>
  <si>
    <t>672.1MiB / 3.828GiB</t>
  </si>
  <si>
    <t>344.6MiB / 3.828GiB</t>
  </si>
  <si>
    <t>496.4MiB / 3.828GiB</t>
  </si>
  <si>
    <t>1.351GiB / 3.828GiB</t>
  </si>
  <si>
    <t>673.8MiB / 3.828GiB</t>
  </si>
  <si>
    <t>340.4MiB / 3.828GiB</t>
  </si>
  <si>
    <t>496.5MiB / 3.828GiB</t>
  </si>
  <si>
    <t>1.363GiB / 3.828GiB</t>
  </si>
  <si>
    <t>674.8MiB / 3.828GiB</t>
  </si>
  <si>
    <t>348.6MiB / 3.828GiB</t>
  </si>
  <si>
    <t>497.4MiB / 3.828GiB</t>
  </si>
  <si>
    <t>1.35GiB / 3.828GiB</t>
  </si>
  <si>
    <t>681.4MiB / 3.828GiB</t>
  </si>
  <si>
    <t>347.9MiB / 3.828GiB</t>
  </si>
  <si>
    <t>498MiB / 3.828GiB</t>
  </si>
  <si>
    <t>1.134GiB / 3.828GiB</t>
  </si>
  <si>
    <t>682.3MiB / 3.828GiB</t>
  </si>
  <si>
    <t>498.1MiB / 3.828GiB</t>
  </si>
  <si>
    <t>1.28GiB / 3.828GiB</t>
  </si>
  <si>
    <t>686.8MiB / 3.828GiB</t>
  </si>
  <si>
    <t>335.9MiB / 3.828GiB</t>
  </si>
  <si>
    <t>508.7MiB / 3.828GiB</t>
  </si>
  <si>
    <t>982.8MiB / 3.828GiB</t>
  </si>
  <si>
    <t>710.3MiB / 3.828GiB</t>
  </si>
  <si>
    <t>340.9MiB / 3.828GiB</t>
  </si>
  <si>
    <t>514.7MiB / 3.828GiB</t>
  </si>
  <si>
    <t>869.3MiB / 3.828GiB</t>
  </si>
  <si>
    <t>712.6MiB / 3.828GiB</t>
  </si>
  <si>
    <t>515.3MiB / 3.828GiB</t>
  </si>
  <si>
    <t>1.098GiB / 3.828GiB</t>
  </si>
  <si>
    <t>715.1MiB / 3.828GiB</t>
  </si>
  <si>
    <t>344.4MiB / 3.828GiB</t>
  </si>
  <si>
    <t>516.2MiB / 3.828GiB</t>
  </si>
  <si>
    <t>717.9MiB / 3.828GiB</t>
  </si>
  <si>
    <t>348.3MiB / 3.828GiB</t>
  </si>
  <si>
    <t>516.1MiB / 3.828GiB</t>
  </si>
  <si>
    <t>1006MiB / 3.828GiB</t>
  </si>
  <si>
    <t>459.1MiB / 3.828GiB</t>
  </si>
  <si>
    <t>349.6MiB / 3.828GiB</t>
  </si>
  <si>
    <t>446.2MiB / 3.828GiB</t>
  </si>
  <si>
    <t>621.5MiB / 3.828GiB</t>
  </si>
  <si>
    <t>663.1MiB / 3.828GiB</t>
  </si>
  <si>
    <t>351.9MiB / 3.828GiB</t>
  </si>
  <si>
    <t>449.1MiB / 3.828GiB</t>
  </si>
  <si>
    <t>732.4MiB / 3.828GiB</t>
  </si>
  <si>
    <t>667.1MiB / 3.828GiB</t>
  </si>
  <si>
    <t>352.8MiB / 3.828GiB</t>
  </si>
  <si>
    <t>450.5MiB / 3.828GiB</t>
  </si>
  <si>
    <t>1.079GiB / 3.828GiB</t>
  </si>
  <si>
    <t>668.1MiB / 3.828GiB</t>
  </si>
  <si>
    <t>355.7MiB / 3.828GiB</t>
  </si>
  <si>
    <t>451MiB / 3.828GiB</t>
  </si>
  <si>
    <t>1.131GiB / 3.828GiB</t>
  </si>
  <si>
    <t>688.8MiB / 3.828GiB</t>
  </si>
  <si>
    <t>359.1MiB / 3.828GiB</t>
  </si>
  <si>
    <t>453.1MiB / 3.828GiB</t>
  </si>
  <si>
    <t>1.049GiB / 3.828GiB</t>
  </si>
  <si>
    <t>693.5MiB / 3.828GiB</t>
  </si>
  <si>
    <t>362.2MiB / 3.828GiB</t>
  </si>
  <si>
    <t>455.1MiB / 3.828GiB</t>
  </si>
  <si>
    <t>1011MiB / 3.828GiB</t>
  </si>
  <si>
    <t>696.1MiB / 3.828GiB</t>
  </si>
  <si>
    <t>363.1MiB / 3.828GiB</t>
  </si>
  <si>
    <t>455.6MiB / 3.828GiB</t>
  </si>
  <si>
    <t>1.04GiB / 3.828GiB</t>
  </si>
  <si>
    <t>698.1MiB / 3.828GiB</t>
  </si>
  <si>
    <t>364.3MiB / 3.828GiB</t>
  </si>
  <si>
    <t>455.9MiB / 3.828GiB</t>
  </si>
  <si>
    <t>1.054GiB / 3.828GiB</t>
  </si>
  <si>
    <t>namenode</t>
  </si>
  <si>
    <t>12.1MB / 3.63GB</t>
  </si>
  <si>
    <t>788MB / 304MB</t>
  </si>
  <si>
    <t>datanode</t>
  </si>
  <si>
    <t>3.83GB / 3.85GB</t>
  </si>
  <si>
    <t>3.82GB / 4.33GB</t>
  </si>
  <si>
    <t>resourcemanager</t>
  </si>
  <si>
    <t>1.31MB / 641kB</t>
  </si>
  <si>
    <t>217MB / 409MB</t>
  </si>
  <si>
    <t>nodemanager</t>
  </si>
  <si>
    <t>3.84GB / 211MB</t>
  </si>
  <si>
    <t>2.75GB / 6.48GB</t>
  </si>
  <si>
    <t>793MB / 304MB</t>
  </si>
  <si>
    <t>3.84GB / 3.85GB</t>
  </si>
  <si>
    <t>1.32MB / 651kB</t>
  </si>
  <si>
    <t>220MB / 409MB</t>
  </si>
  <si>
    <t>3.82GB / 4.34GB</t>
  </si>
  <si>
    <t>1.33MB / 660kB</t>
  </si>
  <si>
    <t>222MB / 409MB</t>
  </si>
  <si>
    <t>3.84GB / 3.86GB</t>
  </si>
  <si>
    <t>1.34MB / 662kB</t>
  </si>
  <si>
    <t>223MB / 409MB</t>
  </si>
  <si>
    <t>3.85GB / 211MB</t>
  </si>
  <si>
    <t>12.2MB / 3.63GB</t>
  </si>
  <si>
    <t>795MB / 304MB</t>
  </si>
  <si>
    <t>3.83GB / 4.34GB</t>
  </si>
  <si>
    <t>1.35MB / 668kB</t>
  </si>
  <si>
    <t>224MB / 409MB</t>
  </si>
  <si>
    <t>3.85GB / 212MB</t>
  </si>
  <si>
    <t>798MB / 304MB</t>
  </si>
  <si>
    <t>1.36MB / 681kB</t>
  </si>
  <si>
    <t>226MB / 409MB</t>
  </si>
  <si>
    <t>799MB / 304MB</t>
  </si>
  <si>
    <t>1.37MB / 687kB</t>
  </si>
  <si>
    <t>227MB / 409MB</t>
  </si>
  <si>
    <t>1.37MB / 689kB</t>
  </si>
  <si>
    <t>3.85GB / 213MB</t>
  </si>
  <si>
    <t>12.8MB / 3.91GB</t>
  </si>
  <si>
    <t>805MB / 304MB</t>
  </si>
  <si>
    <t>4.12GB / 3.86GB</t>
  </si>
  <si>
    <t>3.84GB / 4.61GB</t>
  </si>
  <si>
    <t>1.38MB / 693kB</t>
  </si>
  <si>
    <t>228MB / 409MB</t>
  </si>
  <si>
    <t>807MB / 305MB</t>
  </si>
  <si>
    <t>1.39MB / 703kB</t>
  </si>
  <si>
    <t>235MB / 409MB</t>
  </si>
  <si>
    <t>808MB / 305MB</t>
  </si>
  <si>
    <t>1.4MB / 713kB</t>
  </si>
  <si>
    <t>236MB / 409MB</t>
  </si>
  <si>
    <t>808MB / 309MB</t>
  </si>
  <si>
    <t>4.12GB / 3.93GB</t>
  </si>
  <si>
    <t>3.91GB / 4.63GB</t>
  </si>
  <si>
    <t>1.41MB / 715kB</t>
  </si>
  <si>
    <t>236MB / 415MB</t>
  </si>
  <si>
    <t>3.92GB / 213MB</t>
  </si>
  <si>
    <t>2.75GB / 6.5GB</t>
  </si>
  <si>
    <t>808MB / 311MB</t>
  </si>
  <si>
    <t>4.12GB / 3.98GB</t>
  </si>
  <si>
    <t>3.96GB / 4.65GB</t>
  </si>
  <si>
    <t>1.41MB / 717kB</t>
  </si>
  <si>
    <t>237MB / 417MB</t>
  </si>
  <si>
    <t>3.97GB / 214MB</t>
  </si>
  <si>
    <t>2.75GB / 6.54GB</t>
  </si>
  <si>
    <t>4.12GB / 4.01GB</t>
  </si>
  <si>
    <t>3.99GB / 4.66GB</t>
  </si>
  <si>
    <t>1.42MB / 718kB</t>
  </si>
  <si>
    <t>237MB / 424MB</t>
  </si>
  <si>
    <t>4GB / 214MB</t>
  </si>
  <si>
    <t>2.75GB / 6.6GB</t>
  </si>
  <si>
    <t>810MB / 311MB</t>
  </si>
  <si>
    <t>3.99GB / 4.67GB</t>
  </si>
  <si>
    <t>1.43MB / 721kB</t>
  </si>
  <si>
    <t>2.8GB / 6.72GB</t>
  </si>
  <si>
    <t>810MB / 312MB</t>
  </si>
  <si>
    <t>4.12GB / 4.07GB</t>
  </si>
  <si>
    <t>4.06GB / 4.67GB</t>
  </si>
  <si>
    <t>1.43MB / 723kB</t>
  </si>
  <si>
    <t>4.06GB / 214MB</t>
  </si>
  <si>
    <t>12.9MB / 3.91GB</t>
  </si>
  <si>
    <t>810MB / 315MB</t>
  </si>
  <si>
    <t>4.12GB / 4.12GB</t>
  </si>
  <si>
    <t>4.12GB / 4.68GB</t>
  </si>
  <si>
    <t>1.44MB / 724kB</t>
  </si>
  <si>
    <t>237MB / 431MB</t>
  </si>
  <si>
    <t>4.12GB / 214MB</t>
  </si>
  <si>
    <t>2.8GB / 6.81GB</t>
  </si>
  <si>
    <t>811MB / 324MB</t>
  </si>
  <si>
    <t>4.12GB / 4.15GB</t>
  </si>
  <si>
    <t>4.14GB / 4.69GB</t>
  </si>
  <si>
    <t>1.45MB / 726kB</t>
  </si>
  <si>
    <t>240MB / 444MB</t>
  </si>
  <si>
    <t>4.14GB / 214MB</t>
  </si>
  <si>
    <t>2.87GB / 6.99GB</t>
  </si>
  <si>
    <t>4.14GB / 4.15GB</t>
  </si>
  <si>
    <t>4.14GB / 4.71GB</t>
  </si>
  <si>
    <t>1.46MB / 729kB</t>
  </si>
  <si>
    <t>243MB / 444MB</t>
  </si>
  <si>
    <t>4.14GB / 221MB</t>
  </si>
  <si>
    <t>3GB / 7.2GB</t>
  </si>
  <si>
    <t>813MB / 324MB</t>
  </si>
  <si>
    <t>4.16GB / 4.15GB</t>
  </si>
  <si>
    <t>4.14GB / 4.73GB</t>
  </si>
  <si>
    <t>1.46MB / 731kB</t>
  </si>
  <si>
    <t>244MB / 444MB</t>
  </si>
  <si>
    <t>4.14GB / 248MB</t>
  </si>
  <si>
    <t>3.01GB / 7.2GB</t>
  </si>
  <si>
    <t>815MB / 324MB</t>
  </si>
  <si>
    <t>4.15GB / 4.73GB</t>
  </si>
  <si>
    <t>1.47MB / 747kB</t>
  </si>
  <si>
    <t>254MB / 444MB</t>
  </si>
  <si>
    <t>3.02GB / 7.2GB</t>
  </si>
  <si>
    <t>817MB / 324MB</t>
  </si>
  <si>
    <t>1.48MB / 753kB</t>
  </si>
  <si>
    <t>257MB / 444MB</t>
  </si>
  <si>
    <t>3.04GB / 7.2GB</t>
  </si>
  <si>
    <t>13MB / 3.91GB</t>
  </si>
  <si>
    <t>818MB / 324MB</t>
  </si>
  <si>
    <t>4.16GB / 4.18GB</t>
  </si>
  <si>
    <t>1.49MB / 755kB</t>
  </si>
  <si>
    <t>4.17GB / 248MB</t>
  </si>
  <si>
    <t>1.5MB / 757kB</t>
  </si>
  <si>
    <t>258MB / 444MB</t>
  </si>
  <si>
    <t>3.04GB / 7.24GB</t>
  </si>
  <si>
    <t>22.5MB / 5.01GB</t>
  </si>
  <si>
    <t>1.1GB / 340MB</t>
  </si>
  <si>
    <t>5.25GB / 4.19GB</t>
  </si>
  <si>
    <t>4.2GB / 5.79GB</t>
  </si>
  <si>
    <t>1.51MB / 762kB</t>
  </si>
  <si>
    <t>259MB / 447MB</t>
  </si>
  <si>
    <t>3.04GB / 7.27GB</t>
  </si>
  <si>
    <t>22.6MB / 5.01GB</t>
  </si>
  <si>
    <t>1.12GB / 340MB</t>
  </si>
  <si>
    <t>1.52MB / 773kB</t>
  </si>
  <si>
    <t>262MB / 447MB</t>
  </si>
  <si>
    <t>3.05GB / 7.27GB</t>
  </si>
  <si>
    <t>5.26GB / 4.19GB</t>
  </si>
  <si>
    <t>4.2GB / 5.85GB</t>
  </si>
  <si>
    <t>1.53MB / 782kB</t>
  </si>
  <si>
    <t>264MB / 447MB</t>
  </si>
  <si>
    <t>4.17GB / 249MB</t>
  </si>
  <si>
    <t>3.07GB / 7.27GB</t>
  </si>
  <si>
    <t>5.26GB / 4.25GB</t>
  </si>
  <si>
    <t>4.27GB / 5.85GB</t>
  </si>
  <si>
    <t>1.53MB / 784kB</t>
  </si>
  <si>
    <t>265MB / 447MB</t>
  </si>
  <si>
    <t>4.23GB / 249MB</t>
  </si>
  <si>
    <t>5.26GB / 4.3GB</t>
  </si>
  <si>
    <t>4.32GB / 5.87GB</t>
  </si>
  <si>
    <t>1.54MB / 786kB</t>
  </si>
  <si>
    <t>265MB / 452MB</t>
  </si>
  <si>
    <t>4.29GB / 249MB</t>
  </si>
  <si>
    <t>3.07GB / 7.3GB</t>
  </si>
  <si>
    <t>5.26GB / 4.33GB</t>
  </si>
  <si>
    <t>4.35GB / 5.89GB</t>
  </si>
  <si>
    <t>1.55MB / 787kB</t>
  </si>
  <si>
    <t>265MB / 453MB</t>
  </si>
  <si>
    <t>4.31GB / 249MB</t>
  </si>
  <si>
    <t>3.09GB / 7.46GB</t>
  </si>
  <si>
    <t>5.26GB / 4.36GB</t>
  </si>
  <si>
    <t>4.38GB / 5.89GB</t>
  </si>
  <si>
    <t>1.56MB / 790kB</t>
  </si>
  <si>
    <t>266MB / 453MB</t>
  </si>
  <si>
    <t>4.34GB / 249MB</t>
  </si>
  <si>
    <t>3.12GB / 7.49GB</t>
  </si>
  <si>
    <t>5.26GB / 4.42GB</t>
  </si>
  <si>
    <t>4.44GB / 5.89GB</t>
  </si>
  <si>
    <t>1.56MB / 792kB</t>
  </si>
  <si>
    <t>4.4GB / 250MB</t>
  </si>
  <si>
    <t>3.13GB / 7.52GB</t>
  </si>
  <si>
    <t>5.26GB / 4.47GB</t>
  </si>
  <si>
    <t>4.49GB / 5.89GB</t>
  </si>
  <si>
    <t>1.57MB / 793kB</t>
  </si>
  <si>
    <t>4.45GB / 250MB</t>
  </si>
  <si>
    <t>3.13GB / 7.56GB</t>
  </si>
  <si>
    <t>1.57MB / 795kB</t>
  </si>
  <si>
    <t>3.18GB / 7.75GB</t>
  </si>
  <si>
    <t>5.26GB / 4.49GB</t>
  </si>
  <si>
    <t>4.52GB / 5.89GB</t>
  </si>
  <si>
    <t>1.58MB / 798kB</t>
  </si>
  <si>
    <t>267MB / 453MB</t>
  </si>
  <si>
    <t>4.49GB / 250MB</t>
  </si>
  <si>
    <t>3.2GB / 7.75GB</t>
  </si>
  <si>
    <t>1.12GB / 343MB</t>
  </si>
  <si>
    <t>5.26GB / 4.58GB</t>
  </si>
  <si>
    <t>4.6GB / 5.9GB</t>
  </si>
  <si>
    <t>1.59MB / 800kB</t>
  </si>
  <si>
    <t>268MB / 453MB</t>
  </si>
  <si>
    <t>4.54GB / 250MB</t>
  </si>
  <si>
    <t>3.2GB / 7.8GB</t>
  </si>
  <si>
    <t>22.7MB / 5.01GB</t>
  </si>
  <si>
    <t>5.26GB / 4.61GB</t>
  </si>
  <si>
    <t>4.63GB / 5.9GB</t>
  </si>
  <si>
    <t>1.6MB / 801kB</t>
  </si>
  <si>
    <t>4.59GB / 250MB</t>
  </si>
  <si>
    <t>3.2GB / 7.84GB</t>
  </si>
  <si>
    <t>1.12GB / 345MB</t>
  </si>
  <si>
    <t>1.6MB / 804kB</t>
  </si>
  <si>
    <t>269MB / 453MB</t>
  </si>
  <si>
    <t>3.22GB / 7.99GB</t>
  </si>
  <si>
    <t>5.26GB / 4.66GB</t>
  </si>
  <si>
    <t>4.69GB / 5.9GB</t>
  </si>
  <si>
    <t>1.61MB / 806kB</t>
  </si>
  <si>
    <t>4.64GB / 250MB</t>
  </si>
  <si>
    <t>3.26GB / 7.99GB</t>
  </si>
  <si>
    <t>1.12GB / 349MB</t>
  </si>
  <si>
    <t>5.26GB / 4.71GB</t>
  </si>
  <si>
    <t>4.74GB / 5.9GB</t>
  </si>
  <si>
    <t>1.61MB / 807kB</t>
  </si>
  <si>
    <t>4.69GB / 250MB</t>
  </si>
  <si>
    <t>3.26GB / 8.05GB</t>
  </si>
  <si>
    <t>1.12GB / 350MB</t>
  </si>
  <si>
    <t>5.26GB / 4.74GB</t>
  </si>
  <si>
    <t>4.78GB / 5.9GB</t>
  </si>
  <si>
    <t>1.62MB / 809kB</t>
  </si>
  <si>
    <t>279MB / 453MB</t>
  </si>
  <si>
    <t>4.72GB / 251MB</t>
  </si>
  <si>
    <t>3.26GB / 8.11GB</t>
  </si>
  <si>
    <t>1.13GB / 350MB</t>
  </si>
  <si>
    <t>1.63MB / 811kB</t>
  </si>
  <si>
    <t>280MB / 453MB</t>
  </si>
  <si>
    <t>3.34GB / 8.23GB</t>
  </si>
  <si>
    <t>5.26GB / 4.8GB</t>
  </si>
  <si>
    <t>4.84GB / 5.9GB</t>
  </si>
  <si>
    <t>1.64MB / 814kB</t>
  </si>
  <si>
    <t>4.78GB / 251MB</t>
  </si>
  <si>
    <t>5.26GB / 4.85GB</t>
  </si>
  <si>
    <t>4.89GB / 5.91GB</t>
  </si>
  <si>
    <t>1.64MB / 816kB</t>
  </si>
  <si>
    <t>281MB / 453MB</t>
  </si>
  <si>
    <t>4.83GB / 251MB</t>
  </si>
  <si>
    <t>3.36GB / 8.27GB</t>
  </si>
  <si>
    <t>5.26GB / 4.88GB</t>
  </si>
  <si>
    <t>4.92GB / 5.91GB</t>
  </si>
  <si>
    <t>1.65MB / 817kB</t>
  </si>
  <si>
    <t>4.86GB / 251MB</t>
  </si>
  <si>
    <t>3.36GB / 8.43GB</t>
  </si>
  <si>
    <t>1.66MB / 820kB</t>
  </si>
  <si>
    <t>282MB / 453MB</t>
  </si>
  <si>
    <t>3.39GB / 8.51GB</t>
  </si>
  <si>
    <t>5.26GB / 4.95GB</t>
  </si>
  <si>
    <t>4.99GB / 5.91GB</t>
  </si>
  <si>
    <t>1.66MB / 822kB</t>
  </si>
  <si>
    <t>4.92GB / 251MB</t>
  </si>
  <si>
    <t>1.13GB / 356MB</t>
  </si>
  <si>
    <t>5.26GB / 5.02GB</t>
  </si>
  <si>
    <t>5.06GB / 5.91GB</t>
  </si>
  <si>
    <t>1.67MB / 824kB</t>
  </si>
  <si>
    <t>282MB / 454MB</t>
  </si>
  <si>
    <t>4.99GB / 252MB</t>
  </si>
  <si>
    <t>3.39GB / 8.59GB</t>
  </si>
  <si>
    <t>22.8MB / 5.01GB</t>
  </si>
  <si>
    <t>1.68MB / 827kB</t>
  </si>
  <si>
    <t>283MB / 454MB</t>
  </si>
  <si>
    <t>5GB / 252MB</t>
  </si>
  <si>
    <t>3.4GB / 8.71GB</t>
  </si>
  <si>
    <t>5.26GB / 5.08GB</t>
  </si>
  <si>
    <t>5.14GB / 5.91GB</t>
  </si>
  <si>
    <t>1.68MB / 828kB</t>
  </si>
  <si>
    <t>5.06GB / 252MB</t>
  </si>
  <si>
    <t>3.42GB / 8.71GB</t>
  </si>
  <si>
    <t>5.26GB / 5.13GB</t>
  </si>
  <si>
    <t>5.2GB / 5.93GB</t>
  </si>
  <si>
    <t>1.69MB / 830kB</t>
  </si>
  <si>
    <t>284MB / 454MB</t>
  </si>
  <si>
    <t>5.11GB / 252MB</t>
  </si>
  <si>
    <t>3.43GB / 8.74GB</t>
  </si>
  <si>
    <t>5.26GB / 5.15GB</t>
  </si>
  <si>
    <t>5.22GB / 5.93GB</t>
  </si>
  <si>
    <t>1.7MB / 832kB</t>
  </si>
  <si>
    <t>5.14GB / 253MB</t>
  </si>
  <si>
    <t>3.43GB / 8.87GB</t>
  </si>
  <si>
    <t>1.71MB / 835kB</t>
  </si>
  <si>
    <t>285MB / 454MB</t>
  </si>
  <si>
    <t>3.49GB / 8.94GB</t>
  </si>
  <si>
    <t>5.26GB / 5.22GB</t>
  </si>
  <si>
    <t>5.3GB / 5.93GB</t>
  </si>
  <si>
    <t>1.71MB / 836kB</t>
  </si>
  <si>
    <t>5.2GB / 253MB</t>
  </si>
  <si>
    <t>3.5GB / 8.94GB</t>
  </si>
  <si>
    <t>5.26GB / 5.28GB</t>
  </si>
  <si>
    <t>5.37GB / 5.94GB</t>
  </si>
  <si>
    <t>1.72MB / 839kB</t>
  </si>
  <si>
    <t>286MB / 454MB</t>
  </si>
  <si>
    <t>5.26GB / 253MB</t>
  </si>
  <si>
    <t>3.51GB / 9.07GB</t>
  </si>
  <si>
    <t>5.26GB / 5.29GB</t>
  </si>
  <si>
    <t>1.73MB / 840kB</t>
  </si>
  <si>
    <t>5.27GB / 253MB</t>
  </si>
  <si>
    <t>3.54GB / 9.19GB</t>
  </si>
  <si>
    <t>5.38GB / 5.94GB</t>
  </si>
  <si>
    <t>1.73MB / 843kB</t>
  </si>
  <si>
    <t>5.27GB / 255MB</t>
  </si>
  <si>
    <t>4.53GB / 10.1GB</t>
  </si>
  <si>
    <t>5.27GB / 5.29GB</t>
  </si>
  <si>
    <t>1.74MB / 845kB</t>
  </si>
  <si>
    <t>287MB / 454MB</t>
  </si>
  <si>
    <t>5.27GB / 266MB</t>
  </si>
  <si>
    <t>4.68GB / 10.1GB</t>
  </si>
  <si>
    <t>5.29GB / 5.29GB</t>
  </si>
  <si>
    <t>5.38GB / 5.95GB</t>
  </si>
  <si>
    <t>1.75MB / 847kB</t>
  </si>
  <si>
    <t>5.27GB / 286MB</t>
  </si>
  <si>
    <t>4.95GB / 10.1GB</t>
  </si>
  <si>
    <t>5.3GB / 5.29GB</t>
  </si>
  <si>
    <t>1.75MB / 849kB</t>
  </si>
  <si>
    <t>287MB / 455MB</t>
  </si>
  <si>
    <t>5.27GB / 297MB</t>
  </si>
  <si>
    <t>5.16GB / 10.2GB</t>
  </si>
  <si>
    <t>22.9MB / 5.01GB</t>
  </si>
  <si>
    <t>1.14GB / 356MB</t>
  </si>
  <si>
    <t>5.31GB / 5.29GB</t>
  </si>
  <si>
    <t>5.39GB / 5.98GB</t>
  </si>
  <si>
    <t>1.76MB / 854kB</t>
  </si>
  <si>
    <t>288MB / 455MB</t>
  </si>
  <si>
    <t>5.27GB / 300MB</t>
  </si>
  <si>
    <t>5.25GB / 10.2GB</t>
  </si>
  <si>
    <t>1.77MB / 868kB</t>
  </si>
  <si>
    <t>292MB / 455MB</t>
  </si>
  <si>
    <t>5.3GB / 10.2GB</t>
  </si>
  <si>
    <t>5.31GB / 5.3GB</t>
  </si>
  <si>
    <t>5.4GB / 5.98GB</t>
  </si>
  <si>
    <t>1.78MB / 872kB</t>
  </si>
  <si>
    <t>293MB / 455MB</t>
  </si>
  <si>
    <t>5.31GB / 10.2GB</t>
  </si>
  <si>
    <t>5.31GB / 5.34GB</t>
  </si>
  <si>
    <t>1.79MB / 874kB</t>
  </si>
  <si>
    <t>5.32GB / 300MB</t>
  </si>
  <si>
    <t>5.4GB / 5.99GB</t>
  </si>
  <si>
    <t>1.8MB / 877kB</t>
  </si>
  <si>
    <t>5.32GB / 10.2GB</t>
  </si>
  <si>
    <t>23.7MB / 5.44GB</t>
  </si>
  <si>
    <t>1.14GB / 357MB</t>
  </si>
  <si>
    <t>5.73GB / 5.34GB</t>
  </si>
  <si>
    <t>5.42GB / 6.4GB</t>
  </si>
  <si>
    <t>1.81MB / 881kB</t>
  </si>
  <si>
    <t>295MB / 455MB</t>
  </si>
  <si>
    <t>5.32GB / 301MB</t>
  </si>
  <si>
    <t>1.82MB / 893kB</t>
  </si>
  <si>
    <t>298MB / 455MB</t>
  </si>
  <si>
    <t>1.15GB / 369MB</t>
  </si>
  <si>
    <t>5.74GB / 5.34GB</t>
  </si>
  <si>
    <t>5.42GB / 6.41GB</t>
  </si>
  <si>
    <t>1.82MB / 900kB</t>
  </si>
  <si>
    <t>299MB / 458MB</t>
  </si>
  <si>
    <t>5.33GB / 10.3GB</t>
  </si>
  <si>
    <t>5.74GB / 5.39GB</t>
  </si>
  <si>
    <t>5.48GB / 6.41GB</t>
  </si>
  <si>
    <t>1.83MB / 902kB</t>
  </si>
  <si>
    <t>5.37GB / 301MB</t>
  </si>
  <si>
    <t>23.8MB / 5.44GB</t>
  </si>
  <si>
    <t>5.74GB / 5.43GB</t>
  </si>
  <si>
    <t>5.52GB / 6.42GB</t>
  </si>
  <si>
    <t>1.84MB / 904kB</t>
  </si>
  <si>
    <t>5.41GB / 301MB</t>
  </si>
  <si>
    <t>5.74GB / 5.48GB</t>
  </si>
  <si>
    <t>5.57GB / 6.43GB</t>
  </si>
  <si>
    <t>1.84MB / 906kB</t>
  </si>
  <si>
    <t>300MB / 458MB</t>
  </si>
  <si>
    <t>5.46GB / 302MB</t>
  </si>
  <si>
    <t>5.34GB / 10.4GB</t>
  </si>
  <si>
    <t>1.85MB / 909kB</t>
  </si>
  <si>
    <t>312MB / 458MB</t>
  </si>
  <si>
    <t>5.41GB / 10.5GB</t>
  </si>
  <si>
    <t>5.74GB / 5.53GB</t>
  </si>
  <si>
    <t>5.62GB / 6.44GB</t>
  </si>
  <si>
    <t>1.86MB / 910kB</t>
  </si>
  <si>
    <t>5.51GB / 302MB</t>
  </si>
  <si>
    <t>5.46GB / 10.6GB</t>
  </si>
  <si>
    <t>5.74GB / 5.57GB</t>
  </si>
  <si>
    <t>5.67GB / 6.44GB</t>
  </si>
  <si>
    <t>1.87MB / 912kB</t>
  </si>
  <si>
    <t>5.56GB / 302MB</t>
  </si>
  <si>
    <t>5.74GB / 5.61GB</t>
  </si>
  <si>
    <t>5.71GB / 6.44GB</t>
  </si>
  <si>
    <t>1.87MB / 914kB</t>
  </si>
  <si>
    <t>5.59GB / 303MB</t>
  </si>
  <si>
    <t>1.88MB / 917kB</t>
  </si>
  <si>
    <t>5.53GB / 10.8GB</t>
  </si>
  <si>
    <t>5.74GB / 5.67GB</t>
  </si>
  <si>
    <t>5.77GB / 6.44GB</t>
  </si>
  <si>
    <t>1.89MB / 918kB</t>
  </si>
  <si>
    <t>5.65GB / 303MB</t>
  </si>
  <si>
    <t>5.55GB / 10.8GB</t>
  </si>
  <si>
    <t>5.74GB / 5.72GB</t>
  </si>
  <si>
    <t>5.82GB / 6.44GB</t>
  </si>
  <si>
    <t>1.89MB / 921kB</t>
  </si>
  <si>
    <t>312MB / 459MB</t>
  </si>
  <si>
    <t>5.7GB / 303MB</t>
  </si>
  <si>
    <t>5.55GB / 10.9GB</t>
  </si>
  <si>
    <t>5.74GB / 5.75GB</t>
  </si>
  <si>
    <t>5.85GB / 6.44GB</t>
  </si>
  <si>
    <t>1.9MB / 923kB</t>
  </si>
  <si>
    <t>5.73GB / 303MB</t>
  </si>
  <si>
    <t>5.55GB / 11GB</t>
  </si>
  <si>
    <t>1.91MB / 925kB</t>
  </si>
  <si>
    <t>313MB / 459MB</t>
  </si>
  <si>
    <t>5.6GB / 11.1GB</t>
  </si>
  <si>
    <t>1.16GB / 369MB</t>
  </si>
  <si>
    <t>5.74GB / 5.77GB</t>
  </si>
  <si>
    <t>5.87GB / 6.44GB</t>
  </si>
  <si>
    <t>1.92MB / 927kB</t>
  </si>
  <si>
    <t>5.75GB / 303MB</t>
  </si>
  <si>
    <t>5.61GB / 11.1GB</t>
  </si>
  <si>
    <t>23.9MB / 5.44GB</t>
  </si>
  <si>
    <t>5.75GB / 5.77GB</t>
  </si>
  <si>
    <t>5.87GB / 6.46GB</t>
  </si>
  <si>
    <t>1.92MB / 929kB</t>
  </si>
  <si>
    <t>5.75GB / 312MB</t>
  </si>
  <si>
    <t>5.96GB / 11.5GB</t>
  </si>
  <si>
    <t>1.16GB / 370MB</t>
  </si>
  <si>
    <t>5.87GB / 6.47GB</t>
  </si>
  <si>
    <t>1.93MB / 931kB</t>
  </si>
  <si>
    <t>324MB / 459MB</t>
  </si>
  <si>
    <t>5.75GB / 319MB</t>
  </si>
  <si>
    <t>6.07GB / 11.5GB</t>
  </si>
  <si>
    <t>5.88GB / 6.47GB</t>
  </si>
  <si>
    <t>1.94MB / 948kB</t>
  </si>
  <si>
    <t>325MB / 459MB</t>
  </si>
  <si>
    <t>6.11GB / 11.5GB</t>
  </si>
  <si>
    <t>1.95MB / 954kB</t>
  </si>
  <si>
    <t>326MB / 459MB</t>
  </si>
  <si>
    <t>6.13GB / 11.5GB</t>
  </si>
  <si>
    <t>5.75GB / 5.79GB</t>
  </si>
  <si>
    <t>1.96MB / 956kB</t>
  </si>
  <si>
    <t>328MB / 459MB</t>
  </si>
  <si>
    <t>5.77GB / 319MB</t>
  </si>
  <si>
    <t>6.14GB / 11.5GB</t>
  </si>
  <si>
    <t>24MB / 5.44GB</t>
  </si>
  <si>
    <t>5.88GB / 6.48GB</t>
  </si>
  <si>
    <t>1.96MB / 959kB</t>
  </si>
  <si>
    <t>Column1</t>
  </si>
  <si>
    <t>dataset</t>
  </si>
  <si>
    <t>timestamp</t>
  </si>
  <si>
    <t>container</t>
  </si>
  <si>
    <t>cpu</t>
  </si>
  <si>
    <t>mem</t>
  </si>
  <si>
    <t>mem_pct</t>
  </si>
  <si>
    <t>net_io</t>
  </si>
  <si>
    <t>blk_io</t>
  </si>
  <si>
    <t>pids</t>
  </si>
  <si>
    <t>mem_used_text</t>
  </si>
  <si>
    <t>mem_used_mib</t>
  </si>
  <si>
    <t>spark-master</t>
  </si>
  <si>
    <t>399.8MiB / 3.828GiB</t>
  </si>
  <si>
    <t>7.46kB / 2.2kB</t>
  </si>
  <si>
    <t>65.1MB / 98.3kB</t>
  </si>
  <si>
    <t>spark-worker</t>
  </si>
  <si>
    <t>291.1MiB / 3.828GiB</t>
  </si>
  <si>
    <t>8.36kB / 7.02kB</t>
  </si>
  <si>
    <t>28.8MB / 65.5kB</t>
  </si>
  <si>
    <t>483.4MiB / 3.828GiB</t>
  </si>
  <si>
    <t>119kB / 282kB</t>
  </si>
  <si>
    <t>67.7MB / 950kB</t>
  </si>
  <si>
    <t>197.2MiB / 3.828GiB</t>
  </si>
  <si>
    <t>279kB / 116kB</t>
  </si>
  <si>
    <t>29.1MB / 893kB</t>
  </si>
  <si>
    <t>494MiB / 3.828GiB</t>
  </si>
  <si>
    <t>140kB / 424kB</t>
  </si>
  <si>
    <t>426kB / 139kB</t>
  </si>
  <si>
    <t>29.1MB / 897kB</t>
  </si>
  <si>
    <t>282.4MiB / 3.828GiB</t>
  </si>
  <si>
    <t>262kB / 628kB</t>
  </si>
  <si>
    <t>67.7MB / 1.9MB</t>
  </si>
  <si>
    <t>199.8MiB / 3.828GiB</t>
  </si>
  <si>
    <t>630kB / 260kB</t>
  </si>
  <si>
    <t>29.2MB / 60.6MB</t>
  </si>
  <si>
    <t>424.2MiB / 3.828GiB</t>
  </si>
  <si>
    <t>488.4MiB / 3.828GiB</t>
  </si>
  <si>
    <t>285kB / 775kB</t>
  </si>
  <si>
    <t>1.384GiB / 3.828GiB</t>
  </si>
  <si>
    <t>777kB / 283kB</t>
  </si>
  <si>
    <t>490.1MiB / 3.828GiB</t>
  </si>
  <si>
    <t>327kB / 882kB</t>
  </si>
  <si>
    <t>67.7MB / 2.04MB</t>
  </si>
  <si>
    <t>862kB / 317kB</t>
  </si>
  <si>
    <t>491.7MiB / 3.828GiB</t>
  </si>
  <si>
    <t>374kB / 1e+03kB</t>
  </si>
  <si>
    <t>980kB / 364kB</t>
  </si>
  <si>
    <t>494.7MiB / 3.828GiB</t>
  </si>
  <si>
    <t>423kB / 1.09MB</t>
  </si>
  <si>
    <t>67.7MB / 2.84MB</t>
  </si>
  <si>
    <t>1.428GiB / 3.828GiB</t>
  </si>
  <si>
    <t>1.04MB / 406kB</t>
  </si>
  <si>
    <t>29.2MB / 205MB</t>
  </si>
  <si>
    <t>379.6MiB / 3.828GiB</t>
  </si>
  <si>
    <t>514kB / 1.23MB</t>
  </si>
  <si>
    <t>67.7MB / 2.87MB</t>
  </si>
  <si>
    <t>202.7MiB / 3.828GiB</t>
  </si>
  <si>
    <t>1.24MB / 512kB</t>
  </si>
  <si>
    <t>29.2MB / 206MB</t>
  </si>
  <si>
    <t>487.2MiB / 3.828GiB</t>
  </si>
  <si>
    <t>538kB / 1.38MB</t>
  </si>
  <si>
    <t>67.7MB / 3.02MB</t>
  </si>
  <si>
    <t>1.38MB / 536kB</t>
  </si>
  <si>
    <t>489.7MiB / 3.828GiB</t>
  </si>
  <si>
    <t>571kB / 1.44MB</t>
  </si>
  <si>
    <t>1.38GiB / 3.828GiB</t>
  </si>
  <si>
    <t>1.48MB / 587kB</t>
  </si>
  <si>
    <t>29.2MB / 207MB</t>
  </si>
  <si>
    <t>Size</t>
  </si>
  <si>
    <t>Hadoop Time</t>
  </si>
  <si>
    <t>Spark Time</t>
  </si>
  <si>
    <t>Speedup (Hadoop/Spark)</t>
  </si>
  <si>
    <t>5 MB</t>
  </si>
  <si>
    <t>14.00x</t>
  </si>
  <si>
    <t>280 MB</t>
  </si>
  <si>
    <t>7.19x</t>
  </si>
  <si>
    <t>423 MB</t>
  </si>
  <si>
    <t>8.94x</t>
  </si>
  <si>
    <t>1.08 GB</t>
  </si>
  <si>
    <t>8.11x</t>
  </si>
  <si>
    <t>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</si>
</sst>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/>
      <bottom style="thin">
        <color rgb="FF44B3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0" xfId="0" applyFont="1"/>
    <xf numFmtId="10" fontId="0" fillId="0" borderId="0" xfId="0" applyNumberFormat="1"/>
    <xf numFmtId="10" fontId="3" fillId="0" borderId="0" xfId="0" applyNumberFormat="1" applyFont="1"/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2" fontId="0" fillId="0" borderId="0" xfId="0" applyNumberFormat="1"/>
    <xf numFmtId="0" fontId="3" fillId="2" borderId="2" xfId="0" applyFont="1" applyFill="1" applyBorder="1"/>
    <xf numFmtId="0" fontId="3" fillId="0" borderId="2" xfId="0" applyFont="1" applyBorder="1"/>
    <xf numFmtId="0" fontId="3" fillId="2" borderId="3" xfId="0" applyFont="1" applyFill="1" applyBorder="1"/>
    <xf numFmtId="0" fontId="3" fillId="0" borderId="4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Duration!$B$1</c:f>
              <c:strCache>
                <c:ptCount val="1"/>
                <c:pt idx="0">
                  <c:v>Hadoop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Duration!$A$2:$A$5</c:f>
              <c:strCache>
                <c:ptCount val="4"/>
                <c:pt idx="0">
                  <c:v>Email-EuAll</c:v>
                </c:pt>
                <c:pt idx="1">
                  <c:v>cit-Patents</c:v>
                </c:pt>
                <c:pt idx="2">
                  <c:v>soc-LiveJournal1</c:v>
                </c:pt>
                <c:pt idx="3">
                  <c:v>soc-pokec-relationships</c:v>
                </c:pt>
              </c:strCache>
            </c:strRef>
          </c:cat>
          <c:val>
            <c:numRef>
              <c:f>Duration!$B$2:$B$5</c:f>
              <c:numCache>
                <c:formatCode>General</c:formatCode>
                <c:ptCount val="4"/>
                <c:pt idx="0">
                  <c:v>56</c:v>
                </c:pt>
                <c:pt idx="1">
                  <c:v>115</c:v>
                </c:pt>
                <c:pt idx="2">
                  <c:v>300</c:v>
                </c:pt>
                <c:pt idx="3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8-A446-A60D-FBFD7A443D8E}"/>
            </c:ext>
          </c:extLst>
        </c:ser>
        <c:ser>
          <c:idx val="1"/>
          <c:order val="1"/>
          <c:tx>
            <c:strRef>
              <c:f>Duration!$C$1</c:f>
              <c:strCache>
                <c:ptCount val="1"/>
                <c:pt idx="0">
                  <c:v>Spark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Duration!$A$2:$A$5</c:f>
              <c:strCache>
                <c:ptCount val="4"/>
                <c:pt idx="0">
                  <c:v>Email-EuAll</c:v>
                </c:pt>
                <c:pt idx="1">
                  <c:v>cit-Patents</c:v>
                </c:pt>
                <c:pt idx="2">
                  <c:v>soc-LiveJournal1</c:v>
                </c:pt>
                <c:pt idx="3">
                  <c:v>soc-pokec-relationships</c:v>
                </c:pt>
              </c:strCache>
            </c:strRef>
          </c:cat>
          <c:val>
            <c:numRef>
              <c:f>Duration!$C$2:$C$5</c:f>
              <c:numCache>
                <c:formatCode>General</c:formatCode>
                <c:ptCount val="4"/>
                <c:pt idx="0">
                  <c:v>4</c:v>
                </c:pt>
                <c:pt idx="1">
                  <c:v>16</c:v>
                </c:pt>
                <c:pt idx="2">
                  <c:v>37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78-A446-A60D-FBFD7A443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8805887"/>
        <c:axId val="982456447"/>
      </c:barChart>
      <c:catAx>
        <c:axId val="998805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56447"/>
        <c:crosses val="autoZero"/>
        <c:auto val="1"/>
        <c:lblAlgn val="ctr"/>
        <c:lblOffset val="100"/>
        <c:noMultiLvlLbl val="0"/>
      </c:catAx>
      <c:valAx>
        <c:axId val="98245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80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Hadoop Peak Memory</a:t>
            </a:r>
            <a:r>
              <a:rPr lang="en-US" baseline="0"/>
              <a:t> Usage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mem_peak!$B$1</c:f>
              <c:strCache>
                <c:ptCount val="1"/>
                <c:pt idx="0">
                  <c:v>namenode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mem_peak!$A$2:$A$5</c:f>
              <c:strCache>
                <c:ptCount val="4"/>
                <c:pt idx="0">
                  <c:v>Email-EuAll</c:v>
                </c:pt>
                <c:pt idx="1">
                  <c:v>cit-Patents</c:v>
                </c:pt>
                <c:pt idx="2">
                  <c:v>soc-LiveJournal1</c:v>
                </c:pt>
                <c:pt idx="3">
                  <c:v>soc-pokec-relationships</c:v>
                </c:pt>
              </c:strCache>
            </c:strRef>
          </c:cat>
          <c:val>
            <c:numRef>
              <c:f>mem_peak!$B$2:$B$5</c:f>
              <c:numCache>
                <c:formatCode>General</c:formatCode>
                <c:ptCount val="4"/>
                <c:pt idx="0">
                  <c:v>698.1</c:v>
                </c:pt>
                <c:pt idx="1">
                  <c:v>718.9</c:v>
                </c:pt>
                <c:pt idx="2">
                  <c:v>715.4</c:v>
                </c:pt>
                <c:pt idx="3">
                  <c:v>717.9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A-354D-8FBF-3621CB8ECEDB}"/>
            </c:ext>
          </c:extLst>
        </c:ser>
        <c:ser>
          <c:idx val="1"/>
          <c:order val="1"/>
          <c:tx>
            <c:strRef>
              <c:f>mem_peak!$C$1</c:f>
              <c:strCache>
                <c:ptCount val="1"/>
                <c:pt idx="0">
                  <c:v>datanode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mem_peak!$A$2:$A$5</c:f>
              <c:strCache>
                <c:ptCount val="4"/>
                <c:pt idx="0">
                  <c:v>Email-EuAll</c:v>
                </c:pt>
                <c:pt idx="1">
                  <c:v>cit-Patents</c:v>
                </c:pt>
                <c:pt idx="2">
                  <c:v>soc-LiveJournal1</c:v>
                </c:pt>
                <c:pt idx="3">
                  <c:v>soc-pokec-relationships</c:v>
                </c:pt>
              </c:strCache>
            </c:strRef>
          </c:cat>
          <c:val>
            <c:numRef>
              <c:f>mem_peak!$C$2:$C$5</c:f>
              <c:numCache>
                <c:formatCode>General</c:formatCode>
                <c:ptCount val="4"/>
                <c:pt idx="0">
                  <c:v>364.3</c:v>
                </c:pt>
                <c:pt idx="1">
                  <c:v>383.8</c:v>
                </c:pt>
                <c:pt idx="2">
                  <c:v>348.5</c:v>
                </c:pt>
                <c:pt idx="3">
                  <c:v>371.1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FA-354D-8FBF-3621CB8ECEDB}"/>
            </c:ext>
          </c:extLst>
        </c:ser>
        <c:ser>
          <c:idx val="2"/>
          <c:order val="2"/>
          <c:tx>
            <c:strRef>
              <c:f>mem_peak!$D$1</c:f>
              <c:strCache>
                <c:ptCount val="1"/>
                <c:pt idx="0">
                  <c:v>resourcemanager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mem_peak!$A$2:$A$5</c:f>
              <c:strCache>
                <c:ptCount val="4"/>
                <c:pt idx="0">
                  <c:v>Email-EuAll</c:v>
                </c:pt>
                <c:pt idx="1">
                  <c:v>cit-Patents</c:v>
                </c:pt>
                <c:pt idx="2">
                  <c:v>soc-LiveJournal1</c:v>
                </c:pt>
                <c:pt idx="3">
                  <c:v>soc-pokec-relationships</c:v>
                </c:pt>
              </c:strCache>
            </c:strRef>
          </c:cat>
          <c:val>
            <c:numRef>
              <c:f>mem_peak!$D$2:$D$5</c:f>
              <c:numCache>
                <c:formatCode>General</c:formatCode>
                <c:ptCount val="4"/>
                <c:pt idx="0">
                  <c:v>455.9</c:v>
                </c:pt>
                <c:pt idx="1">
                  <c:v>464.9</c:v>
                </c:pt>
                <c:pt idx="2">
                  <c:v>470.2</c:v>
                </c:pt>
                <c:pt idx="3">
                  <c:v>516.20000000000005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FA-354D-8FBF-3621CB8ECEDB}"/>
            </c:ext>
          </c:extLst>
        </c:ser>
        <c:ser>
          <c:idx val="3"/>
          <c:order val="3"/>
          <c:tx>
            <c:strRef>
              <c:f>mem_peak!$E$1</c:f>
              <c:strCache>
                <c:ptCount val="1"/>
                <c:pt idx="0">
                  <c:v>nodemanager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mem_peak!$A$2:$A$5</c:f>
              <c:strCache>
                <c:ptCount val="4"/>
                <c:pt idx="0">
                  <c:v>Email-EuAll</c:v>
                </c:pt>
                <c:pt idx="1">
                  <c:v>cit-Patents</c:v>
                </c:pt>
                <c:pt idx="2">
                  <c:v>soc-LiveJournal1</c:v>
                </c:pt>
                <c:pt idx="3">
                  <c:v>soc-pokec-relationships</c:v>
                </c:pt>
              </c:strCache>
            </c:strRef>
          </c:cat>
          <c:val>
            <c:numRef>
              <c:f>mem_peak!$E$2:$E$5</c:f>
              <c:numCache>
                <c:formatCode>General</c:formatCode>
                <c:ptCount val="4"/>
                <c:pt idx="0">
                  <c:v>1158.144</c:v>
                </c:pt>
                <c:pt idx="1">
                  <c:v>1458.1759999999999</c:v>
                </c:pt>
                <c:pt idx="2">
                  <c:v>1445.8879999999999</c:v>
                </c:pt>
                <c:pt idx="3">
                  <c:v>1395.712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FA-354D-8FBF-3621CB8EC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039057471"/>
        <c:axId val="2039059263"/>
      </c:barChart>
      <c:catAx>
        <c:axId val="2039057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059263"/>
        <c:crosses val="autoZero"/>
        <c:auto val="1"/>
        <c:lblAlgn val="ctr"/>
        <c:lblOffset val="100"/>
        <c:noMultiLvlLbl val="0"/>
      </c:catAx>
      <c:valAx>
        <c:axId val="203905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05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Hadoop Peak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mem_peak!$B$1</c:f>
              <c:strCache>
                <c:ptCount val="1"/>
                <c:pt idx="0">
                  <c:v>namenode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mem_peak!$A$2:$A$5</c:f>
              <c:strCache>
                <c:ptCount val="4"/>
                <c:pt idx="0">
                  <c:v>Email-EuAll</c:v>
                </c:pt>
                <c:pt idx="1">
                  <c:v>cit-Patents</c:v>
                </c:pt>
                <c:pt idx="2">
                  <c:v>soc-LiveJournal1</c:v>
                </c:pt>
                <c:pt idx="3">
                  <c:v>soc-pokec-relationships</c:v>
                </c:pt>
              </c:strCache>
            </c:strRef>
          </c:cat>
          <c:val>
            <c:numRef>
              <c:f>mem_peak!$B$2:$B$5</c:f>
              <c:numCache>
                <c:formatCode>General</c:formatCode>
                <c:ptCount val="4"/>
                <c:pt idx="0">
                  <c:v>698.1</c:v>
                </c:pt>
                <c:pt idx="1">
                  <c:v>718.9</c:v>
                </c:pt>
                <c:pt idx="2">
                  <c:v>715.4</c:v>
                </c:pt>
                <c:pt idx="3">
                  <c:v>717.9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1-D34E-B391-6F456F2043D7}"/>
            </c:ext>
          </c:extLst>
        </c:ser>
        <c:ser>
          <c:idx val="1"/>
          <c:order val="1"/>
          <c:tx>
            <c:strRef>
              <c:f>mem_peak!$C$1</c:f>
              <c:strCache>
                <c:ptCount val="1"/>
                <c:pt idx="0">
                  <c:v>datanode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mem_peak!$A$2:$A$5</c:f>
              <c:strCache>
                <c:ptCount val="4"/>
                <c:pt idx="0">
                  <c:v>Email-EuAll</c:v>
                </c:pt>
                <c:pt idx="1">
                  <c:v>cit-Patents</c:v>
                </c:pt>
                <c:pt idx="2">
                  <c:v>soc-LiveJournal1</c:v>
                </c:pt>
                <c:pt idx="3">
                  <c:v>soc-pokec-relationships</c:v>
                </c:pt>
              </c:strCache>
            </c:strRef>
          </c:cat>
          <c:val>
            <c:numRef>
              <c:f>mem_peak!$C$2:$C$5</c:f>
              <c:numCache>
                <c:formatCode>General</c:formatCode>
                <c:ptCount val="4"/>
                <c:pt idx="0">
                  <c:v>364.3</c:v>
                </c:pt>
                <c:pt idx="1">
                  <c:v>383.8</c:v>
                </c:pt>
                <c:pt idx="2">
                  <c:v>348.5</c:v>
                </c:pt>
                <c:pt idx="3">
                  <c:v>371.1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41-D34E-B391-6F456F2043D7}"/>
            </c:ext>
          </c:extLst>
        </c:ser>
        <c:ser>
          <c:idx val="2"/>
          <c:order val="2"/>
          <c:tx>
            <c:strRef>
              <c:f>mem_peak!$D$1</c:f>
              <c:strCache>
                <c:ptCount val="1"/>
                <c:pt idx="0">
                  <c:v>resourcemanager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mem_peak!$A$2:$A$5</c:f>
              <c:strCache>
                <c:ptCount val="4"/>
                <c:pt idx="0">
                  <c:v>Email-EuAll</c:v>
                </c:pt>
                <c:pt idx="1">
                  <c:v>cit-Patents</c:v>
                </c:pt>
                <c:pt idx="2">
                  <c:v>soc-LiveJournal1</c:v>
                </c:pt>
                <c:pt idx="3">
                  <c:v>soc-pokec-relationships</c:v>
                </c:pt>
              </c:strCache>
            </c:strRef>
          </c:cat>
          <c:val>
            <c:numRef>
              <c:f>mem_peak!$D$2:$D$5</c:f>
              <c:numCache>
                <c:formatCode>General</c:formatCode>
                <c:ptCount val="4"/>
                <c:pt idx="0">
                  <c:v>455.9</c:v>
                </c:pt>
                <c:pt idx="1">
                  <c:v>464.9</c:v>
                </c:pt>
                <c:pt idx="2">
                  <c:v>470.2</c:v>
                </c:pt>
                <c:pt idx="3">
                  <c:v>516.20000000000005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41-D34E-B391-6F456F2043D7}"/>
            </c:ext>
          </c:extLst>
        </c:ser>
        <c:ser>
          <c:idx val="3"/>
          <c:order val="3"/>
          <c:tx>
            <c:strRef>
              <c:f>mem_peak!$E$1</c:f>
              <c:strCache>
                <c:ptCount val="1"/>
                <c:pt idx="0">
                  <c:v>nodemanager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mem_peak!$A$2:$A$5</c:f>
              <c:strCache>
                <c:ptCount val="4"/>
                <c:pt idx="0">
                  <c:v>Email-EuAll</c:v>
                </c:pt>
                <c:pt idx="1">
                  <c:v>cit-Patents</c:v>
                </c:pt>
                <c:pt idx="2">
                  <c:v>soc-LiveJournal1</c:v>
                </c:pt>
                <c:pt idx="3">
                  <c:v>soc-pokec-relationships</c:v>
                </c:pt>
              </c:strCache>
            </c:strRef>
          </c:cat>
          <c:val>
            <c:numRef>
              <c:f>mem_peak!$E$2:$E$5</c:f>
              <c:numCache>
                <c:formatCode>General</c:formatCode>
                <c:ptCount val="4"/>
                <c:pt idx="0">
                  <c:v>1158.144</c:v>
                </c:pt>
                <c:pt idx="1">
                  <c:v>1458.1759999999999</c:v>
                </c:pt>
                <c:pt idx="2">
                  <c:v>1445.8879999999999</c:v>
                </c:pt>
                <c:pt idx="3">
                  <c:v>1395.712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41-D34E-B391-6F456F204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7606143"/>
        <c:axId val="266972095"/>
      </c:barChart>
      <c:catAx>
        <c:axId val="267606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972095"/>
        <c:crosses val="autoZero"/>
        <c:auto val="1"/>
        <c:lblAlgn val="ctr"/>
        <c:lblOffset val="100"/>
        <c:noMultiLvlLbl val="0"/>
      </c:catAx>
      <c:valAx>
        <c:axId val="26697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60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Spark Peak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spark_peak_table!$B$1</c:f>
              <c:strCache>
                <c:ptCount val="1"/>
                <c:pt idx="0">
                  <c:v>spark-master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spark_peak_table!$A$2:$A$5</c:f>
              <c:strCache>
                <c:ptCount val="4"/>
                <c:pt idx="0">
                  <c:v>Email-EuAll</c:v>
                </c:pt>
                <c:pt idx="1">
                  <c:v>cit-Patents</c:v>
                </c:pt>
                <c:pt idx="2">
                  <c:v>soc-LiveJournal1</c:v>
                </c:pt>
                <c:pt idx="3">
                  <c:v>soc-pokec-relationships</c:v>
                </c:pt>
              </c:strCache>
            </c:strRef>
          </c:cat>
          <c:val>
            <c:numRef>
              <c:f>spark_peak_table!$B$2:$B$5</c:f>
              <c:numCache>
                <c:formatCode>0.000</c:formatCode>
                <c:ptCount val="4"/>
                <c:pt idx="0">
                  <c:v>399.8</c:v>
                </c:pt>
                <c:pt idx="1">
                  <c:v>494</c:v>
                </c:pt>
                <c:pt idx="2">
                  <c:v>494.7</c:v>
                </c:pt>
                <c:pt idx="3">
                  <c:v>489.7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2-3945-A208-9627C5117782}"/>
            </c:ext>
          </c:extLst>
        </c:ser>
        <c:ser>
          <c:idx val="1"/>
          <c:order val="1"/>
          <c:tx>
            <c:strRef>
              <c:f>spark_peak_table!$C$1</c:f>
              <c:strCache>
                <c:ptCount val="1"/>
                <c:pt idx="0">
                  <c:v>spark-worker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spark_peak_table!$A$2:$A$5</c:f>
              <c:strCache>
                <c:ptCount val="4"/>
                <c:pt idx="0">
                  <c:v>Email-EuAll</c:v>
                </c:pt>
                <c:pt idx="1">
                  <c:v>cit-Patents</c:v>
                </c:pt>
                <c:pt idx="2">
                  <c:v>soc-LiveJournal1</c:v>
                </c:pt>
                <c:pt idx="3">
                  <c:v>soc-pokec-relationships</c:v>
                </c:pt>
              </c:strCache>
            </c:strRef>
          </c:cat>
          <c:val>
            <c:numRef>
              <c:f>spark_peak_table!$C$2:$C$5</c:f>
              <c:numCache>
                <c:formatCode>0.000</c:formatCode>
                <c:ptCount val="4"/>
                <c:pt idx="0">
                  <c:v>291.10000000000002</c:v>
                </c:pt>
                <c:pt idx="1">
                  <c:v>1427.4559999999999</c:v>
                </c:pt>
                <c:pt idx="2">
                  <c:v>1462.2719999999999</c:v>
                </c:pt>
                <c:pt idx="3">
                  <c:v>1416.192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A2-3945-A208-9627C5117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046354623"/>
        <c:axId val="2046359103"/>
      </c:barChart>
      <c:catAx>
        <c:axId val="2046354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359103"/>
        <c:crosses val="autoZero"/>
        <c:auto val="1"/>
        <c:lblAlgn val="ctr"/>
        <c:lblOffset val="100"/>
        <c:noMultiLvlLbl val="0"/>
      </c:catAx>
      <c:valAx>
        <c:axId val="204635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35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Spark Peak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spark_peak_table!$B$1</c:f>
              <c:strCache>
                <c:ptCount val="1"/>
                <c:pt idx="0">
                  <c:v>spark-master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spark_peak_table!$A$2:$A$5</c:f>
              <c:strCache>
                <c:ptCount val="4"/>
                <c:pt idx="0">
                  <c:v>Email-EuAll</c:v>
                </c:pt>
                <c:pt idx="1">
                  <c:v>cit-Patents</c:v>
                </c:pt>
                <c:pt idx="2">
                  <c:v>soc-LiveJournal1</c:v>
                </c:pt>
                <c:pt idx="3">
                  <c:v>soc-pokec-relationships</c:v>
                </c:pt>
              </c:strCache>
            </c:strRef>
          </c:cat>
          <c:val>
            <c:numRef>
              <c:f>spark_peak_table!$B$2:$B$5</c:f>
              <c:numCache>
                <c:formatCode>0.000</c:formatCode>
                <c:ptCount val="4"/>
                <c:pt idx="0">
                  <c:v>399.8</c:v>
                </c:pt>
                <c:pt idx="1">
                  <c:v>494</c:v>
                </c:pt>
                <c:pt idx="2">
                  <c:v>494.7</c:v>
                </c:pt>
                <c:pt idx="3">
                  <c:v>489.7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1-4548-8245-C3BD5AE4B96A}"/>
            </c:ext>
          </c:extLst>
        </c:ser>
        <c:ser>
          <c:idx val="1"/>
          <c:order val="1"/>
          <c:tx>
            <c:strRef>
              <c:f>spark_peak_table!$C$1</c:f>
              <c:strCache>
                <c:ptCount val="1"/>
                <c:pt idx="0">
                  <c:v>spark-worker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spark_peak_table!$A$2:$A$5</c:f>
              <c:strCache>
                <c:ptCount val="4"/>
                <c:pt idx="0">
                  <c:v>Email-EuAll</c:v>
                </c:pt>
                <c:pt idx="1">
                  <c:v>cit-Patents</c:v>
                </c:pt>
                <c:pt idx="2">
                  <c:v>soc-LiveJournal1</c:v>
                </c:pt>
                <c:pt idx="3">
                  <c:v>soc-pokec-relationships</c:v>
                </c:pt>
              </c:strCache>
            </c:strRef>
          </c:cat>
          <c:val>
            <c:numRef>
              <c:f>spark_peak_table!$C$2:$C$5</c:f>
              <c:numCache>
                <c:formatCode>0.000</c:formatCode>
                <c:ptCount val="4"/>
                <c:pt idx="0">
                  <c:v>291.10000000000002</c:v>
                </c:pt>
                <c:pt idx="1">
                  <c:v>1427.4559999999999</c:v>
                </c:pt>
                <c:pt idx="2">
                  <c:v>1462.2719999999999</c:v>
                </c:pt>
                <c:pt idx="3">
                  <c:v>1416.192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F1-4548-8245-C3BD5AE4B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9758655"/>
        <c:axId val="229761343"/>
      </c:barChart>
      <c:catAx>
        <c:axId val="229758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761343"/>
        <c:crosses val="autoZero"/>
        <c:auto val="1"/>
        <c:lblAlgn val="ctr"/>
        <c:lblOffset val="100"/>
        <c:noMultiLvlLbl val="0"/>
      </c:catAx>
      <c:valAx>
        <c:axId val="22976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75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679450</xdr:colOff>
      <xdr:row>11</xdr:row>
      <xdr:rowOff>44450</xdr:rowOff>
    </xdr:from>
    <xdr:to>
      <xdr:col>13</xdr:col>
      <xdr:colOff>762000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511D9-F418-E20E-0BA0-F6CD564C6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819150</xdr:colOff>
      <xdr:row>0</xdr:row>
      <xdr:rowOff>19050</xdr:rowOff>
    </xdr:from>
    <xdr:to>
      <xdr:col>11</xdr:col>
      <xdr:colOff>438150</xdr:colOff>
      <xdr:row>13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82CFE2-9902-EC83-8836-F57640D4D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654050</xdr:colOff>
      <xdr:row>11</xdr:row>
      <xdr:rowOff>44450</xdr:rowOff>
    </xdr:from>
    <xdr:to>
      <xdr:col>11</xdr:col>
      <xdr:colOff>273050</xdr:colOff>
      <xdr:row>24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4D9D0A-06C5-64D4-5873-04BF0350E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1600200</xdr:colOff>
      <xdr:row>22</xdr:row>
      <xdr:rowOff>146050</xdr:rowOff>
    </xdr:from>
    <xdr:to>
      <xdr:col>8</xdr:col>
      <xdr:colOff>419100</xdr:colOff>
      <xdr:row>36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CE37D4-A8A8-7798-F5D3-3E7AC8CA2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469900</xdr:colOff>
      <xdr:row>6</xdr:row>
      <xdr:rowOff>82550</xdr:rowOff>
    </xdr:from>
    <xdr:to>
      <xdr:col>5</xdr:col>
      <xdr:colOff>393700</xdr:colOff>
      <xdr:row>19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67D4E-6D67-3F4F-9026-7C174CC7B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DA854A-F5E9-8446-8A46-BBD5348B657D}" name="Table2" displayName="Table2" ref="A1:L349" totalsRowShown="0" headerRowDxfId="4">
  <autoFilter ref="A1:L349" xr:uid="{C0DA854A-F5E9-8446-8A46-BBD5348B657D}"/>
  <tableColumns count="12">
    <tableColumn id="1" xr3:uid="{6C8FD204-D577-504A-A0E5-993438F44CB4}" name="dataset"/>
    <tableColumn id="2" xr3:uid="{A37AA400-8FE3-1041-85AA-722945ADBE53}" name="timestamp"/>
    <tableColumn id="3" xr3:uid="{1958CB3B-5B98-8C44-AB7B-E5465132CA94}" name="container"/>
    <tableColumn id="4" xr3:uid="{F0DA3C06-E0A8-3A44-8F0B-453192F2B9D0}" name="cpu" dataDxfId="3"/>
    <tableColumn id="5" xr3:uid="{E48BD269-DE42-474F-BE00-11452439B58A}" name="mem"/>
    <tableColumn id="6" xr3:uid="{B758CDBE-2C2A-4745-B115-C9249D89C4DF}" name="mem_pct" dataDxfId="2"/>
    <tableColumn id="7" xr3:uid="{15C80DC3-9F8D-C443-9AFC-35B01D9AF966}" name="net_io"/>
    <tableColumn id="8" xr3:uid="{AD1A1D92-0236-1247-ADF2-9CB79C23BF75}" name="blk_io"/>
    <tableColumn id="9" xr3:uid="{79A7587C-45E3-F841-8D1C-2C1EDA96970A}" name="pids"/>
    <tableColumn id="10" xr3:uid="{7A8E0A79-B2F7-B043-ABBC-02B45EE63422}" name="Column1"/>
    <tableColumn id="11" xr3:uid="{4DE63200-515B-7545-905F-0D3A2BE082F9}" name="mem_used_text" dataDxfId="1">
      <calculatedColumnFormula>TRIM(_xlfn.TEXTBEFORE(E2,"/"))</calculatedColumnFormula>
    </tableColumn>
    <tableColumn id="12" xr3:uid="{0F62431F-53D4-CB4D-8626-E82F175A5A78}" name="mem_used_mib" dataDxfId="0">
      <calculatedColumnFormula>_xlfn.LET(_xlpm.x,K2,_xlpm.v,VALUE(LEFT(_xlpm.x,LEN(_xlpm.x)-3)),_xlpm.u,RIGHT(_xlpm.x,3),IF(_xlpm.u="GiB",_xlpm.v*1024,_xlpm.v))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A8F1-E637-BE47-BD2A-00E3891A0946}">
  <dimension ref="A1:G15"/>
  <sheetViews>
    <sheetView workbookViewId="0">
      <selection activeCell="E15" sqref="A11:E15"/>
    </sheetView>
  </sheetViews>
  <sheetFormatPr baseColWidth="10" defaultRowHeight="16" x14ac:dyDescent="0.2"/>
  <cols>
    <col min="1" max="1" width="21.83203125" customWidth="1"/>
    <col min="5" max="5" width="21.83203125" customWidth="1"/>
  </cols>
  <sheetData>
    <row r="1" spans="1:7" x14ac:dyDescent="0.2">
      <c r="A1" s="4" t="s">
        <v>4</v>
      </c>
      <c r="B1" s="4" t="s">
        <v>5</v>
      </c>
      <c r="C1" s="4" t="s">
        <v>6</v>
      </c>
    </row>
    <row r="2" spans="1:7" x14ac:dyDescent="0.2">
      <c r="A2" s="3" t="s">
        <v>0</v>
      </c>
      <c r="B2" s="2">
        <v>56</v>
      </c>
      <c r="C2" s="2">
        <v>4</v>
      </c>
      <c r="E2" s="1">
        <v>56</v>
      </c>
      <c r="F2" s="1">
        <v>4</v>
      </c>
      <c r="G2" s="1"/>
    </row>
    <row r="3" spans="1:7" x14ac:dyDescent="0.2">
      <c r="A3" s="3" t="s">
        <v>1</v>
      </c>
      <c r="B3" s="2">
        <v>115</v>
      </c>
      <c r="C3" s="2">
        <v>16</v>
      </c>
      <c r="E3" s="1">
        <v>106</v>
      </c>
      <c r="F3" s="1">
        <v>16</v>
      </c>
      <c r="G3" s="1"/>
    </row>
    <row r="4" spans="1:7" x14ac:dyDescent="0.2">
      <c r="A4" s="3" t="s">
        <v>2</v>
      </c>
      <c r="B4" s="2">
        <v>300</v>
      </c>
      <c r="C4" s="2">
        <v>37</v>
      </c>
      <c r="E4" s="1">
        <v>267</v>
      </c>
      <c r="F4" s="1">
        <v>36</v>
      </c>
      <c r="G4" s="1"/>
    </row>
    <row r="5" spans="1:7" x14ac:dyDescent="0.2">
      <c r="A5" s="3" t="s">
        <v>3</v>
      </c>
      <c r="B5" s="2">
        <v>161</v>
      </c>
      <c r="C5" s="2">
        <v>18</v>
      </c>
      <c r="E5" s="1">
        <v>144</v>
      </c>
      <c r="F5" s="1">
        <v>18</v>
      </c>
      <c r="G5" s="1"/>
    </row>
    <row r="11" spans="1:7" x14ac:dyDescent="0.2">
      <c r="A11" s="9" t="s">
        <v>4</v>
      </c>
      <c r="B11" s="9" t="s">
        <v>836</v>
      </c>
      <c r="C11" s="9" t="s">
        <v>837</v>
      </c>
      <c r="D11" s="9" t="s">
        <v>838</v>
      </c>
      <c r="E11" s="9" t="s">
        <v>839</v>
      </c>
    </row>
    <row r="12" spans="1:7" x14ac:dyDescent="0.2">
      <c r="A12" s="8" t="s">
        <v>0</v>
      </c>
      <c r="B12" s="10" t="s">
        <v>840</v>
      </c>
      <c r="C12" s="10">
        <v>56</v>
      </c>
      <c r="D12" s="10">
        <v>4</v>
      </c>
      <c r="E12" s="10" t="s">
        <v>841</v>
      </c>
    </row>
    <row r="13" spans="1:7" x14ac:dyDescent="0.2">
      <c r="A13" s="8" t="s">
        <v>1</v>
      </c>
      <c r="B13" s="10" t="s">
        <v>842</v>
      </c>
      <c r="C13" s="10">
        <v>115</v>
      </c>
      <c r="D13" s="10">
        <v>16</v>
      </c>
      <c r="E13" s="10" t="s">
        <v>843</v>
      </c>
    </row>
    <row r="14" spans="1:7" x14ac:dyDescent="0.2">
      <c r="A14" s="8" t="s">
        <v>3</v>
      </c>
      <c r="B14" s="10" t="s">
        <v>844</v>
      </c>
      <c r="C14" s="10">
        <v>161</v>
      </c>
      <c r="D14" s="10">
        <v>18</v>
      </c>
      <c r="E14" s="10" t="s">
        <v>845</v>
      </c>
    </row>
    <row r="15" spans="1:7" x14ac:dyDescent="0.2">
      <c r="A15" s="8" t="s">
        <v>2</v>
      </c>
      <c r="B15" s="10" t="s">
        <v>846</v>
      </c>
      <c r="C15" s="10">
        <v>300</v>
      </c>
      <c r="D15" s="10">
        <v>37</v>
      </c>
      <c r="E15" s="10" t="s">
        <v>847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4040-E2A1-5A4D-9143-932396B12C63}">
  <dimension ref="A1:L349"/>
  <sheetViews>
    <sheetView topLeftCell="F206" workbookViewId="0">
      <selection activeCell="L349" sqref="A1:L349"/>
    </sheetView>
  </sheetViews>
  <sheetFormatPr baseColWidth="10" defaultRowHeight="16" x14ac:dyDescent="0.2"/>
  <cols>
    <col min="1" max="2" width="33" customWidth="1"/>
    <col min="3" max="3" width="22.1640625" customWidth="1"/>
    <col min="4" max="4" width="26" customWidth="1"/>
    <col min="5" max="5" width="28.33203125" customWidth="1"/>
    <col min="6" max="6" width="31.33203125" customWidth="1"/>
    <col min="7" max="7" width="31.1640625" customWidth="1"/>
    <col min="8" max="8" width="33.5" customWidth="1"/>
  </cols>
  <sheetData>
    <row r="1" spans="1:12" x14ac:dyDescent="0.2">
      <c r="A1" s="1" t="s">
        <v>768</v>
      </c>
      <c r="B1" s="1" t="s">
        <v>769</v>
      </c>
      <c r="C1" s="1" t="s">
        <v>770</v>
      </c>
      <c r="D1" s="1" t="s">
        <v>771</v>
      </c>
      <c r="E1" s="1" t="s">
        <v>772</v>
      </c>
      <c r="F1" s="1" t="s">
        <v>773</v>
      </c>
      <c r="G1" s="1" t="s">
        <v>774</v>
      </c>
      <c r="H1" s="1" t="s">
        <v>775</v>
      </c>
      <c r="I1" s="1" t="s">
        <v>776</v>
      </c>
      <c r="J1" s="1" t="s">
        <v>767</v>
      </c>
      <c r="K1" t="s">
        <v>777</v>
      </c>
      <c r="L1" t="s">
        <v>778</v>
      </c>
    </row>
    <row r="2" spans="1:12" x14ac:dyDescent="0.2">
      <c r="A2" s="5" t="s">
        <v>0</v>
      </c>
      <c r="B2" s="5">
        <v>1767073394</v>
      </c>
      <c r="C2" s="5" t="s">
        <v>337</v>
      </c>
      <c r="D2" s="7">
        <v>1.7548999999999999</v>
      </c>
      <c r="E2" s="5" t="s">
        <v>305</v>
      </c>
      <c r="F2" s="7">
        <v>0.1171</v>
      </c>
      <c r="G2" s="5" t="s">
        <v>338</v>
      </c>
      <c r="H2" s="5" t="s">
        <v>339</v>
      </c>
      <c r="I2" s="5">
        <v>86</v>
      </c>
      <c r="J2" t="str">
        <f>TRIM(_xlfn.TEXTBEFORE(Table2[[#This Row],[mem]],"/"))</f>
        <v>459.1MiB</v>
      </c>
      <c r="K2" t="str">
        <f t="shared" ref="K2:K65" si="0">TRIM(_xlfn.TEXTBEFORE(E2,"/"))</f>
        <v>459.1MiB</v>
      </c>
      <c r="L2">
        <f t="shared" ref="L2:L65" si="1">_xlfn.LET(_xlpm.x,K2,_xlpm.v,VALUE(LEFT(_xlpm.x,LEN(_xlpm.x)-3)),_xlpm.u,RIGHT(_xlpm.x,3),IF(_xlpm.u="GiB",_xlpm.v*1024,_xlpm.v))</f>
        <v>459.1</v>
      </c>
    </row>
    <row r="3" spans="1:12" x14ac:dyDescent="0.2">
      <c r="A3" s="5" t="s">
        <v>0</v>
      </c>
      <c r="B3" s="5">
        <v>1767073394</v>
      </c>
      <c r="C3" s="5" t="s">
        <v>340</v>
      </c>
      <c r="D3" s="7">
        <v>1.1000000000000001E-3</v>
      </c>
      <c r="E3" s="5" t="s">
        <v>306</v>
      </c>
      <c r="F3" s="7">
        <v>8.9200000000000002E-2</v>
      </c>
      <c r="G3" s="5" t="s">
        <v>341</v>
      </c>
      <c r="H3" s="5" t="s">
        <v>342</v>
      </c>
      <c r="I3" s="5">
        <v>65</v>
      </c>
      <c r="J3" t="str">
        <f>TRIM(_xlfn.TEXTBEFORE(Table2[[#This Row],[mem]],"/"))</f>
        <v>349.6MiB</v>
      </c>
      <c r="K3" t="str">
        <f t="shared" si="0"/>
        <v>349.6MiB</v>
      </c>
      <c r="L3">
        <f t="shared" si="1"/>
        <v>349.6</v>
      </c>
    </row>
    <row r="4" spans="1:12" x14ac:dyDescent="0.2">
      <c r="A4" s="5" t="s">
        <v>0</v>
      </c>
      <c r="B4" s="5">
        <v>1767073394</v>
      </c>
      <c r="C4" s="5" t="s">
        <v>343</v>
      </c>
      <c r="D4" s="7">
        <v>5.5999999999999999E-3</v>
      </c>
      <c r="E4" s="5" t="s">
        <v>307</v>
      </c>
      <c r="F4" s="7">
        <v>0.1138</v>
      </c>
      <c r="G4" s="5" t="s">
        <v>344</v>
      </c>
      <c r="H4" s="5" t="s">
        <v>345</v>
      </c>
      <c r="I4" s="5">
        <v>259</v>
      </c>
      <c r="J4" t="str">
        <f>TRIM(_xlfn.TEXTBEFORE(Table2[[#This Row],[mem]],"/"))</f>
        <v>446.2MiB</v>
      </c>
      <c r="K4" t="str">
        <f t="shared" si="0"/>
        <v>446.2MiB</v>
      </c>
      <c r="L4">
        <f t="shared" si="1"/>
        <v>446.2</v>
      </c>
    </row>
    <row r="5" spans="1:12" x14ac:dyDescent="0.2">
      <c r="A5" s="5" t="s">
        <v>0</v>
      </c>
      <c r="B5" s="5">
        <v>1767073394</v>
      </c>
      <c r="C5" s="5" t="s">
        <v>346</v>
      </c>
      <c r="D5" s="7">
        <v>5.3E-3</v>
      </c>
      <c r="E5" s="5" t="s">
        <v>308</v>
      </c>
      <c r="F5" s="7">
        <v>0.15859999999999999</v>
      </c>
      <c r="G5" s="5" t="s">
        <v>347</v>
      </c>
      <c r="H5" s="5" t="s">
        <v>348</v>
      </c>
      <c r="I5" s="5">
        <v>115</v>
      </c>
      <c r="J5" t="str">
        <f>TRIM(_xlfn.TEXTBEFORE(Table2[[#This Row],[mem]],"/"))</f>
        <v>621.5MiB</v>
      </c>
      <c r="K5" t="str">
        <f t="shared" si="0"/>
        <v>621.5MiB</v>
      </c>
      <c r="L5">
        <f t="shared" si="1"/>
        <v>621.5</v>
      </c>
    </row>
    <row r="6" spans="1:12" x14ac:dyDescent="0.2">
      <c r="A6" s="5" t="s">
        <v>0</v>
      </c>
      <c r="B6" s="5">
        <v>1767073401</v>
      </c>
      <c r="C6" s="5" t="s">
        <v>337</v>
      </c>
      <c r="D6" s="7">
        <v>2.5600000000000001E-2</v>
      </c>
      <c r="E6" s="5" t="s">
        <v>309</v>
      </c>
      <c r="F6" s="7">
        <v>0.16919999999999999</v>
      </c>
      <c r="G6" s="5" t="s">
        <v>338</v>
      </c>
      <c r="H6" s="5" t="s">
        <v>349</v>
      </c>
      <c r="I6" s="5">
        <v>97</v>
      </c>
      <c r="J6" t="str">
        <f>TRIM(_xlfn.TEXTBEFORE(Table2[[#This Row],[mem]],"/"))</f>
        <v>663.1MiB</v>
      </c>
      <c r="K6" t="str">
        <f t="shared" si="0"/>
        <v>663.1MiB</v>
      </c>
      <c r="L6">
        <f t="shared" si="1"/>
        <v>663.1</v>
      </c>
    </row>
    <row r="7" spans="1:12" x14ac:dyDescent="0.2">
      <c r="A7" s="5" t="s">
        <v>0</v>
      </c>
      <c r="B7" s="5">
        <v>1767073401</v>
      </c>
      <c r="C7" s="5" t="s">
        <v>340</v>
      </c>
      <c r="D7" s="7">
        <v>4.0000000000000001E-3</v>
      </c>
      <c r="E7" s="5" t="s">
        <v>310</v>
      </c>
      <c r="F7" s="7">
        <v>8.9800000000000005E-2</v>
      </c>
      <c r="G7" s="5" t="s">
        <v>350</v>
      </c>
      <c r="H7" s="5" t="s">
        <v>342</v>
      </c>
      <c r="I7" s="5">
        <v>66</v>
      </c>
      <c r="J7" t="str">
        <f>TRIM(_xlfn.TEXTBEFORE(Table2[[#This Row],[mem]],"/"))</f>
        <v>351.9MiB</v>
      </c>
      <c r="K7" t="str">
        <f t="shared" si="0"/>
        <v>351.9MiB</v>
      </c>
      <c r="L7">
        <f t="shared" si="1"/>
        <v>351.9</v>
      </c>
    </row>
    <row r="8" spans="1:12" x14ac:dyDescent="0.2">
      <c r="A8" s="5" t="s">
        <v>0</v>
      </c>
      <c r="B8" s="5">
        <v>1767073401</v>
      </c>
      <c r="C8" s="5" t="s">
        <v>343</v>
      </c>
      <c r="D8" s="7">
        <v>1.17E-2</v>
      </c>
      <c r="E8" s="5" t="s">
        <v>311</v>
      </c>
      <c r="F8" s="7">
        <v>0.11459999999999999</v>
      </c>
      <c r="G8" s="5" t="s">
        <v>351</v>
      </c>
      <c r="H8" s="5" t="s">
        <v>352</v>
      </c>
      <c r="I8" s="5">
        <v>262</v>
      </c>
      <c r="J8" t="str">
        <f>TRIM(_xlfn.TEXTBEFORE(Table2[[#This Row],[mem]],"/"))</f>
        <v>449.1MiB</v>
      </c>
      <c r="K8" t="str">
        <f t="shared" si="0"/>
        <v>449.1MiB</v>
      </c>
      <c r="L8">
        <f t="shared" si="1"/>
        <v>449.1</v>
      </c>
    </row>
    <row r="9" spans="1:12" x14ac:dyDescent="0.2">
      <c r="A9" s="5" t="s">
        <v>0</v>
      </c>
      <c r="B9" s="5">
        <v>1767073401</v>
      </c>
      <c r="C9" s="5" t="s">
        <v>346</v>
      </c>
      <c r="D9" s="7">
        <v>1.8383</v>
      </c>
      <c r="E9" s="5" t="s">
        <v>312</v>
      </c>
      <c r="F9" s="7">
        <v>0.18690000000000001</v>
      </c>
      <c r="G9" s="5" t="s">
        <v>347</v>
      </c>
      <c r="H9" s="5" t="s">
        <v>348</v>
      </c>
      <c r="I9" s="5">
        <v>151</v>
      </c>
      <c r="J9" t="str">
        <f>TRIM(_xlfn.TEXTBEFORE(Table2[[#This Row],[mem]],"/"))</f>
        <v>732.4MiB</v>
      </c>
      <c r="K9" t="str">
        <f t="shared" si="0"/>
        <v>732.4MiB</v>
      </c>
      <c r="L9">
        <f t="shared" si="1"/>
        <v>732.4</v>
      </c>
    </row>
    <row r="10" spans="1:12" x14ac:dyDescent="0.2">
      <c r="A10" s="5" t="s">
        <v>0</v>
      </c>
      <c r="B10" s="5">
        <v>1767073409</v>
      </c>
      <c r="C10" s="5" t="s">
        <v>337</v>
      </c>
      <c r="D10" s="7">
        <v>2.5000000000000001E-2</v>
      </c>
      <c r="E10" s="5" t="s">
        <v>313</v>
      </c>
      <c r="F10" s="7">
        <v>0.17019999999999999</v>
      </c>
      <c r="G10" s="5" t="s">
        <v>338</v>
      </c>
      <c r="H10" s="5" t="s">
        <v>349</v>
      </c>
      <c r="I10" s="5">
        <v>96</v>
      </c>
      <c r="J10" t="str">
        <f>TRIM(_xlfn.TEXTBEFORE(Table2[[#This Row],[mem]],"/"))</f>
        <v>667.1MiB</v>
      </c>
      <c r="K10" t="str">
        <f t="shared" si="0"/>
        <v>667.1MiB</v>
      </c>
      <c r="L10">
        <f t="shared" si="1"/>
        <v>667.1</v>
      </c>
    </row>
    <row r="11" spans="1:12" x14ac:dyDescent="0.2">
      <c r="A11" s="5" t="s">
        <v>0</v>
      </c>
      <c r="B11" s="5">
        <v>1767073409</v>
      </c>
      <c r="C11" s="5" t="s">
        <v>340</v>
      </c>
      <c r="D11" s="7">
        <v>2.3999999999999998E-3</v>
      </c>
      <c r="E11" s="5" t="s">
        <v>314</v>
      </c>
      <c r="F11" s="7">
        <v>0.09</v>
      </c>
      <c r="G11" s="5" t="s">
        <v>350</v>
      </c>
      <c r="H11" s="5" t="s">
        <v>353</v>
      </c>
      <c r="I11" s="5">
        <v>65</v>
      </c>
      <c r="J11" t="str">
        <f>TRIM(_xlfn.TEXTBEFORE(Table2[[#This Row],[mem]],"/"))</f>
        <v>352.8MiB</v>
      </c>
      <c r="K11" t="str">
        <f t="shared" si="0"/>
        <v>352.8MiB</v>
      </c>
      <c r="L11">
        <f t="shared" si="1"/>
        <v>352.8</v>
      </c>
    </row>
    <row r="12" spans="1:12" x14ac:dyDescent="0.2">
      <c r="A12" s="5" t="s">
        <v>0</v>
      </c>
      <c r="B12" s="5">
        <v>1767073409</v>
      </c>
      <c r="C12" s="5" t="s">
        <v>343</v>
      </c>
      <c r="D12" s="7">
        <v>1.17E-2</v>
      </c>
      <c r="E12" s="5" t="s">
        <v>315</v>
      </c>
      <c r="F12" s="7">
        <v>0.1149</v>
      </c>
      <c r="G12" s="5" t="s">
        <v>354</v>
      </c>
      <c r="H12" s="5" t="s">
        <v>355</v>
      </c>
      <c r="I12" s="5">
        <v>260</v>
      </c>
      <c r="J12" t="str">
        <f>TRIM(_xlfn.TEXTBEFORE(Table2[[#This Row],[mem]],"/"))</f>
        <v>450.5MiB</v>
      </c>
      <c r="K12" t="str">
        <f t="shared" si="0"/>
        <v>450.5MiB</v>
      </c>
      <c r="L12">
        <f t="shared" si="1"/>
        <v>450.5</v>
      </c>
    </row>
    <row r="13" spans="1:12" x14ac:dyDescent="0.2">
      <c r="A13" s="5" t="s">
        <v>0</v>
      </c>
      <c r="B13" s="5">
        <v>1767073409</v>
      </c>
      <c r="C13" s="5" t="s">
        <v>346</v>
      </c>
      <c r="D13" s="7">
        <v>1.3584000000000001</v>
      </c>
      <c r="E13" s="5" t="s">
        <v>316</v>
      </c>
      <c r="F13" s="7">
        <v>0.28189999999999998</v>
      </c>
      <c r="G13" s="5" t="s">
        <v>347</v>
      </c>
      <c r="H13" s="5" t="s">
        <v>348</v>
      </c>
      <c r="I13" s="5">
        <v>247</v>
      </c>
      <c r="J13" t="str">
        <f>TRIM(_xlfn.TEXTBEFORE(Table2[[#This Row],[mem]],"/"))</f>
        <v>1.079GiB</v>
      </c>
      <c r="K13" t="str">
        <f t="shared" si="0"/>
        <v>1.079GiB</v>
      </c>
      <c r="L13">
        <f t="shared" si="1"/>
        <v>1104.896</v>
      </c>
    </row>
    <row r="14" spans="1:12" x14ac:dyDescent="0.2">
      <c r="A14" s="5" t="s">
        <v>0</v>
      </c>
      <c r="B14" s="5">
        <v>1767073416</v>
      </c>
      <c r="C14" s="5" t="s">
        <v>337</v>
      </c>
      <c r="D14" s="7">
        <v>4.2900000000000001E-2</v>
      </c>
      <c r="E14" s="5" t="s">
        <v>317</v>
      </c>
      <c r="F14" s="7">
        <v>0.17050000000000001</v>
      </c>
      <c r="G14" s="5" t="s">
        <v>338</v>
      </c>
      <c r="H14" s="5" t="s">
        <v>349</v>
      </c>
      <c r="I14" s="5">
        <v>93</v>
      </c>
      <c r="J14" t="str">
        <f>TRIM(_xlfn.TEXTBEFORE(Table2[[#This Row],[mem]],"/"))</f>
        <v>668.1MiB</v>
      </c>
      <c r="K14" t="str">
        <f t="shared" si="0"/>
        <v>668.1MiB</v>
      </c>
      <c r="L14">
        <f t="shared" si="1"/>
        <v>668.1</v>
      </c>
    </row>
    <row r="15" spans="1:12" x14ac:dyDescent="0.2">
      <c r="A15" s="5" t="s">
        <v>0</v>
      </c>
      <c r="B15" s="5">
        <v>1767073416</v>
      </c>
      <c r="C15" s="5" t="s">
        <v>340</v>
      </c>
      <c r="D15" s="7">
        <v>1.1000000000000001E-3</v>
      </c>
      <c r="E15" s="5" t="s">
        <v>318</v>
      </c>
      <c r="F15" s="7">
        <v>9.0800000000000006E-2</v>
      </c>
      <c r="G15" s="5" t="s">
        <v>356</v>
      </c>
      <c r="H15" s="5" t="s">
        <v>353</v>
      </c>
      <c r="I15" s="5">
        <v>67</v>
      </c>
      <c r="J15" t="str">
        <f>TRIM(_xlfn.TEXTBEFORE(Table2[[#This Row],[mem]],"/"))</f>
        <v>355.7MiB</v>
      </c>
      <c r="K15" t="str">
        <f t="shared" si="0"/>
        <v>355.7MiB</v>
      </c>
      <c r="L15">
        <f t="shared" si="1"/>
        <v>355.7</v>
      </c>
    </row>
    <row r="16" spans="1:12" x14ac:dyDescent="0.2">
      <c r="A16" s="5" t="s">
        <v>0</v>
      </c>
      <c r="B16" s="5">
        <v>1767073416</v>
      </c>
      <c r="C16" s="5" t="s">
        <v>343</v>
      </c>
      <c r="D16" s="7">
        <v>1.7899999999999999E-2</v>
      </c>
      <c r="E16" s="5" t="s">
        <v>319</v>
      </c>
      <c r="F16" s="7">
        <v>0.11509999999999999</v>
      </c>
      <c r="G16" s="5" t="s">
        <v>357</v>
      </c>
      <c r="H16" s="5" t="s">
        <v>358</v>
      </c>
      <c r="I16" s="5">
        <v>260</v>
      </c>
      <c r="J16" t="str">
        <f>TRIM(_xlfn.TEXTBEFORE(Table2[[#This Row],[mem]],"/"))</f>
        <v>451MiB</v>
      </c>
      <c r="K16" t="str">
        <f t="shared" si="0"/>
        <v>451MiB</v>
      </c>
      <c r="L16">
        <f t="shared" si="1"/>
        <v>451</v>
      </c>
    </row>
    <row r="17" spans="1:12" x14ac:dyDescent="0.2">
      <c r="A17" s="5" t="s">
        <v>0</v>
      </c>
      <c r="B17" s="5">
        <v>1767073416</v>
      </c>
      <c r="C17" s="5" t="s">
        <v>346</v>
      </c>
      <c r="D17" s="7">
        <v>1.7025999999999999</v>
      </c>
      <c r="E17" s="5" t="s">
        <v>320</v>
      </c>
      <c r="F17" s="7">
        <v>0.29559999999999997</v>
      </c>
      <c r="G17" s="5" t="s">
        <v>359</v>
      </c>
      <c r="H17" s="5" t="s">
        <v>348</v>
      </c>
      <c r="I17" s="5">
        <v>246</v>
      </c>
      <c r="J17" t="str">
        <f>TRIM(_xlfn.TEXTBEFORE(Table2[[#This Row],[mem]],"/"))</f>
        <v>1.131GiB</v>
      </c>
      <c r="K17" t="str">
        <f t="shared" si="0"/>
        <v>1.131GiB</v>
      </c>
      <c r="L17">
        <f t="shared" si="1"/>
        <v>1158.144</v>
      </c>
    </row>
    <row r="18" spans="1:12" x14ac:dyDescent="0.2">
      <c r="A18" s="5" t="s">
        <v>0</v>
      </c>
      <c r="B18" s="5">
        <v>1767073424</v>
      </c>
      <c r="C18" s="5" t="s">
        <v>337</v>
      </c>
      <c r="D18" s="7">
        <v>0.55769999999999997</v>
      </c>
      <c r="E18" s="5" t="s">
        <v>321</v>
      </c>
      <c r="F18" s="7">
        <v>0.1757</v>
      </c>
      <c r="G18" s="5" t="s">
        <v>360</v>
      </c>
      <c r="H18" s="5" t="s">
        <v>361</v>
      </c>
      <c r="I18" s="5">
        <v>98</v>
      </c>
      <c r="J18" t="str">
        <f>TRIM(_xlfn.TEXTBEFORE(Table2[[#This Row],[mem]],"/"))</f>
        <v>688.8MiB</v>
      </c>
      <c r="K18" t="str">
        <f t="shared" si="0"/>
        <v>688.8MiB</v>
      </c>
      <c r="L18">
        <f t="shared" si="1"/>
        <v>688.8</v>
      </c>
    </row>
    <row r="19" spans="1:12" x14ac:dyDescent="0.2">
      <c r="A19" s="5" t="s">
        <v>0</v>
      </c>
      <c r="B19" s="5">
        <v>1767073424</v>
      </c>
      <c r="C19" s="5" t="s">
        <v>340</v>
      </c>
      <c r="D19" s="7">
        <v>4.5999999999999999E-2</v>
      </c>
      <c r="E19" s="5" t="s">
        <v>322</v>
      </c>
      <c r="F19" s="7">
        <v>9.1600000000000001E-2</v>
      </c>
      <c r="G19" s="5" t="s">
        <v>356</v>
      </c>
      <c r="H19" s="5" t="s">
        <v>362</v>
      </c>
      <c r="I19" s="5">
        <v>66</v>
      </c>
      <c r="J19" t="str">
        <f>TRIM(_xlfn.TEXTBEFORE(Table2[[#This Row],[mem]],"/"))</f>
        <v>359.1MiB</v>
      </c>
      <c r="K19" t="str">
        <f t="shared" si="0"/>
        <v>359.1MiB</v>
      </c>
      <c r="L19">
        <f t="shared" si="1"/>
        <v>359.1</v>
      </c>
    </row>
    <row r="20" spans="1:12" x14ac:dyDescent="0.2">
      <c r="A20" s="5" t="s">
        <v>0</v>
      </c>
      <c r="B20" s="5">
        <v>1767073424</v>
      </c>
      <c r="C20" s="5" t="s">
        <v>343</v>
      </c>
      <c r="D20" s="7">
        <v>0.1754</v>
      </c>
      <c r="E20" s="5" t="s">
        <v>323</v>
      </c>
      <c r="F20" s="7">
        <v>0.11559999999999999</v>
      </c>
      <c r="G20" s="5" t="s">
        <v>363</v>
      </c>
      <c r="H20" s="5" t="s">
        <v>364</v>
      </c>
      <c r="I20" s="5">
        <v>261</v>
      </c>
      <c r="J20" t="str">
        <f>TRIM(_xlfn.TEXTBEFORE(Table2[[#This Row],[mem]],"/"))</f>
        <v>453.1MiB</v>
      </c>
      <c r="K20" t="str">
        <f t="shared" si="0"/>
        <v>453.1MiB</v>
      </c>
      <c r="L20">
        <f t="shared" si="1"/>
        <v>453.1</v>
      </c>
    </row>
    <row r="21" spans="1:12" x14ac:dyDescent="0.2">
      <c r="A21" s="5" t="s">
        <v>0</v>
      </c>
      <c r="B21" s="5">
        <v>1767073424</v>
      </c>
      <c r="C21" s="5" t="s">
        <v>346</v>
      </c>
      <c r="D21" s="7">
        <v>1.38E-2</v>
      </c>
      <c r="E21" s="5" t="s">
        <v>324</v>
      </c>
      <c r="F21" s="7">
        <v>0.27410000000000001</v>
      </c>
      <c r="G21" s="5" t="s">
        <v>365</v>
      </c>
      <c r="H21" s="5" t="s">
        <v>348</v>
      </c>
      <c r="I21" s="5">
        <v>173</v>
      </c>
      <c r="J21" t="str">
        <f>TRIM(_xlfn.TEXTBEFORE(Table2[[#This Row],[mem]],"/"))</f>
        <v>1.049GiB</v>
      </c>
      <c r="K21" t="str">
        <f t="shared" si="0"/>
        <v>1.049GiB</v>
      </c>
      <c r="L21">
        <f t="shared" si="1"/>
        <v>1074.1759999999999</v>
      </c>
    </row>
    <row r="22" spans="1:12" x14ac:dyDescent="0.2">
      <c r="A22" s="5" t="s">
        <v>0</v>
      </c>
      <c r="B22" s="5">
        <v>1767073431</v>
      </c>
      <c r="C22" s="5" t="s">
        <v>337</v>
      </c>
      <c r="D22" s="7">
        <v>8.9200000000000002E-2</v>
      </c>
      <c r="E22" s="5" t="s">
        <v>325</v>
      </c>
      <c r="F22" s="7">
        <v>0.1769</v>
      </c>
      <c r="G22" s="5" t="s">
        <v>360</v>
      </c>
      <c r="H22" s="5" t="s">
        <v>366</v>
      </c>
      <c r="I22" s="5">
        <v>98</v>
      </c>
      <c r="J22" t="str">
        <f>TRIM(_xlfn.TEXTBEFORE(Table2[[#This Row],[mem]],"/"))</f>
        <v>693.5MiB</v>
      </c>
      <c r="K22" t="str">
        <f t="shared" si="0"/>
        <v>693.5MiB</v>
      </c>
      <c r="L22">
        <f t="shared" si="1"/>
        <v>693.5</v>
      </c>
    </row>
    <row r="23" spans="1:12" x14ac:dyDescent="0.2">
      <c r="A23" s="5" t="s">
        <v>0</v>
      </c>
      <c r="B23" s="5">
        <v>1767073431</v>
      </c>
      <c r="C23" s="5" t="s">
        <v>340</v>
      </c>
      <c r="D23" s="7">
        <v>5.1700000000000003E-2</v>
      </c>
      <c r="E23" s="5" t="s">
        <v>326</v>
      </c>
      <c r="F23" s="7">
        <v>9.2399999999999996E-2</v>
      </c>
      <c r="G23" s="5" t="s">
        <v>356</v>
      </c>
      <c r="H23" s="5" t="s">
        <v>362</v>
      </c>
      <c r="I23" s="5">
        <v>66</v>
      </c>
      <c r="J23" t="str">
        <f>TRIM(_xlfn.TEXTBEFORE(Table2[[#This Row],[mem]],"/"))</f>
        <v>362.2MiB</v>
      </c>
      <c r="K23" t="str">
        <f t="shared" si="0"/>
        <v>362.2MiB</v>
      </c>
      <c r="L23">
        <f t="shared" si="1"/>
        <v>362.2</v>
      </c>
    </row>
    <row r="24" spans="1:12" x14ac:dyDescent="0.2">
      <c r="A24" s="5" t="s">
        <v>0</v>
      </c>
      <c r="B24" s="5">
        <v>1767073431</v>
      </c>
      <c r="C24" s="5" t="s">
        <v>343</v>
      </c>
      <c r="D24" s="7">
        <v>1.2200000000000001E-2</v>
      </c>
      <c r="E24" s="5" t="s">
        <v>327</v>
      </c>
      <c r="F24" s="7">
        <v>0.11609999999999999</v>
      </c>
      <c r="G24" s="5" t="s">
        <v>367</v>
      </c>
      <c r="H24" s="5" t="s">
        <v>368</v>
      </c>
      <c r="I24" s="5">
        <v>266</v>
      </c>
      <c r="J24" t="str">
        <f>TRIM(_xlfn.TEXTBEFORE(Table2[[#This Row],[mem]],"/"))</f>
        <v>455.1MiB</v>
      </c>
      <c r="K24" t="str">
        <f t="shared" si="0"/>
        <v>455.1MiB</v>
      </c>
      <c r="L24">
        <f t="shared" si="1"/>
        <v>455.1</v>
      </c>
    </row>
    <row r="25" spans="1:12" x14ac:dyDescent="0.2">
      <c r="A25" s="5" t="s">
        <v>0</v>
      </c>
      <c r="B25" s="5">
        <v>1767073431</v>
      </c>
      <c r="C25" s="5" t="s">
        <v>346</v>
      </c>
      <c r="D25" s="7">
        <v>2.1217000000000001</v>
      </c>
      <c r="E25" s="5" t="s">
        <v>328</v>
      </c>
      <c r="F25" s="7">
        <v>0.25800000000000001</v>
      </c>
      <c r="G25" s="5" t="s">
        <v>365</v>
      </c>
      <c r="H25" s="5" t="s">
        <v>348</v>
      </c>
      <c r="I25" s="5">
        <v>173</v>
      </c>
      <c r="J25" t="str">
        <f>TRIM(_xlfn.TEXTBEFORE(Table2[[#This Row],[mem]],"/"))</f>
        <v>1011MiB</v>
      </c>
      <c r="K25" t="str">
        <f t="shared" si="0"/>
        <v>1011MiB</v>
      </c>
      <c r="L25">
        <f t="shared" si="1"/>
        <v>1011</v>
      </c>
    </row>
    <row r="26" spans="1:12" x14ac:dyDescent="0.2">
      <c r="A26" s="5" t="s">
        <v>0</v>
      </c>
      <c r="B26" s="5">
        <v>1767073439</v>
      </c>
      <c r="C26" s="5" t="s">
        <v>337</v>
      </c>
      <c r="D26" s="7">
        <v>3.3700000000000001E-2</v>
      </c>
      <c r="E26" s="5" t="s">
        <v>329</v>
      </c>
      <c r="F26" s="7">
        <v>0.17760000000000001</v>
      </c>
      <c r="G26" s="5" t="s">
        <v>360</v>
      </c>
      <c r="H26" s="5" t="s">
        <v>369</v>
      </c>
      <c r="I26" s="5">
        <v>96</v>
      </c>
      <c r="J26" t="str">
        <f>TRIM(_xlfn.TEXTBEFORE(Table2[[#This Row],[mem]],"/"))</f>
        <v>696.1MiB</v>
      </c>
      <c r="K26" t="str">
        <f t="shared" si="0"/>
        <v>696.1MiB</v>
      </c>
      <c r="L26">
        <f t="shared" si="1"/>
        <v>696.1</v>
      </c>
    </row>
    <row r="27" spans="1:12" x14ac:dyDescent="0.2">
      <c r="A27" s="5" t="s">
        <v>0</v>
      </c>
      <c r="B27" s="5">
        <v>1767073439</v>
      </c>
      <c r="C27" s="5" t="s">
        <v>340</v>
      </c>
      <c r="D27" s="7">
        <v>3.4000000000000002E-2</v>
      </c>
      <c r="E27" s="5" t="s">
        <v>330</v>
      </c>
      <c r="F27" s="7">
        <v>9.2600000000000002E-2</v>
      </c>
      <c r="G27" s="5" t="s">
        <v>356</v>
      </c>
      <c r="H27" s="5" t="s">
        <v>362</v>
      </c>
      <c r="I27" s="5">
        <v>67</v>
      </c>
      <c r="J27" t="str">
        <f>TRIM(_xlfn.TEXTBEFORE(Table2[[#This Row],[mem]],"/"))</f>
        <v>363.1MiB</v>
      </c>
      <c r="K27" t="str">
        <f t="shared" si="0"/>
        <v>363.1MiB</v>
      </c>
      <c r="L27">
        <f t="shared" si="1"/>
        <v>363.1</v>
      </c>
    </row>
    <row r="28" spans="1:12" x14ac:dyDescent="0.2">
      <c r="A28" s="5" t="s">
        <v>0</v>
      </c>
      <c r="B28" s="5">
        <v>1767073439</v>
      </c>
      <c r="C28" s="5" t="s">
        <v>343</v>
      </c>
      <c r="D28" s="7">
        <v>2.1700000000000001E-2</v>
      </c>
      <c r="E28" s="5" t="s">
        <v>331</v>
      </c>
      <c r="F28" s="7">
        <v>0.1162</v>
      </c>
      <c r="G28" s="5" t="s">
        <v>370</v>
      </c>
      <c r="H28" s="5" t="s">
        <v>371</v>
      </c>
      <c r="I28" s="5">
        <v>262</v>
      </c>
      <c r="J28" t="str">
        <f>TRIM(_xlfn.TEXTBEFORE(Table2[[#This Row],[mem]],"/"))</f>
        <v>455.6MiB</v>
      </c>
      <c r="K28" t="str">
        <f t="shared" si="0"/>
        <v>455.6MiB</v>
      </c>
      <c r="L28">
        <f t="shared" si="1"/>
        <v>455.6</v>
      </c>
    </row>
    <row r="29" spans="1:12" x14ac:dyDescent="0.2">
      <c r="A29" s="5" t="s">
        <v>0</v>
      </c>
      <c r="B29" s="5">
        <v>1767073439</v>
      </c>
      <c r="C29" s="5" t="s">
        <v>346</v>
      </c>
      <c r="D29" s="7">
        <v>0.19189999999999999</v>
      </c>
      <c r="E29" s="5" t="s">
        <v>332</v>
      </c>
      <c r="F29" s="7">
        <v>0.2717</v>
      </c>
      <c r="G29" s="5" t="s">
        <v>365</v>
      </c>
      <c r="H29" s="5" t="s">
        <v>348</v>
      </c>
      <c r="I29" s="5">
        <v>223</v>
      </c>
      <c r="J29" t="str">
        <f>TRIM(_xlfn.TEXTBEFORE(Table2[[#This Row],[mem]],"/"))</f>
        <v>1.04GiB</v>
      </c>
      <c r="K29" t="str">
        <f t="shared" si="0"/>
        <v>1.04GiB</v>
      </c>
      <c r="L29">
        <f t="shared" si="1"/>
        <v>1064.96</v>
      </c>
    </row>
    <row r="30" spans="1:12" x14ac:dyDescent="0.2">
      <c r="A30" s="5" t="s">
        <v>0</v>
      </c>
      <c r="B30" s="5">
        <v>1767073446</v>
      </c>
      <c r="C30" s="5" t="s">
        <v>337</v>
      </c>
      <c r="D30" s="7">
        <v>0.05</v>
      </c>
      <c r="E30" s="5" t="s">
        <v>333</v>
      </c>
      <c r="F30" s="7">
        <v>0.17810000000000001</v>
      </c>
      <c r="G30" s="5" t="s">
        <v>360</v>
      </c>
      <c r="H30" s="5" t="s">
        <v>369</v>
      </c>
      <c r="I30" s="5">
        <v>92</v>
      </c>
      <c r="J30" t="str">
        <f>TRIM(_xlfn.TEXTBEFORE(Table2[[#This Row],[mem]],"/"))</f>
        <v>698.1MiB</v>
      </c>
      <c r="K30" t="str">
        <f t="shared" si="0"/>
        <v>698.1MiB</v>
      </c>
      <c r="L30">
        <f t="shared" si="1"/>
        <v>698.1</v>
      </c>
    </row>
    <row r="31" spans="1:12" x14ac:dyDescent="0.2">
      <c r="A31" s="5" t="s">
        <v>0</v>
      </c>
      <c r="B31" s="5">
        <v>1767073446</v>
      </c>
      <c r="C31" s="5" t="s">
        <v>340</v>
      </c>
      <c r="D31" s="7">
        <v>1.3100000000000001E-2</v>
      </c>
      <c r="E31" s="5" t="s">
        <v>334</v>
      </c>
      <c r="F31" s="7">
        <v>9.2899999999999996E-2</v>
      </c>
      <c r="G31" s="5" t="s">
        <v>356</v>
      </c>
      <c r="H31" s="5" t="s">
        <v>362</v>
      </c>
      <c r="I31" s="5">
        <v>66</v>
      </c>
      <c r="J31" t="str">
        <f>TRIM(_xlfn.TEXTBEFORE(Table2[[#This Row],[mem]],"/"))</f>
        <v>364.3MiB</v>
      </c>
      <c r="K31" t="str">
        <f t="shared" si="0"/>
        <v>364.3MiB</v>
      </c>
      <c r="L31">
        <f t="shared" si="1"/>
        <v>364.3</v>
      </c>
    </row>
    <row r="32" spans="1:12" x14ac:dyDescent="0.2">
      <c r="A32" s="5" t="s">
        <v>0</v>
      </c>
      <c r="B32" s="5">
        <v>1767073446</v>
      </c>
      <c r="C32" s="5" t="s">
        <v>343</v>
      </c>
      <c r="D32" s="7">
        <v>2.5499999999999998E-2</v>
      </c>
      <c r="E32" s="5" t="s">
        <v>335</v>
      </c>
      <c r="F32" s="7">
        <v>0.1163</v>
      </c>
      <c r="G32" s="5" t="s">
        <v>372</v>
      </c>
      <c r="H32" s="5" t="s">
        <v>371</v>
      </c>
      <c r="I32" s="5">
        <v>262</v>
      </c>
      <c r="J32" t="str">
        <f>TRIM(_xlfn.TEXTBEFORE(Table2[[#This Row],[mem]],"/"))</f>
        <v>455.9MiB</v>
      </c>
      <c r="K32" t="str">
        <f t="shared" si="0"/>
        <v>455.9MiB</v>
      </c>
      <c r="L32">
        <f t="shared" si="1"/>
        <v>455.9</v>
      </c>
    </row>
    <row r="33" spans="1:12" x14ac:dyDescent="0.2">
      <c r="A33" s="5" t="s">
        <v>0</v>
      </c>
      <c r="B33" s="5">
        <v>1767073446</v>
      </c>
      <c r="C33" s="5" t="s">
        <v>346</v>
      </c>
      <c r="D33" s="7">
        <v>0.18390000000000001</v>
      </c>
      <c r="E33" s="5" t="s">
        <v>336</v>
      </c>
      <c r="F33" s="7">
        <v>0.27539999999999998</v>
      </c>
      <c r="G33" s="5" t="s">
        <v>373</v>
      </c>
      <c r="H33" s="5" t="s">
        <v>348</v>
      </c>
      <c r="I33" s="5">
        <v>174</v>
      </c>
      <c r="J33" t="str">
        <f>TRIM(_xlfn.TEXTBEFORE(Table2[[#This Row],[mem]],"/"))</f>
        <v>1.054GiB</v>
      </c>
      <c r="K33" t="str">
        <f t="shared" si="0"/>
        <v>1.054GiB</v>
      </c>
      <c r="L33">
        <f t="shared" si="1"/>
        <v>1079.296</v>
      </c>
    </row>
    <row r="34" spans="1:12" x14ac:dyDescent="0.2">
      <c r="A34" t="s">
        <v>1</v>
      </c>
      <c r="B34">
        <v>1767073464</v>
      </c>
      <c r="C34" t="s">
        <v>337</v>
      </c>
      <c r="D34" s="6">
        <v>1.5451999999999999</v>
      </c>
      <c r="E34" t="s">
        <v>7</v>
      </c>
      <c r="F34" s="6">
        <v>0.1198</v>
      </c>
      <c r="G34" t="s">
        <v>374</v>
      </c>
      <c r="H34" t="s">
        <v>375</v>
      </c>
      <c r="I34">
        <v>85</v>
      </c>
      <c r="J34" t="str">
        <f>TRIM(_xlfn.TEXTBEFORE(Table2[[#This Row],[mem]],"/"))</f>
        <v>469.6MiB</v>
      </c>
      <c r="K34" t="str">
        <f t="shared" si="0"/>
        <v>469.6MiB</v>
      </c>
      <c r="L34">
        <f t="shared" si="1"/>
        <v>469.6</v>
      </c>
    </row>
    <row r="35" spans="1:12" x14ac:dyDescent="0.2">
      <c r="A35" t="s">
        <v>1</v>
      </c>
      <c r="B35">
        <v>1767073464</v>
      </c>
      <c r="C35" t="s">
        <v>340</v>
      </c>
      <c r="D35" s="6">
        <v>1.7600000000000001E-2</v>
      </c>
      <c r="E35" t="s">
        <v>8</v>
      </c>
      <c r="F35" s="6">
        <v>9.69E-2</v>
      </c>
      <c r="G35" t="s">
        <v>376</v>
      </c>
      <c r="H35" t="s">
        <v>377</v>
      </c>
      <c r="I35">
        <v>65</v>
      </c>
      <c r="J35" t="str">
        <f>TRIM(_xlfn.TEXTBEFORE(Table2[[#This Row],[mem]],"/"))</f>
        <v>379.9MiB</v>
      </c>
      <c r="K35" t="str">
        <f t="shared" si="0"/>
        <v>379.9MiB</v>
      </c>
      <c r="L35">
        <f t="shared" si="1"/>
        <v>379.9</v>
      </c>
    </row>
    <row r="36" spans="1:12" x14ac:dyDescent="0.2">
      <c r="A36" t="s">
        <v>1</v>
      </c>
      <c r="B36">
        <v>1767073464</v>
      </c>
      <c r="C36" t="s">
        <v>343</v>
      </c>
      <c r="D36" s="6">
        <v>1.47E-2</v>
      </c>
      <c r="E36" t="s">
        <v>9</v>
      </c>
      <c r="F36" s="6">
        <v>0.1166</v>
      </c>
      <c r="G36" t="s">
        <v>378</v>
      </c>
      <c r="H36" t="s">
        <v>379</v>
      </c>
      <c r="I36">
        <v>263</v>
      </c>
      <c r="J36" t="str">
        <f>TRIM(_xlfn.TEXTBEFORE(Table2[[#This Row],[mem]],"/"))</f>
        <v>457.1MiB</v>
      </c>
      <c r="K36" t="str">
        <f t="shared" si="0"/>
        <v>457.1MiB</v>
      </c>
      <c r="L36">
        <f t="shared" si="1"/>
        <v>457.1</v>
      </c>
    </row>
    <row r="37" spans="1:12" x14ac:dyDescent="0.2">
      <c r="A37" t="s">
        <v>1</v>
      </c>
      <c r="B37">
        <v>1767073464</v>
      </c>
      <c r="C37" t="s">
        <v>346</v>
      </c>
      <c r="D37" s="6">
        <v>8.3000000000000001E-3</v>
      </c>
      <c r="E37" t="s">
        <v>10</v>
      </c>
      <c r="F37" s="6">
        <v>0.1608</v>
      </c>
      <c r="G37" t="s">
        <v>373</v>
      </c>
      <c r="H37" t="s">
        <v>348</v>
      </c>
      <c r="I37">
        <v>121</v>
      </c>
      <c r="J37" t="str">
        <f>TRIM(_xlfn.TEXTBEFORE(Table2[[#This Row],[mem]],"/"))</f>
        <v>630.2MiB</v>
      </c>
      <c r="K37" t="str">
        <f t="shared" si="0"/>
        <v>630.2MiB</v>
      </c>
      <c r="L37">
        <f t="shared" si="1"/>
        <v>630.20000000000005</v>
      </c>
    </row>
    <row r="38" spans="1:12" x14ac:dyDescent="0.2">
      <c r="A38" t="s">
        <v>1</v>
      </c>
      <c r="B38">
        <v>1767073471</v>
      </c>
      <c r="C38" t="s">
        <v>337</v>
      </c>
      <c r="D38" s="6">
        <v>1.9900000000000001E-2</v>
      </c>
      <c r="E38" t="s">
        <v>11</v>
      </c>
      <c r="F38" s="6">
        <v>0.17469999999999999</v>
      </c>
      <c r="G38" t="s">
        <v>374</v>
      </c>
      <c r="H38" t="s">
        <v>380</v>
      </c>
      <c r="I38">
        <v>97</v>
      </c>
      <c r="J38" t="str">
        <f>TRIM(_xlfn.TEXTBEFORE(Table2[[#This Row],[mem]],"/"))</f>
        <v>684.5MiB</v>
      </c>
      <c r="K38" t="str">
        <f t="shared" si="0"/>
        <v>684.5MiB</v>
      </c>
      <c r="L38">
        <f t="shared" si="1"/>
        <v>684.5</v>
      </c>
    </row>
    <row r="39" spans="1:12" x14ac:dyDescent="0.2">
      <c r="A39" t="s">
        <v>1</v>
      </c>
      <c r="B39">
        <v>1767073471</v>
      </c>
      <c r="C39" t="s">
        <v>340</v>
      </c>
      <c r="D39" s="6">
        <v>1E-3</v>
      </c>
      <c r="E39" t="s">
        <v>12</v>
      </c>
      <c r="F39" s="6">
        <v>9.7900000000000001E-2</v>
      </c>
      <c r="G39" t="s">
        <v>376</v>
      </c>
      <c r="H39" t="s">
        <v>377</v>
      </c>
      <c r="I39">
        <v>66</v>
      </c>
      <c r="J39" t="str">
        <f>TRIM(_xlfn.TEXTBEFORE(Table2[[#This Row],[mem]],"/"))</f>
        <v>383.8MiB</v>
      </c>
      <c r="K39" t="str">
        <f t="shared" si="0"/>
        <v>383.8MiB</v>
      </c>
      <c r="L39">
        <f t="shared" si="1"/>
        <v>383.8</v>
      </c>
    </row>
    <row r="40" spans="1:12" x14ac:dyDescent="0.2">
      <c r="A40" t="s">
        <v>1</v>
      </c>
      <c r="B40">
        <v>1767073471</v>
      </c>
      <c r="C40" t="s">
        <v>343</v>
      </c>
      <c r="D40" s="6">
        <v>5.2200000000000003E-2</v>
      </c>
      <c r="E40" t="s">
        <v>13</v>
      </c>
      <c r="F40" s="6">
        <v>0.11840000000000001</v>
      </c>
      <c r="G40" t="s">
        <v>381</v>
      </c>
      <c r="H40" t="s">
        <v>382</v>
      </c>
      <c r="I40">
        <v>266</v>
      </c>
      <c r="J40" t="str">
        <f>TRIM(_xlfn.TEXTBEFORE(Table2[[#This Row],[mem]],"/"))</f>
        <v>464.2MiB</v>
      </c>
      <c r="K40" t="str">
        <f t="shared" si="0"/>
        <v>464.2MiB</v>
      </c>
      <c r="L40">
        <f t="shared" si="1"/>
        <v>464.2</v>
      </c>
    </row>
    <row r="41" spans="1:12" x14ac:dyDescent="0.2">
      <c r="A41" t="s">
        <v>1</v>
      </c>
      <c r="B41">
        <v>1767073471</v>
      </c>
      <c r="C41" t="s">
        <v>346</v>
      </c>
      <c r="D41" s="6">
        <v>1.9103000000000001</v>
      </c>
      <c r="E41" t="s">
        <v>14</v>
      </c>
      <c r="F41" s="6">
        <v>0.19719999999999999</v>
      </c>
      <c r="G41" t="s">
        <v>373</v>
      </c>
      <c r="H41" t="s">
        <v>348</v>
      </c>
      <c r="I41">
        <v>151</v>
      </c>
      <c r="J41" t="str">
        <f>TRIM(_xlfn.TEXTBEFORE(Table2[[#This Row],[mem]],"/"))</f>
        <v>772.9MiB</v>
      </c>
      <c r="K41" t="str">
        <f t="shared" si="0"/>
        <v>772.9MiB</v>
      </c>
      <c r="L41">
        <f t="shared" si="1"/>
        <v>772.9</v>
      </c>
    </row>
    <row r="42" spans="1:12" x14ac:dyDescent="0.2">
      <c r="A42" t="s">
        <v>1</v>
      </c>
      <c r="B42">
        <v>1767073479</v>
      </c>
      <c r="C42" t="s">
        <v>337</v>
      </c>
      <c r="D42" s="6">
        <v>0.02</v>
      </c>
      <c r="E42" t="s">
        <v>15</v>
      </c>
      <c r="F42" s="6">
        <v>0.17560000000000001</v>
      </c>
      <c r="G42" t="s">
        <v>374</v>
      </c>
      <c r="H42" t="s">
        <v>383</v>
      </c>
      <c r="I42">
        <v>96</v>
      </c>
      <c r="J42" t="str">
        <f>TRIM(_xlfn.TEXTBEFORE(Table2[[#This Row],[mem]],"/"))</f>
        <v>688.1MiB</v>
      </c>
      <c r="K42" t="str">
        <f t="shared" si="0"/>
        <v>688.1MiB</v>
      </c>
      <c r="L42">
        <f t="shared" si="1"/>
        <v>688.1</v>
      </c>
    </row>
    <row r="43" spans="1:12" x14ac:dyDescent="0.2">
      <c r="A43" t="s">
        <v>1</v>
      </c>
      <c r="B43">
        <v>1767073479</v>
      </c>
      <c r="C43" t="s">
        <v>340</v>
      </c>
      <c r="D43" s="6">
        <v>1.8E-3</v>
      </c>
      <c r="E43" t="s">
        <v>16</v>
      </c>
      <c r="F43" s="6">
        <v>9.6799999999999997E-2</v>
      </c>
      <c r="G43" t="s">
        <v>376</v>
      </c>
      <c r="H43" t="s">
        <v>377</v>
      </c>
      <c r="I43">
        <v>65</v>
      </c>
      <c r="J43" t="str">
        <f>TRIM(_xlfn.TEXTBEFORE(Table2[[#This Row],[mem]],"/"))</f>
        <v>379.4MiB</v>
      </c>
      <c r="K43" t="str">
        <f t="shared" si="0"/>
        <v>379.4MiB</v>
      </c>
      <c r="L43">
        <f t="shared" si="1"/>
        <v>379.4</v>
      </c>
    </row>
    <row r="44" spans="1:12" x14ac:dyDescent="0.2">
      <c r="A44" t="s">
        <v>1</v>
      </c>
      <c r="B44">
        <v>1767073479</v>
      </c>
      <c r="C44" t="s">
        <v>343</v>
      </c>
      <c r="D44" s="6">
        <v>2.8400000000000002E-2</v>
      </c>
      <c r="E44" t="s">
        <v>17</v>
      </c>
      <c r="F44" s="6">
        <v>0.1186</v>
      </c>
      <c r="G44" t="s">
        <v>384</v>
      </c>
      <c r="H44" t="s">
        <v>385</v>
      </c>
      <c r="I44">
        <v>264</v>
      </c>
      <c r="J44" t="str">
        <f>TRIM(_xlfn.TEXTBEFORE(Table2[[#This Row],[mem]],"/"))</f>
        <v>464.9MiB</v>
      </c>
      <c r="K44" t="str">
        <f t="shared" si="0"/>
        <v>464.9MiB</v>
      </c>
      <c r="L44">
        <f t="shared" si="1"/>
        <v>464.9</v>
      </c>
    </row>
    <row r="45" spans="1:12" x14ac:dyDescent="0.2">
      <c r="A45" t="s">
        <v>1</v>
      </c>
      <c r="B45">
        <v>1767073479</v>
      </c>
      <c r="C45" t="s">
        <v>346</v>
      </c>
      <c r="D45" s="6">
        <v>0.81659999999999999</v>
      </c>
      <c r="E45" t="s">
        <v>18</v>
      </c>
      <c r="F45" s="6">
        <v>0.26989999999999997</v>
      </c>
      <c r="G45" t="s">
        <v>373</v>
      </c>
      <c r="H45" t="s">
        <v>348</v>
      </c>
      <c r="I45">
        <v>224</v>
      </c>
      <c r="J45" t="str">
        <f>TRIM(_xlfn.TEXTBEFORE(Table2[[#This Row],[mem]],"/"))</f>
        <v>1.033GiB</v>
      </c>
      <c r="K45" t="str">
        <f t="shared" si="0"/>
        <v>1.033GiB</v>
      </c>
      <c r="L45">
        <f t="shared" si="1"/>
        <v>1057.7919999999999</v>
      </c>
    </row>
    <row r="46" spans="1:12" x14ac:dyDescent="0.2">
      <c r="A46" t="s">
        <v>1</v>
      </c>
      <c r="B46">
        <v>1767073486</v>
      </c>
      <c r="C46" t="s">
        <v>337</v>
      </c>
      <c r="D46" s="6">
        <v>9.7000000000000003E-3</v>
      </c>
      <c r="E46" t="s">
        <v>19</v>
      </c>
      <c r="F46" s="6">
        <v>0.1744</v>
      </c>
      <c r="G46" t="s">
        <v>374</v>
      </c>
      <c r="H46" t="s">
        <v>386</v>
      </c>
      <c r="I46">
        <v>95</v>
      </c>
      <c r="J46" t="str">
        <f>TRIM(_xlfn.TEXTBEFORE(Table2[[#This Row],[mem]],"/"))</f>
        <v>683.7MiB</v>
      </c>
      <c r="K46" t="str">
        <f t="shared" si="0"/>
        <v>683.7MiB</v>
      </c>
      <c r="L46">
        <f t="shared" si="1"/>
        <v>683.7</v>
      </c>
    </row>
    <row r="47" spans="1:12" x14ac:dyDescent="0.2">
      <c r="A47" t="s">
        <v>1</v>
      </c>
      <c r="B47">
        <v>1767073486</v>
      </c>
      <c r="C47" t="s">
        <v>340</v>
      </c>
      <c r="D47" s="6">
        <v>3.0000000000000001E-3</v>
      </c>
      <c r="E47" t="s">
        <v>20</v>
      </c>
      <c r="F47" s="6">
        <v>8.8300000000000003E-2</v>
      </c>
      <c r="G47" t="s">
        <v>387</v>
      </c>
      <c r="H47" t="s">
        <v>388</v>
      </c>
      <c r="I47">
        <v>66</v>
      </c>
      <c r="J47" t="str">
        <f>TRIM(_xlfn.TEXTBEFORE(Table2[[#This Row],[mem]],"/"))</f>
        <v>346MiB</v>
      </c>
      <c r="K47" t="str">
        <f t="shared" si="0"/>
        <v>346MiB</v>
      </c>
      <c r="L47">
        <f t="shared" si="1"/>
        <v>346</v>
      </c>
    </row>
    <row r="48" spans="1:12" x14ac:dyDescent="0.2">
      <c r="A48" t="s">
        <v>1</v>
      </c>
      <c r="B48">
        <v>1767073486</v>
      </c>
      <c r="C48" t="s">
        <v>343</v>
      </c>
      <c r="D48" s="6">
        <v>5.7000000000000002E-3</v>
      </c>
      <c r="E48" t="s">
        <v>21</v>
      </c>
      <c r="F48" s="6">
        <v>0.11650000000000001</v>
      </c>
      <c r="G48" t="s">
        <v>389</v>
      </c>
      <c r="H48" t="s">
        <v>390</v>
      </c>
      <c r="I48">
        <v>264</v>
      </c>
      <c r="J48" t="str">
        <f>TRIM(_xlfn.TEXTBEFORE(Table2[[#This Row],[mem]],"/"))</f>
        <v>456.8MiB</v>
      </c>
      <c r="K48" t="str">
        <f t="shared" si="0"/>
        <v>456.8MiB</v>
      </c>
      <c r="L48">
        <f t="shared" si="1"/>
        <v>456.8</v>
      </c>
    </row>
    <row r="49" spans="1:12" x14ac:dyDescent="0.2">
      <c r="A49" t="s">
        <v>1</v>
      </c>
      <c r="B49">
        <v>1767073486</v>
      </c>
      <c r="C49" t="s">
        <v>346</v>
      </c>
      <c r="D49" s="6">
        <v>1.0431999999999999</v>
      </c>
      <c r="E49" t="s">
        <v>22</v>
      </c>
      <c r="F49" s="6">
        <v>0.37</v>
      </c>
      <c r="G49" t="s">
        <v>391</v>
      </c>
      <c r="H49" t="s">
        <v>392</v>
      </c>
      <c r="I49">
        <v>256</v>
      </c>
      <c r="J49" t="str">
        <f>TRIM(_xlfn.TEXTBEFORE(Table2[[#This Row],[mem]],"/"))</f>
        <v>1.416GiB</v>
      </c>
      <c r="K49" t="str">
        <f t="shared" si="0"/>
        <v>1.416GiB</v>
      </c>
      <c r="L49">
        <f t="shared" si="1"/>
        <v>1449.9839999999999</v>
      </c>
    </row>
    <row r="50" spans="1:12" x14ac:dyDescent="0.2">
      <c r="A50" t="s">
        <v>1</v>
      </c>
      <c r="B50">
        <v>1767073494</v>
      </c>
      <c r="C50" t="s">
        <v>337</v>
      </c>
      <c r="D50" s="6">
        <v>2.4299999999999999E-2</v>
      </c>
      <c r="E50" t="s">
        <v>23</v>
      </c>
      <c r="F50" s="6">
        <v>0.17380000000000001</v>
      </c>
      <c r="G50" t="s">
        <v>374</v>
      </c>
      <c r="H50" t="s">
        <v>393</v>
      </c>
      <c r="I50">
        <v>93</v>
      </c>
      <c r="J50" t="str">
        <f>TRIM(_xlfn.TEXTBEFORE(Table2[[#This Row],[mem]],"/"))</f>
        <v>681MiB</v>
      </c>
      <c r="K50" t="str">
        <f t="shared" si="0"/>
        <v>681MiB</v>
      </c>
      <c r="L50">
        <f t="shared" si="1"/>
        <v>681</v>
      </c>
    </row>
    <row r="51" spans="1:12" x14ac:dyDescent="0.2">
      <c r="A51" t="s">
        <v>1</v>
      </c>
      <c r="B51">
        <v>1767073494</v>
      </c>
      <c r="C51" t="s">
        <v>340</v>
      </c>
      <c r="D51" s="6">
        <v>3.5000000000000001E-3</v>
      </c>
      <c r="E51" t="s">
        <v>24</v>
      </c>
      <c r="F51" s="6">
        <v>8.8200000000000001E-2</v>
      </c>
      <c r="G51" t="s">
        <v>394</v>
      </c>
      <c r="H51" t="s">
        <v>395</v>
      </c>
      <c r="I51">
        <v>66</v>
      </c>
      <c r="J51" t="str">
        <f>TRIM(_xlfn.TEXTBEFORE(Table2[[#This Row],[mem]],"/"))</f>
        <v>345.5MiB</v>
      </c>
      <c r="K51" t="str">
        <f t="shared" si="0"/>
        <v>345.5MiB</v>
      </c>
      <c r="L51">
        <f t="shared" si="1"/>
        <v>345.5</v>
      </c>
    </row>
    <row r="52" spans="1:12" x14ac:dyDescent="0.2">
      <c r="A52" t="s">
        <v>1</v>
      </c>
      <c r="B52">
        <v>1767073494</v>
      </c>
      <c r="C52" t="s">
        <v>343</v>
      </c>
      <c r="D52" s="6">
        <v>6.4000000000000003E-3</v>
      </c>
      <c r="E52" t="s">
        <v>25</v>
      </c>
      <c r="F52" s="6">
        <v>0.11650000000000001</v>
      </c>
      <c r="G52" t="s">
        <v>396</v>
      </c>
      <c r="H52" t="s">
        <v>397</v>
      </c>
      <c r="I52">
        <v>264</v>
      </c>
      <c r="J52" t="str">
        <f>TRIM(_xlfn.TEXTBEFORE(Table2[[#This Row],[mem]],"/"))</f>
        <v>456.6MiB</v>
      </c>
      <c r="K52" t="str">
        <f t="shared" si="0"/>
        <v>456.6MiB</v>
      </c>
      <c r="L52">
        <f t="shared" si="1"/>
        <v>456.6</v>
      </c>
    </row>
    <row r="53" spans="1:12" x14ac:dyDescent="0.2">
      <c r="A53" t="s">
        <v>1</v>
      </c>
      <c r="B53">
        <v>1767073494</v>
      </c>
      <c r="C53" t="s">
        <v>346</v>
      </c>
      <c r="D53" s="6">
        <v>1.1797</v>
      </c>
      <c r="E53" t="s">
        <v>26</v>
      </c>
      <c r="F53" s="6">
        <v>0.37180000000000002</v>
      </c>
      <c r="G53" t="s">
        <v>398</v>
      </c>
      <c r="H53" t="s">
        <v>399</v>
      </c>
      <c r="I53">
        <v>252</v>
      </c>
      <c r="J53" t="str">
        <f>TRIM(_xlfn.TEXTBEFORE(Table2[[#This Row],[mem]],"/"))</f>
        <v>1.423GiB</v>
      </c>
      <c r="K53" t="str">
        <f t="shared" si="0"/>
        <v>1.423GiB</v>
      </c>
      <c r="L53">
        <f t="shared" si="1"/>
        <v>1457.152</v>
      </c>
    </row>
    <row r="54" spans="1:12" x14ac:dyDescent="0.2">
      <c r="A54" t="s">
        <v>1</v>
      </c>
      <c r="B54">
        <v>1767073501</v>
      </c>
      <c r="C54" t="s">
        <v>337</v>
      </c>
      <c r="D54" s="6">
        <v>6.4999999999999997E-3</v>
      </c>
      <c r="E54" t="s">
        <v>27</v>
      </c>
      <c r="F54" s="6">
        <v>0.17399999999999999</v>
      </c>
      <c r="G54" t="s">
        <v>374</v>
      </c>
      <c r="H54" t="s">
        <v>393</v>
      </c>
      <c r="I54">
        <v>92</v>
      </c>
      <c r="J54" t="str">
        <f>TRIM(_xlfn.TEXTBEFORE(Table2[[#This Row],[mem]],"/"))</f>
        <v>682.1MiB</v>
      </c>
      <c r="K54" t="str">
        <f t="shared" si="0"/>
        <v>682.1MiB</v>
      </c>
      <c r="L54">
        <f t="shared" si="1"/>
        <v>682.1</v>
      </c>
    </row>
    <row r="55" spans="1:12" x14ac:dyDescent="0.2">
      <c r="A55" t="s">
        <v>1</v>
      </c>
      <c r="B55">
        <v>1767073501</v>
      </c>
      <c r="C55" t="s">
        <v>340</v>
      </c>
      <c r="D55" s="6">
        <v>7.1000000000000004E-3</v>
      </c>
      <c r="E55" t="s">
        <v>28</v>
      </c>
      <c r="F55" s="6">
        <v>8.6499999999999994E-2</v>
      </c>
      <c r="G55" t="s">
        <v>400</v>
      </c>
      <c r="H55" t="s">
        <v>401</v>
      </c>
      <c r="I55">
        <v>65</v>
      </c>
      <c r="J55" t="str">
        <f>TRIM(_xlfn.TEXTBEFORE(Table2[[#This Row],[mem]],"/"))</f>
        <v>338.9MiB</v>
      </c>
      <c r="K55" t="str">
        <f t="shared" si="0"/>
        <v>338.9MiB</v>
      </c>
      <c r="L55">
        <f t="shared" si="1"/>
        <v>338.9</v>
      </c>
    </row>
    <row r="56" spans="1:12" x14ac:dyDescent="0.2">
      <c r="A56" t="s">
        <v>1</v>
      </c>
      <c r="B56">
        <v>1767073501</v>
      </c>
      <c r="C56" t="s">
        <v>343</v>
      </c>
      <c r="D56" s="6">
        <v>1.26E-2</v>
      </c>
      <c r="E56" t="s">
        <v>29</v>
      </c>
      <c r="F56" s="6">
        <v>0.1143</v>
      </c>
      <c r="G56" t="s">
        <v>402</v>
      </c>
      <c r="H56" t="s">
        <v>403</v>
      </c>
      <c r="I56">
        <v>264</v>
      </c>
      <c r="J56" t="str">
        <f>TRIM(_xlfn.TEXTBEFORE(Table2[[#This Row],[mem]],"/"))</f>
        <v>447.9MiB</v>
      </c>
      <c r="K56" t="str">
        <f t="shared" si="0"/>
        <v>447.9MiB</v>
      </c>
      <c r="L56">
        <f t="shared" si="1"/>
        <v>447.9</v>
      </c>
    </row>
    <row r="57" spans="1:12" x14ac:dyDescent="0.2">
      <c r="A57" t="s">
        <v>1</v>
      </c>
      <c r="B57">
        <v>1767073501</v>
      </c>
      <c r="C57" t="s">
        <v>346</v>
      </c>
      <c r="D57" s="6">
        <v>1.2027000000000001</v>
      </c>
      <c r="E57" t="s">
        <v>30</v>
      </c>
      <c r="F57" s="6">
        <v>0.37080000000000002</v>
      </c>
      <c r="G57" t="s">
        <v>404</v>
      </c>
      <c r="H57" t="s">
        <v>405</v>
      </c>
      <c r="I57">
        <v>251</v>
      </c>
      <c r="J57" t="str">
        <f>TRIM(_xlfn.TEXTBEFORE(Table2[[#This Row],[mem]],"/"))</f>
        <v>1.419GiB</v>
      </c>
      <c r="K57" t="str">
        <f t="shared" si="0"/>
        <v>1.419GiB</v>
      </c>
      <c r="L57">
        <f t="shared" si="1"/>
        <v>1453.056</v>
      </c>
    </row>
    <row r="58" spans="1:12" x14ac:dyDescent="0.2">
      <c r="A58" t="s">
        <v>1</v>
      </c>
      <c r="B58">
        <v>1767073509</v>
      </c>
      <c r="C58" t="s">
        <v>337</v>
      </c>
      <c r="D58" s="6">
        <v>4.4299999999999999E-2</v>
      </c>
      <c r="E58" t="s">
        <v>31</v>
      </c>
      <c r="F58" s="6">
        <v>0.17760000000000001</v>
      </c>
      <c r="G58" t="s">
        <v>374</v>
      </c>
      <c r="H58" t="s">
        <v>406</v>
      </c>
      <c r="I58">
        <v>92</v>
      </c>
      <c r="J58" t="str">
        <f>TRIM(_xlfn.TEXTBEFORE(Table2[[#This Row],[mem]],"/"))</f>
        <v>696MiB</v>
      </c>
      <c r="K58" t="str">
        <f t="shared" si="0"/>
        <v>696MiB</v>
      </c>
      <c r="L58">
        <f t="shared" si="1"/>
        <v>696</v>
      </c>
    </row>
    <row r="59" spans="1:12" x14ac:dyDescent="0.2">
      <c r="A59" t="s">
        <v>1</v>
      </c>
      <c r="B59">
        <v>1767073509</v>
      </c>
      <c r="C59" t="s">
        <v>340</v>
      </c>
      <c r="D59" s="6">
        <v>1.1000000000000001E-3</v>
      </c>
      <c r="E59" t="s">
        <v>32</v>
      </c>
      <c r="F59" s="6">
        <v>8.2900000000000001E-2</v>
      </c>
      <c r="G59" t="s">
        <v>400</v>
      </c>
      <c r="H59" t="s">
        <v>407</v>
      </c>
      <c r="I59">
        <v>67</v>
      </c>
      <c r="J59" t="str">
        <f>TRIM(_xlfn.TEXTBEFORE(Table2[[#This Row],[mem]],"/"))</f>
        <v>325.1MiB</v>
      </c>
      <c r="K59" t="str">
        <f t="shared" si="0"/>
        <v>325.1MiB</v>
      </c>
      <c r="L59">
        <f t="shared" si="1"/>
        <v>325.10000000000002</v>
      </c>
    </row>
    <row r="60" spans="1:12" x14ac:dyDescent="0.2">
      <c r="A60" t="s">
        <v>1</v>
      </c>
      <c r="B60">
        <v>1767073509</v>
      </c>
      <c r="C60" t="s">
        <v>343</v>
      </c>
      <c r="D60" s="6">
        <v>1.32E-2</v>
      </c>
      <c r="E60" t="s">
        <v>33</v>
      </c>
      <c r="F60" s="6">
        <v>0.1142</v>
      </c>
      <c r="G60" t="s">
        <v>408</v>
      </c>
      <c r="H60" t="s">
        <v>403</v>
      </c>
      <c r="I60">
        <v>264</v>
      </c>
      <c r="J60" t="str">
        <f>TRIM(_xlfn.TEXTBEFORE(Table2[[#This Row],[mem]],"/"))</f>
        <v>447.7MiB</v>
      </c>
      <c r="K60" t="str">
        <f t="shared" si="0"/>
        <v>447.7MiB</v>
      </c>
      <c r="L60">
        <f t="shared" si="1"/>
        <v>447.7</v>
      </c>
    </row>
    <row r="61" spans="1:12" x14ac:dyDescent="0.2">
      <c r="A61" t="s">
        <v>1</v>
      </c>
      <c r="B61">
        <v>1767073509</v>
      </c>
      <c r="C61" t="s">
        <v>346</v>
      </c>
      <c r="D61" s="6">
        <v>1.7197</v>
      </c>
      <c r="E61" t="s">
        <v>34</v>
      </c>
      <c r="F61" s="6">
        <v>0.32819999999999999</v>
      </c>
      <c r="G61" t="s">
        <v>404</v>
      </c>
      <c r="H61" t="s">
        <v>409</v>
      </c>
      <c r="I61">
        <v>260</v>
      </c>
      <c r="J61" t="str">
        <f>TRIM(_xlfn.TEXTBEFORE(Table2[[#This Row],[mem]],"/"))</f>
        <v>1.256GiB</v>
      </c>
      <c r="K61" t="str">
        <f t="shared" si="0"/>
        <v>1.256GiB</v>
      </c>
      <c r="L61">
        <f t="shared" si="1"/>
        <v>1286.144</v>
      </c>
    </row>
    <row r="62" spans="1:12" x14ac:dyDescent="0.2">
      <c r="A62" t="s">
        <v>1</v>
      </c>
      <c r="B62">
        <v>1767073516</v>
      </c>
      <c r="C62" t="s">
        <v>337</v>
      </c>
      <c r="D62" s="6">
        <v>8.8000000000000005E-3</v>
      </c>
      <c r="E62" t="s">
        <v>35</v>
      </c>
      <c r="F62" s="6">
        <v>0.17780000000000001</v>
      </c>
      <c r="G62" t="s">
        <v>374</v>
      </c>
      <c r="H62" t="s">
        <v>410</v>
      </c>
      <c r="I62">
        <v>91</v>
      </c>
      <c r="J62" t="str">
        <f>TRIM(_xlfn.TEXTBEFORE(Table2[[#This Row],[mem]],"/"))</f>
        <v>696.7MiB</v>
      </c>
      <c r="K62" t="str">
        <f t="shared" si="0"/>
        <v>696.7MiB</v>
      </c>
      <c r="L62">
        <f t="shared" si="1"/>
        <v>696.7</v>
      </c>
    </row>
    <row r="63" spans="1:12" x14ac:dyDescent="0.2">
      <c r="A63" t="s">
        <v>1</v>
      </c>
      <c r="B63">
        <v>1767073516</v>
      </c>
      <c r="C63" t="s">
        <v>340</v>
      </c>
      <c r="D63" s="6">
        <v>6.9999999999999999E-4</v>
      </c>
      <c r="E63" t="s">
        <v>36</v>
      </c>
      <c r="F63" s="6">
        <v>8.48E-2</v>
      </c>
      <c r="G63" t="s">
        <v>411</v>
      </c>
      <c r="H63" t="s">
        <v>412</v>
      </c>
      <c r="I63">
        <v>68</v>
      </c>
      <c r="J63" t="str">
        <f>TRIM(_xlfn.TEXTBEFORE(Table2[[#This Row],[mem]],"/"))</f>
        <v>332.2MiB</v>
      </c>
      <c r="K63" t="str">
        <f t="shared" si="0"/>
        <v>332.2MiB</v>
      </c>
      <c r="L63">
        <f t="shared" si="1"/>
        <v>332.2</v>
      </c>
    </row>
    <row r="64" spans="1:12" x14ac:dyDescent="0.2">
      <c r="A64" t="s">
        <v>1</v>
      </c>
      <c r="B64">
        <v>1767073516</v>
      </c>
      <c r="C64" t="s">
        <v>343</v>
      </c>
      <c r="D64" s="6">
        <v>5.7000000000000002E-3</v>
      </c>
      <c r="E64" t="s">
        <v>37</v>
      </c>
      <c r="F64" s="6">
        <v>0.1143</v>
      </c>
      <c r="G64" t="s">
        <v>413</v>
      </c>
      <c r="H64" t="s">
        <v>403</v>
      </c>
      <c r="I64">
        <v>264</v>
      </c>
      <c r="J64" t="str">
        <f>TRIM(_xlfn.TEXTBEFORE(Table2[[#This Row],[mem]],"/"))</f>
        <v>448.1MiB</v>
      </c>
      <c r="K64" t="str">
        <f t="shared" si="0"/>
        <v>448.1MiB</v>
      </c>
      <c r="L64">
        <f t="shared" si="1"/>
        <v>448.1</v>
      </c>
    </row>
    <row r="65" spans="1:12" x14ac:dyDescent="0.2">
      <c r="A65" t="s">
        <v>1</v>
      </c>
      <c r="B65">
        <v>1767073516</v>
      </c>
      <c r="C65" t="s">
        <v>346</v>
      </c>
      <c r="D65" s="6">
        <v>1.0920000000000001</v>
      </c>
      <c r="E65" t="s">
        <v>38</v>
      </c>
      <c r="F65" s="6">
        <v>0.372</v>
      </c>
      <c r="G65" t="s">
        <v>414</v>
      </c>
      <c r="H65" t="s">
        <v>409</v>
      </c>
      <c r="I65">
        <v>260</v>
      </c>
      <c r="J65" t="str">
        <f>TRIM(_xlfn.TEXTBEFORE(Table2[[#This Row],[mem]],"/"))</f>
        <v>1.424GiB</v>
      </c>
      <c r="K65" t="str">
        <f t="shared" si="0"/>
        <v>1.424GiB</v>
      </c>
      <c r="L65">
        <f t="shared" si="1"/>
        <v>1458.1759999999999</v>
      </c>
    </row>
    <row r="66" spans="1:12" x14ac:dyDescent="0.2">
      <c r="A66" t="s">
        <v>1</v>
      </c>
      <c r="B66">
        <v>1767073523</v>
      </c>
      <c r="C66" t="s">
        <v>337</v>
      </c>
      <c r="D66" s="6">
        <v>1.2800000000000001E-2</v>
      </c>
      <c r="E66" t="s">
        <v>39</v>
      </c>
      <c r="F66" s="6">
        <v>0.17630000000000001</v>
      </c>
      <c r="G66" t="s">
        <v>415</v>
      </c>
      <c r="H66" t="s">
        <v>416</v>
      </c>
      <c r="I66">
        <v>91</v>
      </c>
      <c r="J66" t="str">
        <f>TRIM(_xlfn.TEXTBEFORE(Table2[[#This Row],[mem]],"/"))</f>
        <v>691MiB</v>
      </c>
      <c r="K66" t="str">
        <f t="shared" ref="K66:K129" si="2">TRIM(_xlfn.TEXTBEFORE(E66,"/"))</f>
        <v>691MiB</v>
      </c>
      <c r="L66">
        <f t="shared" ref="L66:L129" si="3">_xlfn.LET(_xlpm.x,K66,_xlpm.v,VALUE(LEFT(_xlpm.x,LEN(_xlpm.x)-3)),_xlpm.u,RIGHT(_xlpm.x,3),IF(_xlpm.u="GiB",_xlpm.v*1024,_xlpm.v))</f>
        <v>691</v>
      </c>
    </row>
    <row r="67" spans="1:12" x14ac:dyDescent="0.2">
      <c r="A67" t="s">
        <v>1</v>
      </c>
      <c r="B67">
        <v>1767073523</v>
      </c>
      <c r="C67" t="s">
        <v>340</v>
      </c>
      <c r="D67" s="6">
        <v>1.5E-3</v>
      </c>
      <c r="E67" t="s">
        <v>40</v>
      </c>
      <c r="F67" s="6">
        <v>8.1299999999999997E-2</v>
      </c>
      <c r="G67" t="s">
        <v>417</v>
      </c>
      <c r="H67" t="s">
        <v>418</v>
      </c>
      <c r="I67">
        <v>68</v>
      </c>
      <c r="J67" t="str">
        <f>TRIM(_xlfn.TEXTBEFORE(Table2[[#This Row],[mem]],"/"))</f>
        <v>318.5MiB</v>
      </c>
      <c r="K67" t="str">
        <f t="shared" si="2"/>
        <v>318.5MiB</v>
      </c>
      <c r="L67">
        <f t="shared" si="3"/>
        <v>318.5</v>
      </c>
    </row>
    <row r="68" spans="1:12" x14ac:dyDescent="0.2">
      <c r="A68" t="s">
        <v>1</v>
      </c>
      <c r="B68">
        <v>1767073523</v>
      </c>
      <c r="C68" t="s">
        <v>343</v>
      </c>
      <c r="D68" s="6">
        <v>8.6E-3</v>
      </c>
      <c r="E68" t="s">
        <v>41</v>
      </c>
      <c r="F68" s="6">
        <v>0.11219999999999999</v>
      </c>
      <c r="G68" t="s">
        <v>419</v>
      </c>
      <c r="H68" t="s">
        <v>420</v>
      </c>
      <c r="I68">
        <v>264</v>
      </c>
      <c r="J68" t="str">
        <f>TRIM(_xlfn.TEXTBEFORE(Table2[[#This Row],[mem]],"/"))</f>
        <v>440MiB</v>
      </c>
      <c r="K68" t="str">
        <f t="shared" si="2"/>
        <v>440MiB</v>
      </c>
      <c r="L68">
        <f t="shared" si="3"/>
        <v>440</v>
      </c>
    </row>
    <row r="69" spans="1:12" x14ac:dyDescent="0.2">
      <c r="A69" t="s">
        <v>1</v>
      </c>
      <c r="B69">
        <v>1767073523</v>
      </c>
      <c r="C69" t="s">
        <v>346</v>
      </c>
      <c r="D69" s="6">
        <v>1.1471</v>
      </c>
      <c r="E69" t="s">
        <v>42</v>
      </c>
      <c r="F69" s="6">
        <v>0.37109999999999999</v>
      </c>
      <c r="G69" t="s">
        <v>421</v>
      </c>
      <c r="H69" t="s">
        <v>422</v>
      </c>
      <c r="I69">
        <v>255</v>
      </c>
      <c r="J69" t="str">
        <f>TRIM(_xlfn.TEXTBEFORE(Table2[[#This Row],[mem]],"/"))</f>
        <v>1.42GiB</v>
      </c>
      <c r="K69" t="str">
        <f t="shared" si="2"/>
        <v>1.42GiB</v>
      </c>
      <c r="L69">
        <f t="shared" si="3"/>
        <v>1454.08</v>
      </c>
    </row>
    <row r="70" spans="1:12" x14ac:dyDescent="0.2">
      <c r="A70" t="s">
        <v>1</v>
      </c>
      <c r="B70">
        <v>1767073530</v>
      </c>
      <c r="C70" t="s">
        <v>337</v>
      </c>
      <c r="D70" s="6">
        <v>5.7599999999999998E-2</v>
      </c>
      <c r="E70" t="s">
        <v>43</v>
      </c>
      <c r="F70" s="6">
        <v>0.17430000000000001</v>
      </c>
      <c r="G70" t="s">
        <v>415</v>
      </c>
      <c r="H70" t="s">
        <v>423</v>
      </c>
      <c r="I70">
        <v>89</v>
      </c>
      <c r="J70" t="str">
        <f>TRIM(_xlfn.TEXTBEFORE(Table2[[#This Row],[mem]],"/"))</f>
        <v>683.2MiB</v>
      </c>
      <c r="K70" t="str">
        <f t="shared" si="2"/>
        <v>683.2MiB</v>
      </c>
      <c r="L70">
        <f t="shared" si="3"/>
        <v>683.2</v>
      </c>
    </row>
    <row r="71" spans="1:12" x14ac:dyDescent="0.2">
      <c r="A71" t="s">
        <v>1</v>
      </c>
      <c r="B71">
        <v>1767073530</v>
      </c>
      <c r="C71" t="s">
        <v>340</v>
      </c>
      <c r="D71" s="6">
        <v>1.15E-2</v>
      </c>
      <c r="E71" t="s">
        <v>44</v>
      </c>
      <c r="F71" s="6">
        <v>7.4800000000000005E-2</v>
      </c>
      <c r="G71" t="s">
        <v>424</v>
      </c>
      <c r="H71" t="s">
        <v>425</v>
      </c>
      <c r="I71">
        <v>66</v>
      </c>
      <c r="J71" t="str">
        <f>TRIM(_xlfn.TEXTBEFORE(Table2[[#This Row],[mem]],"/"))</f>
        <v>293.1MiB</v>
      </c>
      <c r="K71" t="str">
        <f t="shared" si="2"/>
        <v>293.1MiB</v>
      </c>
      <c r="L71">
        <f t="shared" si="3"/>
        <v>293.10000000000002</v>
      </c>
    </row>
    <row r="72" spans="1:12" x14ac:dyDescent="0.2">
      <c r="A72" t="s">
        <v>1</v>
      </c>
      <c r="B72">
        <v>1767073530</v>
      </c>
      <c r="C72" t="s">
        <v>343</v>
      </c>
      <c r="D72" s="6">
        <v>8.6999999999999994E-3</v>
      </c>
      <c r="E72" t="s">
        <v>45</v>
      </c>
      <c r="F72" s="6">
        <v>0.1103</v>
      </c>
      <c r="G72" t="s">
        <v>426</v>
      </c>
      <c r="H72" t="s">
        <v>427</v>
      </c>
      <c r="I72">
        <v>264</v>
      </c>
      <c r="J72" t="str">
        <f>TRIM(_xlfn.TEXTBEFORE(Table2[[#This Row],[mem]],"/"))</f>
        <v>432.1MiB</v>
      </c>
      <c r="K72" t="str">
        <f t="shared" si="2"/>
        <v>432.1MiB</v>
      </c>
      <c r="L72">
        <f t="shared" si="3"/>
        <v>432.1</v>
      </c>
    </row>
    <row r="73" spans="1:12" x14ac:dyDescent="0.2">
      <c r="A73" t="s">
        <v>1</v>
      </c>
      <c r="B73">
        <v>1767073530</v>
      </c>
      <c r="C73" t="s">
        <v>346</v>
      </c>
      <c r="D73" s="6">
        <v>1.3075000000000001</v>
      </c>
      <c r="E73" t="s">
        <v>46</v>
      </c>
      <c r="F73" s="6">
        <v>0.36409999999999998</v>
      </c>
      <c r="G73" t="s">
        <v>428</v>
      </c>
      <c r="H73" t="s">
        <v>429</v>
      </c>
      <c r="I73">
        <v>253</v>
      </c>
      <c r="J73" t="str">
        <f>TRIM(_xlfn.TEXTBEFORE(Table2[[#This Row],[mem]],"/"))</f>
        <v>1.394GiB</v>
      </c>
      <c r="K73" t="str">
        <f t="shared" si="2"/>
        <v>1.394GiB</v>
      </c>
      <c r="L73">
        <f t="shared" si="3"/>
        <v>1427.4559999999999</v>
      </c>
    </row>
    <row r="74" spans="1:12" x14ac:dyDescent="0.2">
      <c r="A74" t="s">
        <v>1</v>
      </c>
      <c r="B74">
        <v>1767073538</v>
      </c>
      <c r="C74" t="s">
        <v>337</v>
      </c>
      <c r="D74" s="6">
        <v>2.12E-2</v>
      </c>
      <c r="E74" t="s">
        <v>47</v>
      </c>
      <c r="F74" s="6">
        <v>0.17480000000000001</v>
      </c>
      <c r="G74" t="s">
        <v>415</v>
      </c>
      <c r="H74" t="s">
        <v>423</v>
      </c>
      <c r="I74">
        <v>89</v>
      </c>
      <c r="J74" t="str">
        <f>TRIM(_xlfn.TEXTBEFORE(Table2[[#This Row],[mem]],"/"))</f>
        <v>685.2MiB</v>
      </c>
      <c r="K74" t="str">
        <f t="shared" si="2"/>
        <v>685.2MiB</v>
      </c>
      <c r="L74">
        <f t="shared" si="3"/>
        <v>685.2</v>
      </c>
    </row>
    <row r="75" spans="1:12" x14ac:dyDescent="0.2">
      <c r="A75" t="s">
        <v>1</v>
      </c>
      <c r="B75">
        <v>1767073538</v>
      </c>
      <c r="C75" t="s">
        <v>340</v>
      </c>
      <c r="D75" s="6">
        <v>3.4799999999999998E-2</v>
      </c>
      <c r="E75" t="s">
        <v>48</v>
      </c>
      <c r="F75" s="6">
        <v>7.5399999999999995E-2</v>
      </c>
      <c r="G75" t="s">
        <v>430</v>
      </c>
      <c r="H75" t="s">
        <v>431</v>
      </c>
      <c r="I75">
        <v>68</v>
      </c>
      <c r="J75" t="str">
        <f>TRIM(_xlfn.TEXTBEFORE(Table2[[#This Row],[mem]],"/"))</f>
        <v>295.6MiB</v>
      </c>
      <c r="K75" t="str">
        <f t="shared" si="2"/>
        <v>295.6MiB</v>
      </c>
      <c r="L75">
        <f t="shared" si="3"/>
        <v>295.60000000000002</v>
      </c>
    </row>
    <row r="76" spans="1:12" x14ac:dyDescent="0.2">
      <c r="A76" t="s">
        <v>1</v>
      </c>
      <c r="B76">
        <v>1767073538</v>
      </c>
      <c r="C76" t="s">
        <v>343</v>
      </c>
      <c r="D76" s="6">
        <v>9.1000000000000004E-3</v>
      </c>
      <c r="E76" t="s">
        <v>49</v>
      </c>
      <c r="F76" s="6">
        <v>0.1104</v>
      </c>
      <c r="G76" t="s">
        <v>432</v>
      </c>
      <c r="H76" t="s">
        <v>433</v>
      </c>
      <c r="I76">
        <v>264</v>
      </c>
      <c r="J76" t="str">
        <f>TRIM(_xlfn.TEXTBEFORE(Table2[[#This Row],[mem]],"/"))</f>
        <v>432.8MiB</v>
      </c>
      <c r="K76" t="str">
        <f t="shared" si="2"/>
        <v>432.8MiB</v>
      </c>
      <c r="L76">
        <f t="shared" si="3"/>
        <v>432.8</v>
      </c>
    </row>
    <row r="77" spans="1:12" x14ac:dyDescent="0.2">
      <c r="A77" t="s">
        <v>1</v>
      </c>
      <c r="B77">
        <v>1767073538</v>
      </c>
      <c r="C77" t="s">
        <v>346</v>
      </c>
      <c r="D77" s="6">
        <v>1.9016</v>
      </c>
      <c r="E77" t="s">
        <v>50</v>
      </c>
      <c r="F77" s="6">
        <v>0.33700000000000002</v>
      </c>
      <c r="G77" t="s">
        <v>434</v>
      </c>
      <c r="H77" t="s">
        <v>435</v>
      </c>
      <c r="I77">
        <v>266</v>
      </c>
      <c r="J77" t="str">
        <f>TRIM(_xlfn.TEXTBEFORE(Table2[[#This Row],[mem]],"/"))</f>
        <v>1.29GiB</v>
      </c>
      <c r="K77" t="str">
        <f t="shared" si="2"/>
        <v>1.29GiB</v>
      </c>
      <c r="L77">
        <f t="shared" si="3"/>
        <v>1320.96</v>
      </c>
    </row>
    <row r="78" spans="1:12" x14ac:dyDescent="0.2">
      <c r="A78" t="s">
        <v>1</v>
      </c>
      <c r="B78">
        <v>1767073545</v>
      </c>
      <c r="C78" t="s">
        <v>337</v>
      </c>
      <c r="D78" s="6">
        <v>8.7300000000000003E-2</v>
      </c>
      <c r="E78" t="s">
        <v>51</v>
      </c>
      <c r="F78" s="6">
        <v>0.17580000000000001</v>
      </c>
      <c r="G78" t="s">
        <v>415</v>
      </c>
      <c r="H78" t="s">
        <v>436</v>
      </c>
      <c r="I78">
        <v>89</v>
      </c>
      <c r="J78" t="str">
        <f>TRIM(_xlfn.TEXTBEFORE(Table2[[#This Row],[mem]],"/"))</f>
        <v>689MiB</v>
      </c>
      <c r="K78" t="str">
        <f t="shared" si="2"/>
        <v>689MiB</v>
      </c>
      <c r="L78">
        <f t="shared" si="3"/>
        <v>689</v>
      </c>
    </row>
    <row r="79" spans="1:12" x14ac:dyDescent="0.2">
      <c r="A79" t="s">
        <v>1</v>
      </c>
      <c r="B79">
        <v>1767073545</v>
      </c>
      <c r="C79" t="s">
        <v>340</v>
      </c>
      <c r="D79" s="6">
        <v>1.8599999999999998E-2</v>
      </c>
      <c r="E79" t="s">
        <v>52</v>
      </c>
      <c r="F79" s="6">
        <v>7.6300000000000007E-2</v>
      </c>
      <c r="G79" t="s">
        <v>437</v>
      </c>
      <c r="H79" t="s">
        <v>438</v>
      </c>
      <c r="I79">
        <v>65</v>
      </c>
      <c r="J79" t="str">
        <f>TRIM(_xlfn.TEXTBEFORE(Table2[[#This Row],[mem]],"/"))</f>
        <v>298.9MiB</v>
      </c>
      <c r="K79" t="str">
        <f t="shared" si="2"/>
        <v>298.9MiB</v>
      </c>
      <c r="L79">
        <f t="shared" si="3"/>
        <v>298.89999999999998</v>
      </c>
    </row>
    <row r="80" spans="1:12" x14ac:dyDescent="0.2">
      <c r="A80" t="s">
        <v>1</v>
      </c>
      <c r="B80">
        <v>1767073545</v>
      </c>
      <c r="C80" t="s">
        <v>343</v>
      </c>
      <c r="D80" s="6">
        <v>1.21E-2</v>
      </c>
      <c r="E80" t="s">
        <v>53</v>
      </c>
      <c r="F80" s="6">
        <v>0.11070000000000001</v>
      </c>
      <c r="G80" t="s">
        <v>439</v>
      </c>
      <c r="H80" t="s">
        <v>440</v>
      </c>
      <c r="I80">
        <v>264</v>
      </c>
      <c r="J80" t="str">
        <f>TRIM(_xlfn.TEXTBEFORE(Table2[[#This Row],[mem]],"/"))</f>
        <v>433.8MiB</v>
      </c>
      <c r="K80" t="str">
        <f t="shared" si="2"/>
        <v>433.8MiB</v>
      </c>
      <c r="L80">
        <f t="shared" si="3"/>
        <v>433.8</v>
      </c>
    </row>
    <row r="81" spans="1:12" x14ac:dyDescent="0.2">
      <c r="A81" t="s">
        <v>1</v>
      </c>
      <c r="B81">
        <v>1767073545</v>
      </c>
      <c r="C81" t="s">
        <v>346</v>
      </c>
      <c r="D81" s="6">
        <v>0.14149999999999999</v>
      </c>
      <c r="E81" t="s">
        <v>54</v>
      </c>
      <c r="F81" s="6">
        <v>0.26279999999999998</v>
      </c>
      <c r="G81" t="s">
        <v>441</v>
      </c>
      <c r="H81" t="s">
        <v>442</v>
      </c>
      <c r="I81">
        <v>214</v>
      </c>
      <c r="J81" t="str">
        <f>TRIM(_xlfn.TEXTBEFORE(Table2[[#This Row],[mem]],"/"))</f>
        <v>1.006GiB</v>
      </c>
      <c r="K81" t="str">
        <f t="shared" si="2"/>
        <v>1.006GiB</v>
      </c>
      <c r="L81">
        <f t="shared" si="3"/>
        <v>1030.144</v>
      </c>
    </row>
    <row r="82" spans="1:12" x14ac:dyDescent="0.2">
      <c r="A82" t="s">
        <v>1</v>
      </c>
      <c r="B82">
        <v>1767073553</v>
      </c>
      <c r="C82" t="s">
        <v>337</v>
      </c>
      <c r="D82" s="6">
        <v>4.4400000000000002E-2</v>
      </c>
      <c r="E82" t="s">
        <v>55</v>
      </c>
      <c r="F82" s="6">
        <v>0.18140000000000001</v>
      </c>
      <c r="G82" t="s">
        <v>415</v>
      </c>
      <c r="H82" t="s">
        <v>443</v>
      </c>
      <c r="I82">
        <v>97</v>
      </c>
      <c r="J82" t="str">
        <f>TRIM(_xlfn.TEXTBEFORE(Table2[[#This Row],[mem]],"/"))</f>
        <v>711MiB</v>
      </c>
      <c r="K82" t="str">
        <f t="shared" si="2"/>
        <v>711MiB</v>
      </c>
      <c r="L82">
        <f t="shared" si="3"/>
        <v>711</v>
      </c>
    </row>
    <row r="83" spans="1:12" x14ac:dyDescent="0.2">
      <c r="A83" t="s">
        <v>1</v>
      </c>
      <c r="B83">
        <v>1767073553</v>
      </c>
      <c r="C83" t="s">
        <v>340</v>
      </c>
      <c r="D83" s="6">
        <v>2.2499999999999999E-2</v>
      </c>
      <c r="E83" t="s">
        <v>56</v>
      </c>
      <c r="F83" s="6">
        <v>7.7700000000000005E-2</v>
      </c>
      <c r="G83" t="s">
        <v>437</v>
      </c>
      <c r="H83" t="s">
        <v>444</v>
      </c>
      <c r="I83">
        <v>66</v>
      </c>
      <c r="J83" t="str">
        <f>TRIM(_xlfn.TEXTBEFORE(Table2[[#This Row],[mem]],"/"))</f>
        <v>304.7MiB</v>
      </c>
      <c r="K83" t="str">
        <f t="shared" si="2"/>
        <v>304.7MiB</v>
      </c>
      <c r="L83">
        <f t="shared" si="3"/>
        <v>304.7</v>
      </c>
    </row>
    <row r="84" spans="1:12" x14ac:dyDescent="0.2">
      <c r="A84" t="s">
        <v>1</v>
      </c>
      <c r="B84">
        <v>1767073553</v>
      </c>
      <c r="C84" t="s">
        <v>343</v>
      </c>
      <c r="D84" s="6">
        <v>1.8700000000000001E-2</v>
      </c>
      <c r="E84" t="s">
        <v>57</v>
      </c>
      <c r="F84" s="6">
        <v>0.1133</v>
      </c>
      <c r="G84" t="s">
        <v>445</v>
      </c>
      <c r="H84" t="s">
        <v>446</v>
      </c>
      <c r="I84">
        <v>270</v>
      </c>
      <c r="J84" t="str">
        <f>TRIM(_xlfn.TEXTBEFORE(Table2[[#This Row],[mem]],"/"))</f>
        <v>443.9MiB</v>
      </c>
      <c r="K84" t="str">
        <f t="shared" si="2"/>
        <v>443.9MiB</v>
      </c>
      <c r="L84">
        <f t="shared" si="3"/>
        <v>443.9</v>
      </c>
    </row>
    <row r="85" spans="1:12" x14ac:dyDescent="0.2">
      <c r="A85" t="s">
        <v>1</v>
      </c>
      <c r="B85">
        <v>1767073553</v>
      </c>
      <c r="C85" t="s">
        <v>346</v>
      </c>
      <c r="D85" s="6">
        <v>2.1019999999999999</v>
      </c>
      <c r="E85" t="s">
        <v>58</v>
      </c>
      <c r="F85" s="6">
        <v>0.23519999999999999</v>
      </c>
      <c r="G85" t="s">
        <v>441</v>
      </c>
      <c r="H85" t="s">
        <v>447</v>
      </c>
      <c r="I85">
        <v>164</v>
      </c>
      <c r="J85" t="str">
        <f>TRIM(_xlfn.TEXTBEFORE(Table2[[#This Row],[mem]],"/"))</f>
        <v>921.8MiB</v>
      </c>
      <c r="K85" t="str">
        <f t="shared" si="2"/>
        <v>921.8MiB</v>
      </c>
      <c r="L85">
        <f t="shared" si="3"/>
        <v>921.8</v>
      </c>
    </row>
    <row r="86" spans="1:12" x14ac:dyDescent="0.2">
      <c r="A86" t="s">
        <v>1</v>
      </c>
      <c r="B86">
        <v>1767073560</v>
      </c>
      <c r="C86" t="s">
        <v>337</v>
      </c>
      <c r="D86" s="6">
        <v>3.0800000000000001E-2</v>
      </c>
      <c r="E86" t="s">
        <v>59</v>
      </c>
      <c r="F86" s="6">
        <v>0.1822</v>
      </c>
      <c r="G86" t="s">
        <v>415</v>
      </c>
      <c r="H86" t="s">
        <v>448</v>
      </c>
      <c r="I86">
        <v>94</v>
      </c>
      <c r="J86" t="str">
        <f>TRIM(_xlfn.TEXTBEFORE(Table2[[#This Row],[mem]],"/"))</f>
        <v>714.1MiB</v>
      </c>
      <c r="K86" t="str">
        <f t="shared" si="2"/>
        <v>714.1MiB</v>
      </c>
      <c r="L86">
        <f t="shared" si="3"/>
        <v>714.1</v>
      </c>
    </row>
    <row r="87" spans="1:12" x14ac:dyDescent="0.2">
      <c r="A87" t="s">
        <v>1</v>
      </c>
      <c r="B87">
        <v>1767073560</v>
      </c>
      <c r="C87" t="s">
        <v>340</v>
      </c>
      <c r="D87" s="6">
        <v>5.4999999999999997E-3</v>
      </c>
      <c r="E87" t="s">
        <v>60</v>
      </c>
      <c r="F87" s="6">
        <v>7.8600000000000003E-2</v>
      </c>
      <c r="G87" t="s">
        <v>437</v>
      </c>
      <c r="H87" t="s">
        <v>444</v>
      </c>
      <c r="I87">
        <v>65</v>
      </c>
      <c r="J87" t="str">
        <f>TRIM(_xlfn.TEXTBEFORE(Table2[[#This Row],[mem]],"/"))</f>
        <v>308.1MiB</v>
      </c>
      <c r="K87" t="str">
        <f t="shared" si="2"/>
        <v>308.1MiB</v>
      </c>
      <c r="L87">
        <f t="shared" si="3"/>
        <v>308.10000000000002</v>
      </c>
    </row>
    <row r="88" spans="1:12" x14ac:dyDescent="0.2">
      <c r="A88" t="s">
        <v>1</v>
      </c>
      <c r="B88">
        <v>1767073560</v>
      </c>
      <c r="C88" t="s">
        <v>343</v>
      </c>
      <c r="D88" s="6">
        <v>1.29E-2</v>
      </c>
      <c r="E88" t="s">
        <v>61</v>
      </c>
      <c r="F88" s="6">
        <v>0.1138</v>
      </c>
      <c r="G88" t="s">
        <v>449</v>
      </c>
      <c r="H88" t="s">
        <v>450</v>
      </c>
      <c r="I88">
        <v>268</v>
      </c>
      <c r="J88" t="str">
        <f>TRIM(_xlfn.TEXTBEFORE(Table2[[#This Row],[mem]],"/"))</f>
        <v>446MiB</v>
      </c>
      <c r="K88" t="str">
        <f t="shared" si="2"/>
        <v>446MiB</v>
      </c>
      <c r="L88">
        <f t="shared" si="3"/>
        <v>446</v>
      </c>
    </row>
    <row r="89" spans="1:12" x14ac:dyDescent="0.2">
      <c r="A89" t="s">
        <v>1</v>
      </c>
      <c r="B89">
        <v>1767073560</v>
      </c>
      <c r="C89" t="s">
        <v>346</v>
      </c>
      <c r="D89" s="6">
        <v>1.8748</v>
      </c>
      <c r="E89" t="s">
        <v>62</v>
      </c>
      <c r="F89" s="6">
        <v>0.30259999999999998</v>
      </c>
      <c r="G89" t="s">
        <v>441</v>
      </c>
      <c r="H89" t="s">
        <v>451</v>
      </c>
      <c r="I89">
        <v>249</v>
      </c>
      <c r="J89" t="str">
        <f>TRIM(_xlfn.TEXTBEFORE(Table2[[#This Row],[mem]],"/"))</f>
        <v>1.158GiB</v>
      </c>
      <c r="K89" t="str">
        <f t="shared" si="2"/>
        <v>1.158GiB</v>
      </c>
      <c r="L89">
        <f t="shared" si="3"/>
        <v>1185.7919999999999</v>
      </c>
    </row>
    <row r="90" spans="1:12" x14ac:dyDescent="0.2">
      <c r="A90" t="s">
        <v>1</v>
      </c>
      <c r="B90">
        <v>1767073568</v>
      </c>
      <c r="C90" t="s">
        <v>337</v>
      </c>
      <c r="D90" s="6">
        <v>3.7499999999999999E-2</v>
      </c>
      <c r="E90" t="s">
        <v>63</v>
      </c>
      <c r="F90" s="6">
        <v>0.1827</v>
      </c>
      <c r="G90" t="s">
        <v>452</v>
      </c>
      <c r="H90" t="s">
        <v>453</v>
      </c>
      <c r="I90">
        <v>91</v>
      </c>
      <c r="J90" t="str">
        <f>TRIM(_xlfn.TEXTBEFORE(Table2[[#This Row],[mem]],"/"))</f>
        <v>715.9MiB</v>
      </c>
      <c r="K90" t="str">
        <f t="shared" si="2"/>
        <v>715.9MiB</v>
      </c>
      <c r="L90">
        <f t="shared" si="3"/>
        <v>715.9</v>
      </c>
    </row>
    <row r="91" spans="1:12" x14ac:dyDescent="0.2">
      <c r="A91" t="s">
        <v>1</v>
      </c>
      <c r="B91">
        <v>1767073568</v>
      </c>
      <c r="C91" t="s">
        <v>340</v>
      </c>
      <c r="D91" s="6">
        <v>4.4000000000000003E-3</v>
      </c>
      <c r="E91" t="s">
        <v>64</v>
      </c>
      <c r="F91" s="6">
        <v>7.9100000000000004E-2</v>
      </c>
      <c r="G91" t="s">
        <v>454</v>
      </c>
      <c r="H91" t="s">
        <v>444</v>
      </c>
      <c r="I91">
        <v>67</v>
      </c>
      <c r="J91" t="str">
        <f>TRIM(_xlfn.TEXTBEFORE(Table2[[#This Row],[mem]],"/"))</f>
        <v>310.1MiB</v>
      </c>
      <c r="K91" t="str">
        <f t="shared" si="2"/>
        <v>310.1MiB</v>
      </c>
      <c r="L91">
        <f t="shared" si="3"/>
        <v>310.10000000000002</v>
      </c>
    </row>
    <row r="92" spans="1:12" x14ac:dyDescent="0.2">
      <c r="A92" t="s">
        <v>1</v>
      </c>
      <c r="B92">
        <v>1767073568</v>
      </c>
      <c r="C92" t="s">
        <v>343</v>
      </c>
      <c r="D92" s="6">
        <v>4.7E-2</v>
      </c>
      <c r="E92" t="s">
        <v>65</v>
      </c>
      <c r="F92" s="6">
        <v>0.114</v>
      </c>
      <c r="G92" t="s">
        <v>455</v>
      </c>
      <c r="H92" t="s">
        <v>450</v>
      </c>
      <c r="I92">
        <v>266</v>
      </c>
      <c r="J92" t="str">
        <f>TRIM(_xlfn.TEXTBEFORE(Table2[[#This Row],[mem]],"/"))</f>
        <v>446.7MiB</v>
      </c>
      <c r="K92" t="str">
        <f t="shared" si="2"/>
        <v>446.7MiB</v>
      </c>
      <c r="L92">
        <f t="shared" si="3"/>
        <v>446.7</v>
      </c>
    </row>
    <row r="93" spans="1:12" x14ac:dyDescent="0.2">
      <c r="A93" t="s">
        <v>1</v>
      </c>
      <c r="B93">
        <v>1767073568</v>
      </c>
      <c r="C93" t="s">
        <v>346</v>
      </c>
      <c r="D93" s="6">
        <v>0.17960000000000001</v>
      </c>
      <c r="E93" t="s">
        <v>66</v>
      </c>
      <c r="F93" s="6">
        <v>0.26019999999999999</v>
      </c>
      <c r="G93" t="s">
        <v>456</v>
      </c>
      <c r="H93" t="s">
        <v>451</v>
      </c>
      <c r="I93">
        <v>222</v>
      </c>
      <c r="J93" t="str">
        <f>TRIM(_xlfn.TEXTBEFORE(Table2[[#This Row],[mem]],"/"))</f>
        <v>1020MiB</v>
      </c>
      <c r="K93" t="str">
        <f t="shared" si="2"/>
        <v>1020MiB</v>
      </c>
      <c r="L93">
        <f t="shared" si="3"/>
        <v>1020</v>
      </c>
    </row>
    <row r="94" spans="1:12" x14ac:dyDescent="0.2">
      <c r="A94" t="s">
        <v>1</v>
      </c>
      <c r="B94">
        <v>1767073575</v>
      </c>
      <c r="C94" t="s">
        <v>337</v>
      </c>
      <c r="D94" s="6">
        <v>4.87E-2</v>
      </c>
      <c r="E94" t="s">
        <v>67</v>
      </c>
      <c r="F94" s="6">
        <v>0.18340000000000001</v>
      </c>
      <c r="G94" t="s">
        <v>452</v>
      </c>
      <c r="H94" t="s">
        <v>453</v>
      </c>
      <c r="I94">
        <v>91</v>
      </c>
      <c r="J94" t="str">
        <f>TRIM(_xlfn.TEXTBEFORE(Table2[[#This Row],[mem]],"/"))</f>
        <v>718.9MiB</v>
      </c>
      <c r="K94" t="str">
        <f t="shared" si="2"/>
        <v>718.9MiB</v>
      </c>
      <c r="L94">
        <f t="shared" si="3"/>
        <v>718.9</v>
      </c>
    </row>
    <row r="95" spans="1:12" x14ac:dyDescent="0.2">
      <c r="A95" t="s">
        <v>1</v>
      </c>
      <c r="B95">
        <v>1767073575</v>
      </c>
      <c r="C95" t="s">
        <v>340</v>
      </c>
      <c r="D95" s="6">
        <v>9.6199999999999994E-2</v>
      </c>
      <c r="E95" t="s">
        <v>68</v>
      </c>
      <c r="F95" s="6">
        <v>7.9699999999999993E-2</v>
      </c>
      <c r="G95" t="s">
        <v>454</v>
      </c>
      <c r="H95" t="s">
        <v>444</v>
      </c>
      <c r="I95">
        <v>66</v>
      </c>
      <c r="J95" t="str">
        <f>TRIM(_xlfn.TEXTBEFORE(Table2[[#This Row],[mem]],"/"))</f>
        <v>312.2MiB</v>
      </c>
      <c r="K95" t="str">
        <f t="shared" si="2"/>
        <v>312.2MiB</v>
      </c>
      <c r="L95">
        <f t="shared" si="3"/>
        <v>312.2</v>
      </c>
    </row>
    <row r="96" spans="1:12" x14ac:dyDescent="0.2">
      <c r="A96" t="s">
        <v>1</v>
      </c>
      <c r="B96">
        <v>1767073575</v>
      </c>
      <c r="C96" t="s">
        <v>343</v>
      </c>
      <c r="D96" s="6">
        <v>2.7400000000000001E-2</v>
      </c>
      <c r="E96" t="s">
        <v>69</v>
      </c>
      <c r="F96" s="6">
        <v>0.11409999999999999</v>
      </c>
      <c r="G96" t="s">
        <v>457</v>
      </c>
      <c r="H96" t="s">
        <v>458</v>
      </c>
      <c r="I96">
        <v>266</v>
      </c>
      <c r="J96" t="str">
        <f>TRIM(_xlfn.TEXTBEFORE(Table2[[#This Row],[mem]],"/"))</f>
        <v>447MiB</v>
      </c>
      <c r="K96" t="str">
        <f t="shared" si="2"/>
        <v>447MiB</v>
      </c>
      <c r="L96">
        <f t="shared" si="3"/>
        <v>447</v>
      </c>
    </row>
    <row r="97" spans="1:12" x14ac:dyDescent="0.2">
      <c r="A97" t="s">
        <v>1</v>
      </c>
      <c r="B97">
        <v>1767073575</v>
      </c>
      <c r="C97" t="s">
        <v>346</v>
      </c>
      <c r="D97" s="6">
        <v>0.45679999999999998</v>
      </c>
      <c r="E97" t="s">
        <v>70</v>
      </c>
      <c r="F97" s="6">
        <v>0.26479999999999998</v>
      </c>
      <c r="G97" t="s">
        <v>456</v>
      </c>
      <c r="H97" t="s">
        <v>459</v>
      </c>
      <c r="I97">
        <v>215</v>
      </c>
      <c r="J97" t="str">
        <f>TRIM(_xlfn.TEXTBEFORE(Table2[[#This Row],[mem]],"/"))</f>
        <v>1.014GiB</v>
      </c>
      <c r="K97" t="str">
        <f t="shared" si="2"/>
        <v>1.014GiB</v>
      </c>
      <c r="L97">
        <f t="shared" si="3"/>
        <v>1038.336</v>
      </c>
    </row>
    <row r="98" spans="1:12" x14ac:dyDescent="0.2">
      <c r="A98" t="s">
        <v>2</v>
      </c>
      <c r="B98">
        <v>1767073603</v>
      </c>
      <c r="C98" t="s">
        <v>337</v>
      </c>
      <c r="D98" s="6">
        <v>1.8951</v>
      </c>
      <c r="E98" t="s">
        <v>71</v>
      </c>
      <c r="F98" s="6">
        <v>0.11890000000000001</v>
      </c>
      <c r="G98" t="s">
        <v>460</v>
      </c>
      <c r="H98" t="s">
        <v>461</v>
      </c>
      <c r="I98">
        <v>86</v>
      </c>
      <c r="J98" t="str">
        <f>TRIM(_xlfn.TEXTBEFORE(Table2[[#This Row],[mem]],"/"))</f>
        <v>466.1MiB</v>
      </c>
      <c r="K98" t="str">
        <f t="shared" si="2"/>
        <v>466.1MiB</v>
      </c>
      <c r="L98">
        <f t="shared" si="3"/>
        <v>466.1</v>
      </c>
    </row>
    <row r="99" spans="1:12" x14ac:dyDescent="0.2">
      <c r="A99" t="s">
        <v>2</v>
      </c>
      <c r="B99">
        <v>1767073603</v>
      </c>
      <c r="C99" t="s">
        <v>340</v>
      </c>
      <c r="D99" s="6">
        <v>6.9999999999999999E-4</v>
      </c>
      <c r="E99" t="s">
        <v>72</v>
      </c>
      <c r="F99" s="6">
        <v>8.4099999999999994E-2</v>
      </c>
      <c r="G99" t="s">
        <v>462</v>
      </c>
      <c r="H99" t="s">
        <v>463</v>
      </c>
      <c r="I99">
        <v>65</v>
      </c>
      <c r="J99" t="str">
        <f>TRIM(_xlfn.TEXTBEFORE(Table2[[#This Row],[mem]],"/"))</f>
        <v>329.6MiB</v>
      </c>
      <c r="K99" t="str">
        <f t="shared" si="2"/>
        <v>329.6MiB</v>
      </c>
      <c r="L99">
        <f t="shared" si="3"/>
        <v>329.6</v>
      </c>
    </row>
    <row r="100" spans="1:12" x14ac:dyDescent="0.2">
      <c r="A100" t="s">
        <v>2</v>
      </c>
      <c r="B100">
        <v>1767073603</v>
      </c>
      <c r="C100" t="s">
        <v>343</v>
      </c>
      <c r="D100" s="6">
        <v>5.7999999999999996E-3</v>
      </c>
      <c r="E100" t="s">
        <v>73</v>
      </c>
      <c r="F100" s="6">
        <v>0.1125</v>
      </c>
      <c r="G100" t="s">
        <v>464</v>
      </c>
      <c r="H100" t="s">
        <v>465</v>
      </c>
      <c r="I100">
        <v>267</v>
      </c>
      <c r="J100" t="str">
        <f>TRIM(_xlfn.TEXTBEFORE(Table2[[#This Row],[mem]],"/"))</f>
        <v>440.9MiB</v>
      </c>
      <c r="K100" t="str">
        <f t="shared" si="2"/>
        <v>440.9MiB</v>
      </c>
      <c r="L100">
        <f t="shared" si="3"/>
        <v>440.9</v>
      </c>
    </row>
    <row r="101" spans="1:12" x14ac:dyDescent="0.2">
      <c r="A101" t="s">
        <v>2</v>
      </c>
      <c r="B101">
        <v>1767073603</v>
      </c>
      <c r="C101" t="s">
        <v>346</v>
      </c>
      <c r="D101" s="6">
        <v>6.6E-3</v>
      </c>
      <c r="E101" t="s">
        <v>74</v>
      </c>
      <c r="F101" s="6">
        <v>0.13669999999999999</v>
      </c>
      <c r="G101" t="s">
        <v>456</v>
      </c>
      <c r="H101" t="s">
        <v>466</v>
      </c>
      <c r="I101">
        <v>120</v>
      </c>
      <c r="J101" t="str">
        <f>TRIM(_xlfn.TEXTBEFORE(Table2[[#This Row],[mem]],"/"))</f>
        <v>535.8MiB</v>
      </c>
      <c r="K101" t="str">
        <f t="shared" si="2"/>
        <v>535.8MiB</v>
      </c>
      <c r="L101">
        <f t="shared" si="3"/>
        <v>535.79999999999995</v>
      </c>
    </row>
    <row r="102" spans="1:12" x14ac:dyDescent="0.2">
      <c r="A102" t="s">
        <v>2</v>
      </c>
      <c r="B102">
        <v>1767073611</v>
      </c>
      <c r="C102" t="s">
        <v>337</v>
      </c>
      <c r="D102" s="6">
        <v>1.4200000000000001E-2</v>
      </c>
      <c r="E102" t="s">
        <v>75</v>
      </c>
      <c r="F102" s="6">
        <v>0.1681</v>
      </c>
      <c r="G102" t="s">
        <v>467</v>
      </c>
      <c r="H102" t="s">
        <v>468</v>
      </c>
      <c r="I102">
        <v>97</v>
      </c>
      <c r="J102" t="str">
        <f>TRIM(_xlfn.TEXTBEFORE(Table2[[#This Row],[mem]],"/"))</f>
        <v>658.7MiB</v>
      </c>
      <c r="K102" t="str">
        <f t="shared" si="2"/>
        <v>658.7MiB</v>
      </c>
      <c r="L102">
        <f t="shared" si="3"/>
        <v>658.7</v>
      </c>
    </row>
    <row r="103" spans="1:12" x14ac:dyDescent="0.2">
      <c r="A103" t="s">
        <v>2</v>
      </c>
      <c r="B103">
        <v>1767073611</v>
      </c>
      <c r="C103" t="s">
        <v>340</v>
      </c>
      <c r="D103" s="6">
        <v>6.0999999999999999E-2</v>
      </c>
      <c r="E103" t="s">
        <v>76</v>
      </c>
      <c r="F103" s="6">
        <v>8.5500000000000007E-2</v>
      </c>
      <c r="G103" t="s">
        <v>462</v>
      </c>
      <c r="H103" t="s">
        <v>463</v>
      </c>
      <c r="I103">
        <v>67</v>
      </c>
      <c r="J103" t="str">
        <f>TRIM(_xlfn.TEXTBEFORE(Table2[[#This Row],[mem]],"/"))</f>
        <v>335.1MiB</v>
      </c>
      <c r="K103" t="str">
        <f t="shared" si="2"/>
        <v>335.1MiB</v>
      </c>
      <c r="L103">
        <f t="shared" si="3"/>
        <v>335.1</v>
      </c>
    </row>
    <row r="104" spans="1:12" x14ac:dyDescent="0.2">
      <c r="A104" t="s">
        <v>2</v>
      </c>
      <c r="B104">
        <v>1767073611</v>
      </c>
      <c r="C104" t="s">
        <v>343</v>
      </c>
      <c r="D104" s="6">
        <v>1.0999999999999999E-2</v>
      </c>
      <c r="E104" t="s">
        <v>57</v>
      </c>
      <c r="F104" s="6">
        <v>0.1133</v>
      </c>
      <c r="G104" t="s">
        <v>469</v>
      </c>
      <c r="H104" t="s">
        <v>470</v>
      </c>
      <c r="I104">
        <v>270</v>
      </c>
      <c r="J104" t="str">
        <f>TRIM(_xlfn.TEXTBEFORE(Table2[[#This Row],[mem]],"/"))</f>
        <v>443.9MiB</v>
      </c>
      <c r="K104" t="str">
        <f t="shared" si="2"/>
        <v>443.9MiB</v>
      </c>
      <c r="L104">
        <f t="shared" si="3"/>
        <v>443.9</v>
      </c>
    </row>
    <row r="105" spans="1:12" x14ac:dyDescent="0.2">
      <c r="A105" t="s">
        <v>2</v>
      </c>
      <c r="B105">
        <v>1767073611</v>
      </c>
      <c r="C105" t="s">
        <v>346</v>
      </c>
      <c r="D105" s="6">
        <v>1.2210000000000001</v>
      </c>
      <c r="E105" t="s">
        <v>77</v>
      </c>
      <c r="F105" s="6">
        <v>0.15409999999999999</v>
      </c>
      <c r="G105" t="s">
        <v>456</v>
      </c>
      <c r="H105" t="s">
        <v>471</v>
      </c>
      <c r="I105">
        <v>149</v>
      </c>
      <c r="J105" t="str">
        <f>TRIM(_xlfn.TEXTBEFORE(Table2[[#This Row],[mem]],"/"))</f>
        <v>604.1MiB</v>
      </c>
      <c r="K105" t="str">
        <f t="shared" si="2"/>
        <v>604.1MiB</v>
      </c>
      <c r="L105">
        <f t="shared" si="3"/>
        <v>604.1</v>
      </c>
    </row>
    <row r="106" spans="1:12" x14ac:dyDescent="0.2">
      <c r="A106" t="s">
        <v>2</v>
      </c>
      <c r="B106">
        <v>1767073618</v>
      </c>
      <c r="C106" t="s">
        <v>337</v>
      </c>
      <c r="D106" s="6">
        <v>1.4E-2</v>
      </c>
      <c r="E106" t="s">
        <v>78</v>
      </c>
      <c r="F106" s="6">
        <v>0.16900000000000001</v>
      </c>
      <c r="G106" t="s">
        <v>467</v>
      </c>
      <c r="H106" t="s">
        <v>468</v>
      </c>
      <c r="I106">
        <v>97</v>
      </c>
      <c r="J106" t="str">
        <f>TRIM(_xlfn.TEXTBEFORE(Table2[[#This Row],[mem]],"/"))</f>
        <v>662.5MiB</v>
      </c>
      <c r="K106" t="str">
        <f t="shared" si="2"/>
        <v>662.5MiB</v>
      </c>
      <c r="L106">
        <f t="shared" si="3"/>
        <v>662.5</v>
      </c>
    </row>
    <row r="107" spans="1:12" x14ac:dyDescent="0.2">
      <c r="A107" t="s">
        <v>2</v>
      </c>
      <c r="B107">
        <v>1767073618</v>
      </c>
      <c r="C107" t="s">
        <v>340</v>
      </c>
      <c r="D107" s="6">
        <v>8.9999999999999998E-4</v>
      </c>
      <c r="E107" t="s">
        <v>79</v>
      </c>
      <c r="F107" s="6">
        <v>8.6800000000000002E-2</v>
      </c>
      <c r="G107" t="s">
        <v>472</v>
      </c>
      <c r="H107" t="s">
        <v>473</v>
      </c>
      <c r="I107">
        <v>66</v>
      </c>
      <c r="J107" t="str">
        <f>TRIM(_xlfn.TEXTBEFORE(Table2[[#This Row],[mem]],"/"))</f>
        <v>340MiB</v>
      </c>
      <c r="K107" t="str">
        <f t="shared" si="2"/>
        <v>340MiB</v>
      </c>
      <c r="L107">
        <f t="shared" si="3"/>
        <v>340</v>
      </c>
    </row>
    <row r="108" spans="1:12" x14ac:dyDescent="0.2">
      <c r="A108" t="s">
        <v>2</v>
      </c>
      <c r="B108">
        <v>1767073618</v>
      </c>
      <c r="C108" t="s">
        <v>343</v>
      </c>
      <c r="D108" s="6">
        <v>2.2800000000000001E-2</v>
      </c>
      <c r="E108" t="s">
        <v>80</v>
      </c>
      <c r="F108" s="6">
        <v>0.11360000000000001</v>
      </c>
      <c r="G108" t="s">
        <v>474</v>
      </c>
      <c r="H108" t="s">
        <v>475</v>
      </c>
      <c r="I108">
        <v>268</v>
      </c>
      <c r="J108" t="str">
        <f>TRIM(_xlfn.TEXTBEFORE(Table2[[#This Row],[mem]],"/"))</f>
        <v>445.4MiB</v>
      </c>
      <c r="K108" t="str">
        <f t="shared" si="2"/>
        <v>445.4MiB</v>
      </c>
      <c r="L108">
        <f t="shared" si="3"/>
        <v>445.4</v>
      </c>
    </row>
    <row r="109" spans="1:12" x14ac:dyDescent="0.2">
      <c r="A109" t="s">
        <v>2</v>
      </c>
      <c r="B109">
        <v>1767073618</v>
      </c>
      <c r="C109" t="s">
        <v>346</v>
      </c>
      <c r="D109" s="6">
        <v>1.2836000000000001</v>
      </c>
      <c r="E109" t="s">
        <v>81</v>
      </c>
      <c r="F109" s="6">
        <v>0.26469999999999999</v>
      </c>
      <c r="G109" t="s">
        <v>476</v>
      </c>
      <c r="H109" t="s">
        <v>477</v>
      </c>
      <c r="I109">
        <v>247</v>
      </c>
      <c r="J109" t="str">
        <f>TRIM(_xlfn.TEXTBEFORE(Table2[[#This Row],[mem]],"/"))</f>
        <v>1.013GiB</v>
      </c>
      <c r="K109" t="str">
        <f t="shared" si="2"/>
        <v>1.013GiB</v>
      </c>
      <c r="L109">
        <f t="shared" si="3"/>
        <v>1037.3119999999999</v>
      </c>
    </row>
    <row r="110" spans="1:12" x14ac:dyDescent="0.2">
      <c r="A110" t="s">
        <v>2</v>
      </c>
      <c r="B110">
        <v>1767073626</v>
      </c>
      <c r="C110" t="s">
        <v>337</v>
      </c>
      <c r="D110" s="6">
        <v>1.2699999999999999E-2</v>
      </c>
      <c r="E110" t="s">
        <v>82</v>
      </c>
      <c r="F110" s="6">
        <v>0.1694</v>
      </c>
      <c r="G110" t="s">
        <v>467</v>
      </c>
      <c r="H110" t="s">
        <v>468</v>
      </c>
      <c r="I110">
        <v>95</v>
      </c>
      <c r="J110" t="str">
        <f>TRIM(_xlfn.TEXTBEFORE(Table2[[#This Row],[mem]],"/"))</f>
        <v>663.8MiB</v>
      </c>
      <c r="K110" t="str">
        <f t="shared" si="2"/>
        <v>663.8MiB</v>
      </c>
      <c r="L110">
        <f t="shared" si="3"/>
        <v>663.8</v>
      </c>
    </row>
    <row r="111" spans="1:12" x14ac:dyDescent="0.2">
      <c r="A111" t="s">
        <v>2</v>
      </c>
      <c r="B111">
        <v>1767073626</v>
      </c>
      <c r="C111" t="s">
        <v>340</v>
      </c>
      <c r="D111" s="6">
        <v>4.8999999999999998E-3</v>
      </c>
      <c r="E111" t="s">
        <v>83</v>
      </c>
      <c r="F111" s="6">
        <v>8.8900000000000007E-2</v>
      </c>
      <c r="G111" t="s">
        <v>478</v>
      </c>
      <c r="H111" t="s">
        <v>479</v>
      </c>
      <c r="I111">
        <v>67</v>
      </c>
      <c r="J111" t="str">
        <f>TRIM(_xlfn.TEXTBEFORE(Table2[[#This Row],[mem]],"/"))</f>
        <v>348.5MiB</v>
      </c>
      <c r="K111" t="str">
        <f t="shared" si="2"/>
        <v>348.5MiB</v>
      </c>
      <c r="L111">
        <f t="shared" si="3"/>
        <v>348.5</v>
      </c>
    </row>
    <row r="112" spans="1:12" x14ac:dyDescent="0.2">
      <c r="A112" t="s">
        <v>2</v>
      </c>
      <c r="B112">
        <v>1767073626</v>
      </c>
      <c r="C112" t="s">
        <v>343</v>
      </c>
      <c r="D112" s="6">
        <v>8.8000000000000005E-3</v>
      </c>
      <c r="E112" t="s">
        <v>84</v>
      </c>
      <c r="F112" s="6">
        <v>0.1138</v>
      </c>
      <c r="G112" t="s">
        <v>480</v>
      </c>
      <c r="H112" t="s">
        <v>481</v>
      </c>
      <c r="I112">
        <v>268</v>
      </c>
      <c r="J112" t="str">
        <f>TRIM(_xlfn.TEXTBEFORE(Table2[[#This Row],[mem]],"/"))</f>
        <v>446.1MiB</v>
      </c>
      <c r="K112" t="str">
        <f t="shared" si="2"/>
        <v>446.1MiB</v>
      </c>
      <c r="L112">
        <f t="shared" si="3"/>
        <v>446.1</v>
      </c>
    </row>
    <row r="113" spans="1:12" x14ac:dyDescent="0.2">
      <c r="A113" t="s">
        <v>2</v>
      </c>
      <c r="B113">
        <v>1767073626</v>
      </c>
      <c r="C113" t="s">
        <v>346</v>
      </c>
      <c r="D113" s="6">
        <v>1.9854000000000001</v>
      </c>
      <c r="E113" t="s">
        <v>85</v>
      </c>
      <c r="F113" s="6">
        <v>0.3538</v>
      </c>
      <c r="G113" t="s">
        <v>482</v>
      </c>
      <c r="H113" t="s">
        <v>477</v>
      </c>
      <c r="I113">
        <v>256</v>
      </c>
      <c r="J113" t="str">
        <f>TRIM(_xlfn.TEXTBEFORE(Table2[[#This Row],[mem]],"/"))</f>
        <v>1.354GiB</v>
      </c>
      <c r="K113" t="str">
        <f t="shared" si="2"/>
        <v>1.354GiB</v>
      </c>
      <c r="L113">
        <f t="shared" si="3"/>
        <v>1386.4960000000001</v>
      </c>
    </row>
    <row r="114" spans="1:12" x14ac:dyDescent="0.2">
      <c r="A114" t="s">
        <v>2</v>
      </c>
      <c r="B114">
        <v>1767073633</v>
      </c>
      <c r="C114" t="s">
        <v>337</v>
      </c>
      <c r="D114" s="6">
        <v>1.35E-2</v>
      </c>
      <c r="E114" t="s">
        <v>86</v>
      </c>
      <c r="F114" s="6">
        <v>0.16950000000000001</v>
      </c>
      <c r="G114" t="s">
        <v>467</v>
      </c>
      <c r="H114" t="s">
        <v>468</v>
      </c>
      <c r="I114">
        <v>94</v>
      </c>
      <c r="J114" t="str">
        <f>TRIM(_xlfn.TEXTBEFORE(Table2[[#This Row],[mem]],"/"))</f>
        <v>664.2MiB</v>
      </c>
      <c r="K114" t="str">
        <f t="shared" si="2"/>
        <v>664.2MiB</v>
      </c>
      <c r="L114">
        <f t="shared" si="3"/>
        <v>664.2</v>
      </c>
    </row>
    <row r="115" spans="1:12" x14ac:dyDescent="0.2">
      <c r="A115" t="s">
        <v>2</v>
      </c>
      <c r="B115">
        <v>1767073633</v>
      </c>
      <c r="C115" t="s">
        <v>340</v>
      </c>
      <c r="D115" s="6">
        <v>1E-3</v>
      </c>
      <c r="E115" t="s">
        <v>87</v>
      </c>
      <c r="F115" s="6">
        <v>8.5599999999999996E-2</v>
      </c>
      <c r="G115" t="s">
        <v>483</v>
      </c>
      <c r="H115" t="s">
        <v>484</v>
      </c>
      <c r="I115">
        <v>67</v>
      </c>
      <c r="J115" t="str">
        <f>TRIM(_xlfn.TEXTBEFORE(Table2[[#This Row],[mem]],"/"))</f>
        <v>335.7MiB</v>
      </c>
      <c r="K115" t="str">
        <f t="shared" si="2"/>
        <v>335.7MiB</v>
      </c>
      <c r="L115">
        <f t="shared" si="3"/>
        <v>335.7</v>
      </c>
    </row>
    <row r="116" spans="1:12" x14ac:dyDescent="0.2">
      <c r="A116" t="s">
        <v>2</v>
      </c>
      <c r="B116">
        <v>1767073633</v>
      </c>
      <c r="C116" t="s">
        <v>343</v>
      </c>
      <c r="D116" s="6">
        <v>7.6E-3</v>
      </c>
      <c r="E116" t="s">
        <v>88</v>
      </c>
      <c r="F116" s="6">
        <v>0.11360000000000001</v>
      </c>
      <c r="G116" t="s">
        <v>485</v>
      </c>
      <c r="H116" t="s">
        <v>486</v>
      </c>
      <c r="I116">
        <v>268</v>
      </c>
      <c r="J116" t="str">
        <f>TRIM(_xlfn.TEXTBEFORE(Table2[[#This Row],[mem]],"/"))</f>
        <v>445.1MiB</v>
      </c>
      <c r="K116" t="str">
        <f t="shared" si="2"/>
        <v>445.1MiB</v>
      </c>
      <c r="L116">
        <f t="shared" si="3"/>
        <v>445.1</v>
      </c>
    </row>
    <row r="117" spans="1:12" x14ac:dyDescent="0.2">
      <c r="A117" t="s">
        <v>2</v>
      </c>
      <c r="B117">
        <v>1767073633</v>
      </c>
      <c r="C117" t="s">
        <v>346</v>
      </c>
      <c r="D117" s="6">
        <v>1.3734</v>
      </c>
      <c r="E117" t="s">
        <v>89</v>
      </c>
      <c r="F117" s="6">
        <v>0.35759999999999997</v>
      </c>
      <c r="G117" t="s">
        <v>487</v>
      </c>
      <c r="H117" t="s">
        <v>488</v>
      </c>
      <c r="I117">
        <v>251</v>
      </c>
      <c r="J117" t="str">
        <f>TRIM(_xlfn.TEXTBEFORE(Table2[[#This Row],[mem]],"/"))</f>
        <v>1.369GiB</v>
      </c>
      <c r="K117" t="str">
        <f t="shared" si="2"/>
        <v>1.369GiB</v>
      </c>
      <c r="L117">
        <f t="shared" si="3"/>
        <v>1401.856</v>
      </c>
    </row>
    <row r="118" spans="1:12" x14ac:dyDescent="0.2">
      <c r="A118" t="s">
        <v>2</v>
      </c>
      <c r="B118">
        <v>1767073641</v>
      </c>
      <c r="C118" t="s">
        <v>337</v>
      </c>
      <c r="D118" s="6">
        <v>8.5000000000000006E-3</v>
      </c>
      <c r="E118" t="s">
        <v>90</v>
      </c>
      <c r="F118" s="6">
        <v>0.1696</v>
      </c>
      <c r="G118" t="s">
        <v>467</v>
      </c>
      <c r="H118" t="s">
        <v>468</v>
      </c>
      <c r="I118">
        <v>92</v>
      </c>
      <c r="J118" t="str">
        <f>TRIM(_xlfn.TEXTBEFORE(Table2[[#This Row],[mem]],"/"))</f>
        <v>664.8MiB</v>
      </c>
      <c r="K118" t="str">
        <f t="shared" si="2"/>
        <v>664.8MiB</v>
      </c>
      <c r="L118">
        <f t="shared" si="3"/>
        <v>664.8</v>
      </c>
    </row>
    <row r="119" spans="1:12" x14ac:dyDescent="0.2">
      <c r="A119" t="s">
        <v>2</v>
      </c>
      <c r="B119">
        <v>1767073641</v>
      </c>
      <c r="C119" t="s">
        <v>340</v>
      </c>
      <c r="D119" s="6">
        <v>4.7999999999999996E-3</v>
      </c>
      <c r="E119" t="s">
        <v>91</v>
      </c>
      <c r="F119" s="6">
        <v>8.1000000000000003E-2</v>
      </c>
      <c r="G119" t="s">
        <v>489</v>
      </c>
      <c r="H119" t="s">
        <v>490</v>
      </c>
      <c r="I119">
        <v>66</v>
      </c>
      <c r="J119" t="str">
        <f>TRIM(_xlfn.TEXTBEFORE(Table2[[#This Row],[mem]],"/"))</f>
        <v>317.5MiB</v>
      </c>
      <c r="K119" t="str">
        <f t="shared" si="2"/>
        <v>317.5MiB</v>
      </c>
      <c r="L119">
        <f t="shared" si="3"/>
        <v>317.5</v>
      </c>
    </row>
    <row r="120" spans="1:12" x14ac:dyDescent="0.2">
      <c r="A120" t="s">
        <v>2</v>
      </c>
      <c r="B120">
        <v>1767073641</v>
      </c>
      <c r="C120" t="s">
        <v>343</v>
      </c>
      <c r="D120" s="6">
        <v>6.0000000000000001E-3</v>
      </c>
      <c r="E120" t="s">
        <v>92</v>
      </c>
      <c r="F120" s="6">
        <v>0.11310000000000001</v>
      </c>
      <c r="G120" t="s">
        <v>491</v>
      </c>
      <c r="H120" t="s">
        <v>492</v>
      </c>
      <c r="I120">
        <v>268</v>
      </c>
      <c r="J120" t="str">
        <f>TRIM(_xlfn.TEXTBEFORE(Table2[[#This Row],[mem]],"/"))</f>
        <v>443.1MiB</v>
      </c>
      <c r="K120" t="str">
        <f t="shared" si="2"/>
        <v>443.1MiB</v>
      </c>
      <c r="L120">
        <f t="shared" si="3"/>
        <v>443.1</v>
      </c>
    </row>
    <row r="121" spans="1:12" x14ac:dyDescent="0.2">
      <c r="A121" t="s">
        <v>2</v>
      </c>
      <c r="B121">
        <v>1767073641</v>
      </c>
      <c r="C121" t="s">
        <v>346</v>
      </c>
      <c r="D121" s="6">
        <v>1.046</v>
      </c>
      <c r="E121" t="s">
        <v>93</v>
      </c>
      <c r="F121" s="6">
        <v>0.36030000000000001</v>
      </c>
      <c r="G121" t="s">
        <v>493</v>
      </c>
      <c r="H121" t="s">
        <v>494</v>
      </c>
      <c r="I121">
        <v>253</v>
      </c>
      <c r="J121" t="str">
        <f>TRIM(_xlfn.TEXTBEFORE(Table2[[#This Row],[mem]],"/"))</f>
        <v>1.379GiB</v>
      </c>
      <c r="K121" t="str">
        <f t="shared" si="2"/>
        <v>1.379GiB</v>
      </c>
      <c r="L121">
        <f t="shared" si="3"/>
        <v>1412.096</v>
      </c>
    </row>
    <row r="122" spans="1:12" x14ac:dyDescent="0.2">
      <c r="A122" t="s">
        <v>2</v>
      </c>
      <c r="B122">
        <v>1767073648</v>
      </c>
      <c r="C122" t="s">
        <v>337</v>
      </c>
      <c r="D122" s="6">
        <v>1.49E-2</v>
      </c>
      <c r="E122" t="s">
        <v>94</v>
      </c>
      <c r="F122" s="6">
        <v>0.17</v>
      </c>
      <c r="G122" t="s">
        <v>467</v>
      </c>
      <c r="H122" t="s">
        <v>468</v>
      </c>
      <c r="I122">
        <v>92</v>
      </c>
      <c r="J122" t="str">
        <f>TRIM(_xlfn.TEXTBEFORE(Table2[[#This Row],[mem]],"/"))</f>
        <v>666.3MiB</v>
      </c>
      <c r="K122" t="str">
        <f t="shared" si="2"/>
        <v>666.3MiB</v>
      </c>
      <c r="L122">
        <f t="shared" si="3"/>
        <v>666.3</v>
      </c>
    </row>
    <row r="123" spans="1:12" x14ac:dyDescent="0.2">
      <c r="A123" t="s">
        <v>2</v>
      </c>
      <c r="B123">
        <v>1767073648</v>
      </c>
      <c r="C123" t="s">
        <v>340</v>
      </c>
      <c r="D123" s="6">
        <v>3.4200000000000001E-2</v>
      </c>
      <c r="E123" t="s">
        <v>95</v>
      </c>
      <c r="F123" s="6">
        <v>8.2400000000000001E-2</v>
      </c>
      <c r="G123" t="s">
        <v>495</v>
      </c>
      <c r="H123" t="s">
        <v>496</v>
      </c>
      <c r="I123">
        <v>69</v>
      </c>
      <c r="J123" t="str">
        <f>TRIM(_xlfn.TEXTBEFORE(Table2[[#This Row],[mem]],"/"))</f>
        <v>323MiB</v>
      </c>
      <c r="K123" t="str">
        <f t="shared" si="2"/>
        <v>323MiB</v>
      </c>
      <c r="L123">
        <f t="shared" si="3"/>
        <v>323</v>
      </c>
    </row>
    <row r="124" spans="1:12" x14ac:dyDescent="0.2">
      <c r="A124" t="s">
        <v>2</v>
      </c>
      <c r="B124">
        <v>1767073648</v>
      </c>
      <c r="C124" t="s">
        <v>343</v>
      </c>
      <c r="D124" s="6">
        <v>9.1000000000000004E-3</v>
      </c>
      <c r="E124" t="s">
        <v>96</v>
      </c>
      <c r="F124" s="6">
        <v>0.1133</v>
      </c>
      <c r="G124" t="s">
        <v>497</v>
      </c>
      <c r="H124" t="s">
        <v>498</v>
      </c>
      <c r="I124">
        <v>268</v>
      </c>
      <c r="J124" t="str">
        <f>TRIM(_xlfn.TEXTBEFORE(Table2[[#This Row],[mem]],"/"))</f>
        <v>444MiB</v>
      </c>
      <c r="K124" t="str">
        <f t="shared" si="2"/>
        <v>444MiB</v>
      </c>
      <c r="L124">
        <f t="shared" si="3"/>
        <v>444</v>
      </c>
    </row>
    <row r="125" spans="1:12" x14ac:dyDescent="0.2">
      <c r="A125" t="s">
        <v>2</v>
      </c>
      <c r="B125">
        <v>1767073648</v>
      </c>
      <c r="C125" t="s">
        <v>346</v>
      </c>
      <c r="D125" s="6">
        <v>1.3196000000000001</v>
      </c>
      <c r="E125" t="s">
        <v>97</v>
      </c>
      <c r="F125" s="6">
        <v>0.3569</v>
      </c>
      <c r="G125" t="s">
        <v>499</v>
      </c>
      <c r="H125" t="s">
        <v>500</v>
      </c>
      <c r="I125">
        <v>260</v>
      </c>
      <c r="J125" t="str">
        <f>TRIM(_xlfn.TEXTBEFORE(Table2[[#This Row],[mem]],"/"))</f>
        <v>1.366GiB</v>
      </c>
      <c r="K125" t="str">
        <f t="shared" si="2"/>
        <v>1.366GiB</v>
      </c>
      <c r="L125">
        <f t="shared" si="3"/>
        <v>1398.7840000000001</v>
      </c>
    </row>
    <row r="126" spans="1:12" x14ac:dyDescent="0.2">
      <c r="A126" t="s">
        <v>2</v>
      </c>
      <c r="B126">
        <v>1767073656</v>
      </c>
      <c r="C126" t="s">
        <v>337</v>
      </c>
      <c r="D126" s="6">
        <v>3.3700000000000001E-2</v>
      </c>
      <c r="E126" t="s">
        <v>98</v>
      </c>
      <c r="F126" s="6">
        <v>0.17030000000000001</v>
      </c>
      <c r="G126" t="s">
        <v>467</v>
      </c>
      <c r="H126" t="s">
        <v>468</v>
      </c>
      <c r="I126">
        <v>91</v>
      </c>
      <c r="J126" t="str">
        <f>TRIM(_xlfn.TEXTBEFORE(Table2[[#This Row],[mem]],"/"))</f>
        <v>667.3MiB</v>
      </c>
      <c r="K126" t="str">
        <f t="shared" si="2"/>
        <v>667.3MiB</v>
      </c>
      <c r="L126">
        <f t="shared" si="3"/>
        <v>667.3</v>
      </c>
    </row>
    <row r="127" spans="1:12" x14ac:dyDescent="0.2">
      <c r="A127" t="s">
        <v>2</v>
      </c>
      <c r="B127">
        <v>1767073656</v>
      </c>
      <c r="C127" t="s">
        <v>340</v>
      </c>
      <c r="D127" s="6">
        <v>0.04</v>
      </c>
      <c r="E127" t="s">
        <v>99</v>
      </c>
      <c r="F127" s="6">
        <v>8.2000000000000003E-2</v>
      </c>
      <c r="G127" t="s">
        <v>501</v>
      </c>
      <c r="H127" t="s">
        <v>502</v>
      </c>
      <c r="I127">
        <v>69</v>
      </c>
      <c r="J127" t="str">
        <f>TRIM(_xlfn.TEXTBEFORE(Table2[[#This Row],[mem]],"/"))</f>
        <v>321.4MiB</v>
      </c>
      <c r="K127" t="str">
        <f t="shared" si="2"/>
        <v>321.4MiB</v>
      </c>
      <c r="L127">
        <f t="shared" si="3"/>
        <v>321.39999999999998</v>
      </c>
    </row>
    <row r="128" spans="1:12" x14ac:dyDescent="0.2">
      <c r="A128" t="s">
        <v>2</v>
      </c>
      <c r="B128">
        <v>1767073656</v>
      </c>
      <c r="C128" t="s">
        <v>343</v>
      </c>
      <c r="D128" s="6">
        <v>8.6999999999999994E-3</v>
      </c>
      <c r="E128" t="s">
        <v>100</v>
      </c>
      <c r="F128" s="6">
        <v>0.1133</v>
      </c>
      <c r="G128" t="s">
        <v>503</v>
      </c>
      <c r="H128" t="s">
        <v>498</v>
      </c>
      <c r="I128">
        <v>268</v>
      </c>
      <c r="J128" t="str">
        <f>TRIM(_xlfn.TEXTBEFORE(Table2[[#This Row],[mem]],"/"))</f>
        <v>444.2MiB</v>
      </c>
      <c r="K128" t="str">
        <f t="shared" si="2"/>
        <v>444.2MiB</v>
      </c>
      <c r="L128">
        <f t="shared" si="3"/>
        <v>444.2</v>
      </c>
    </row>
    <row r="129" spans="1:12" x14ac:dyDescent="0.2">
      <c r="A129" t="s">
        <v>2</v>
      </c>
      <c r="B129">
        <v>1767073656</v>
      </c>
      <c r="C129" t="s">
        <v>346</v>
      </c>
      <c r="D129" s="6">
        <v>1.1439999999999999</v>
      </c>
      <c r="E129" t="s">
        <v>101</v>
      </c>
      <c r="F129" s="6">
        <v>0.35970000000000002</v>
      </c>
      <c r="G129" t="s">
        <v>504</v>
      </c>
      <c r="H129" t="s">
        <v>505</v>
      </c>
      <c r="I129">
        <v>257</v>
      </c>
      <c r="J129" t="str">
        <f>TRIM(_xlfn.TEXTBEFORE(Table2[[#This Row],[mem]],"/"))</f>
        <v>1.377GiB</v>
      </c>
      <c r="K129" t="str">
        <f t="shared" si="2"/>
        <v>1.377GiB</v>
      </c>
      <c r="L129">
        <f t="shared" si="3"/>
        <v>1410.048</v>
      </c>
    </row>
    <row r="130" spans="1:12" x14ac:dyDescent="0.2">
      <c r="A130" t="s">
        <v>2</v>
      </c>
      <c r="B130">
        <v>1767073662</v>
      </c>
      <c r="C130" t="s">
        <v>337</v>
      </c>
      <c r="D130" s="6">
        <v>1.4999999999999999E-2</v>
      </c>
      <c r="E130" t="s">
        <v>102</v>
      </c>
      <c r="F130" s="6">
        <v>0.1706</v>
      </c>
      <c r="G130" t="s">
        <v>467</v>
      </c>
      <c r="H130" t="s">
        <v>468</v>
      </c>
      <c r="I130">
        <v>91</v>
      </c>
      <c r="J130" t="str">
        <f>TRIM(_xlfn.TEXTBEFORE(Table2[[#This Row],[mem]],"/"))</f>
        <v>668.7MiB</v>
      </c>
      <c r="K130" t="str">
        <f t="shared" ref="K130:K193" si="4">TRIM(_xlfn.TEXTBEFORE(E130,"/"))</f>
        <v>668.7MiB</v>
      </c>
      <c r="L130">
        <f t="shared" ref="L130:L193" si="5">_xlfn.LET(_xlpm.x,K130,_xlpm.v,VALUE(LEFT(_xlpm.x,LEN(_xlpm.x)-3)),_xlpm.u,RIGHT(_xlpm.x,3),IF(_xlpm.u="GiB",_xlpm.v*1024,_xlpm.v))</f>
        <v>668.7</v>
      </c>
    </row>
    <row r="131" spans="1:12" x14ac:dyDescent="0.2">
      <c r="A131" t="s">
        <v>2</v>
      </c>
      <c r="B131">
        <v>1767073662</v>
      </c>
      <c r="C131" t="s">
        <v>340</v>
      </c>
      <c r="D131" s="6">
        <v>5.5899999999999998E-2</v>
      </c>
      <c r="E131" t="s">
        <v>103</v>
      </c>
      <c r="F131" s="6">
        <v>8.1699999999999995E-2</v>
      </c>
      <c r="G131" t="s">
        <v>506</v>
      </c>
      <c r="H131" t="s">
        <v>507</v>
      </c>
      <c r="I131">
        <v>68</v>
      </c>
      <c r="J131" t="str">
        <f>TRIM(_xlfn.TEXTBEFORE(Table2[[#This Row],[mem]],"/"))</f>
        <v>320.4MiB</v>
      </c>
      <c r="K131" t="str">
        <f t="shared" si="4"/>
        <v>320.4MiB</v>
      </c>
      <c r="L131">
        <f t="shared" si="5"/>
        <v>320.39999999999998</v>
      </c>
    </row>
    <row r="132" spans="1:12" x14ac:dyDescent="0.2">
      <c r="A132" t="s">
        <v>2</v>
      </c>
      <c r="B132">
        <v>1767073662</v>
      </c>
      <c r="C132" t="s">
        <v>343</v>
      </c>
      <c r="D132" s="6">
        <v>7.4000000000000003E-3</v>
      </c>
      <c r="E132" t="s">
        <v>104</v>
      </c>
      <c r="F132" s="6">
        <v>0.1134</v>
      </c>
      <c r="G132" t="s">
        <v>508</v>
      </c>
      <c r="H132" t="s">
        <v>498</v>
      </c>
      <c r="I132">
        <v>268</v>
      </c>
      <c r="J132" t="str">
        <f>TRIM(_xlfn.TEXTBEFORE(Table2[[#This Row],[mem]],"/"))</f>
        <v>444.4MiB</v>
      </c>
      <c r="K132" t="str">
        <f t="shared" si="4"/>
        <v>444.4MiB</v>
      </c>
      <c r="L132">
        <f t="shared" si="5"/>
        <v>444.4</v>
      </c>
    </row>
    <row r="133" spans="1:12" x14ac:dyDescent="0.2">
      <c r="A133" t="s">
        <v>2</v>
      </c>
      <c r="B133">
        <v>1767073662</v>
      </c>
      <c r="C133" t="s">
        <v>346</v>
      </c>
      <c r="D133" s="6">
        <v>1.3266</v>
      </c>
      <c r="E133" t="s">
        <v>105</v>
      </c>
      <c r="F133" s="6">
        <v>0.36109999999999998</v>
      </c>
      <c r="G133" t="s">
        <v>509</v>
      </c>
      <c r="H133" t="s">
        <v>510</v>
      </c>
      <c r="I133">
        <v>254</v>
      </c>
      <c r="J133" t="str">
        <f>TRIM(_xlfn.TEXTBEFORE(Table2[[#This Row],[mem]],"/"))</f>
        <v>1.382GiB</v>
      </c>
      <c r="K133" t="str">
        <f t="shared" si="4"/>
        <v>1.382GiB</v>
      </c>
      <c r="L133">
        <f t="shared" si="5"/>
        <v>1415.1679999999999</v>
      </c>
    </row>
    <row r="134" spans="1:12" x14ac:dyDescent="0.2">
      <c r="A134" t="s">
        <v>2</v>
      </c>
      <c r="B134">
        <v>1767073670</v>
      </c>
      <c r="C134" t="s">
        <v>337</v>
      </c>
      <c r="D134" s="6">
        <v>5.96E-2</v>
      </c>
      <c r="E134" t="s">
        <v>106</v>
      </c>
      <c r="F134" s="6">
        <v>0.17430000000000001</v>
      </c>
      <c r="G134" t="s">
        <v>467</v>
      </c>
      <c r="H134" t="s">
        <v>468</v>
      </c>
      <c r="I134">
        <v>89</v>
      </c>
      <c r="J134" t="str">
        <f>TRIM(_xlfn.TEXTBEFORE(Table2[[#This Row],[mem]],"/"))</f>
        <v>683MiB</v>
      </c>
      <c r="K134" t="str">
        <f t="shared" si="4"/>
        <v>683MiB</v>
      </c>
      <c r="L134">
        <f t="shared" si="5"/>
        <v>683</v>
      </c>
    </row>
    <row r="135" spans="1:12" x14ac:dyDescent="0.2">
      <c r="A135" t="s">
        <v>2</v>
      </c>
      <c r="B135">
        <v>1767073670</v>
      </c>
      <c r="C135" t="s">
        <v>340</v>
      </c>
      <c r="D135" s="6">
        <v>1.44E-2</v>
      </c>
      <c r="E135" t="s">
        <v>107</v>
      </c>
      <c r="F135" s="6">
        <v>8.14E-2</v>
      </c>
      <c r="G135" t="s">
        <v>506</v>
      </c>
      <c r="H135" t="s">
        <v>507</v>
      </c>
      <c r="I135">
        <v>67</v>
      </c>
      <c r="J135" t="str">
        <f>TRIM(_xlfn.TEXTBEFORE(Table2[[#This Row],[mem]],"/"))</f>
        <v>318.9MiB</v>
      </c>
      <c r="K135" t="str">
        <f t="shared" si="4"/>
        <v>318.9MiB</v>
      </c>
      <c r="L135">
        <f t="shared" si="5"/>
        <v>318.89999999999998</v>
      </c>
    </row>
    <row r="136" spans="1:12" x14ac:dyDescent="0.2">
      <c r="A136" t="s">
        <v>2</v>
      </c>
      <c r="B136">
        <v>1767073670</v>
      </c>
      <c r="C136" t="s">
        <v>343</v>
      </c>
      <c r="D136" s="6">
        <v>1.47E-2</v>
      </c>
      <c r="E136" t="s">
        <v>108</v>
      </c>
      <c r="F136" s="6">
        <v>0.1134</v>
      </c>
      <c r="G136" t="s">
        <v>511</v>
      </c>
      <c r="H136" t="s">
        <v>498</v>
      </c>
      <c r="I136">
        <v>268</v>
      </c>
      <c r="J136" t="str">
        <f>TRIM(_xlfn.TEXTBEFORE(Table2[[#This Row],[mem]],"/"))</f>
        <v>444.6MiB</v>
      </c>
      <c r="K136" t="str">
        <f t="shared" si="4"/>
        <v>444.6MiB</v>
      </c>
      <c r="L136">
        <f t="shared" si="5"/>
        <v>444.6</v>
      </c>
    </row>
    <row r="137" spans="1:12" x14ac:dyDescent="0.2">
      <c r="A137" t="s">
        <v>2</v>
      </c>
      <c r="B137">
        <v>1767073670</v>
      </c>
      <c r="C137" t="s">
        <v>346</v>
      </c>
      <c r="D137" s="6">
        <v>1.0528999999999999</v>
      </c>
      <c r="E137" t="s">
        <v>109</v>
      </c>
      <c r="F137" s="6">
        <v>0.3639</v>
      </c>
      <c r="G137" t="s">
        <v>509</v>
      </c>
      <c r="H137" t="s">
        <v>512</v>
      </c>
      <c r="I137">
        <v>254</v>
      </c>
      <c r="J137" t="str">
        <f>TRIM(_xlfn.TEXTBEFORE(Table2[[#This Row],[mem]],"/"))</f>
        <v>1.393GiB</v>
      </c>
      <c r="K137" t="str">
        <f t="shared" si="4"/>
        <v>1.393GiB</v>
      </c>
      <c r="L137">
        <f t="shared" si="5"/>
        <v>1426.432</v>
      </c>
    </row>
    <row r="138" spans="1:12" x14ac:dyDescent="0.2">
      <c r="A138" t="s">
        <v>2</v>
      </c>
      <c r="B138">
        <v>1767073677</v>
      </c>
      <c r="C138" t="s">
        <v>337</v>
      </c>
      <c r="D138" s="6">
        <v>2.3E-2</v>
      </c>
      <c r="E138" t="s">
        <v>110</v>
      </c>
      <c r="F138" s="6">
        <v>0.17469999999999999</v>
      </c>
      <c r="G138" t="s">
        <v>467</v>
      </c>
      <c r="H138" t="s">
        <v>468</v>
      </c>
      <c r="I138">
        <v>89</v>
      </c>
      <c r="J138" t="str">
        <f>TRIM(_xlfn.TEXTBEFORE(Table2[[#This Row],[mem]],"/"))</f>
        <v>684.6MiB</v>
      </c>
      <c r="K138" t="str">
        <f t="shared" si="4"/>
        <v>684.6MiB</v>
      </c>
      <c r="L138">
        <f t="shared" si="5"/>
        <v>684.6</v>
      </c>
    </row>
    <row r="139" spans="1:12" x14ac:dyDescent="0.2">
      <c r="A139" t="s">
        <v>2</v>
      </c>
      <c r="B139">
        <v>1767073677</v>
      </c>
      <c r="C139" t="s">
        <v>340</v>
      </c>
      <c r="D139" s="6">
        <v>4.36E-2</v>
      </c>
      <c r="E139" t="s">
        <v>111</v>
      </c>
      <c r="F139" s="6">
        <v>8.2500000000000004E-2</v>
      </c>
      <c r="G139" t="s">
        <v>513</v>
      </c>
      <c r="H139" t="s">
        <v>514</v>
      </c>
      <c r="I139">
        <v>67</v>
      </c>
      <c r="J139" t="str">
        <f>TRIM(_xlfn.TEXTBEFORE(Table2[[#This Row],[mem]],"/"))</f>
        <v>323.2MiB</v>
      </c>
      <c r="K139" t="str">
        <f t="shared" si="4"/>
        <v>323.2MiB</v>
      </c>
      <c r="L139">
        <f t="shared" si="5"/>
        <v>323.2</v>
      </c>
    </row>
    <row r="140" spans="1:12" x14ac:dyDescent="0.2">
      <c r="A140" t="s">
        <v>2</v>
      </c>
      <c r="B140">
        <v>1767073677</v>
      </c>
      <c r="C140" t="s">
        <v>343</v>
      </c>
      <c r="D140" s="6">
        <v>8.9999999999999993E-3</v>
      </c>
      <c r="E140" t="s">
        <v>80</v>
      </c>
      <c r="F140" s="6">
        <v>0.11360000000000001</v>
      </c>
      <c r="G140" t="s">
        <v>515</v>
      </c>
      <c r="H140" t="s">
        <v>516</v>
      </c>
      <c r="I140">
        <v>268</v>
      </c>
      <c r="J140" t="str">
        <f>TRIM(_xlfn.TEXTBEFORE(Table2[[#This Row],[mem]],"/"))</f>
        <v>445.4MiB</v>
      </c>
      <c r="K140" t="str">
        <f t="shared" si="4"/>
        <v>445.4MiB</v>
      </c>
      <c r="L140">
        <f t="shared" si="5"/>
        <v>445.4</v>
      </c>
    </row>
    <row r="141" spans="1:12" x14ac:dyDescent="0.2">
      <c r="A141" t="s">
        <v>2</v>
      </c>
      <c r="B141">
        <v>1767073677</v>
      </c>
      <c r="C141" t="s">
        <v>346</v>
      </c>
      <c r="D141" s="6">
        <v>1.2538</v>
      </c>
      <c r="E141" t="s">
        <v>112</v>
      </c>
      <c r="F141" s="6">
        <v>0.36130000000000001</v>
      </c>
      <c r="G141" t="s">
        <v>517</v>
      </c>
      <c r="H141" t="s">
        <v>518</v>
      </c>
      <c r="I141">
        <v>259</v>
      </c>
      <c r="J141" t="str">
        <f>TRIM(_xlfn.TEXTBEFORE(Table2[[#This Row],[mem]],"/"))</f>
        <v>1.383GiB</v>
      </c>
      <c r="K141" t="str">
        <f t="shared" si="4"/>
        <v>1.383GiB</v>
      </c>
      <c r="L141">
        <f t="shared" si="5"/>
        <v>1416.192</v>
      </c>
    </row>
    <row r="142" spans="1:12" x14ac:dyDescent="0.2">
      <c r="A142" t="s">
        <v>2</v>
      </c>
      <c r="B142">
        <v>1767073684</v>
      </c>
      <c r="C142" t="s">
        <v>337</v>
      </c>
      <c r="D142" s="6">
        <v>1.52E-2</v>
      </c>
      <c r="E142" t="s">
        <v>113</v>
      </c>
      <c r="F142" s="6">
        <v>0.17069999999999999</v>
      </c>
      <c r="G142" t="s">
        <v>467</v>
      </c>
      <c r="H142" t="s">
        <v>519</v>
      </c>
      <c r="I142">
        <v>89</v>
      </c>
      <c r="J142" t="str">
        <f>TRIM(_xlfn.TEXTBEFORE(Table2[[#This Row],[mem]],"/"))</f>
        <v>668.9MiB</v>
      </c>
      <c r="K142" t="str">
        <f t="shared" si="4"/>
        <v>668.9MiB</v>
      </c>
      <c r="L142">
        <f t="shared" si="5"/>
        <v>668.9</v>
      </c>
    </row>
    <row r="143" spans="1:12" x14ac:dyDescent="0.2">
      <c r="A143" t="s">
        <v>2</v>
      </c>
      <c r="B143">
        <v>1767073684</v>
      </c>
      <c r="C143" t="s">
        <v>340</v>
      </c>
      <c r="D143" s="6">
        <v>2.6499999999999999E-2</v>
      </c>
      <c r="E143" t="s">
        <v>114</v>
      </c>
      <c r="F143" s="6">
        <v>8.1600000000000006E-2</v>
      </c>
      <c r="G143" t="s">
        <v>520</v>
      </c>
      <c r="H143" t="s">
        <v>521</v>
      </c>
      <c r="I143">
        <v>67</v>
      </c>
      <c r="J143" t="str">
        <f>TRIM(_xlfn.TEXTBEFORE(Table2[[#This Row],[mem]],"/"))</f>
        <v>319.9MiB</v>
      </c>
      <c r="K143" t="str">
        <f t="shared" si="4"/>
        <v>319.9MiB</v>
      </c>
      <c r="L143">
        <f t="shared" si="5"/>
        <v>319.89999999999998</v>
      </c>
    </row>
    <row r="144" spans="1:12" x14ac:dyDescent="0.2">
      <c r="A144" t="s">
        <v>2</v>
      </c>
      <c r="B144">
        <v>1767073684</v>
      </c>
      <c r="C144" t="s">
        <v>343</v>
      </c>
      <c r="D144" s="6">
        <v>1.2E-2</v>
      </c>
      <c r="E144" t="s">
        <v>115</v>
      </c>
      <c r="F144" s="6">
        <v>0.1138</v>
      </c>
      <c r="G144" t="s">
        <v>522</v>
      </c>
      <c r="H144" t="s">
        <v>523</v>
      </c>
      <c r="I144">
        <v>268</v>
      </c>
      <c r="J144" t="str">
        <f>TRIM(_xlfn.TEXTBEFORE(Table2[[#This Row],[mem]],"/"))</f>
        <v>445.9MiB</v>
      </c>
      <c r="K144" t="str">
        <f t="shared" si="4"/>
        <v>445.9MiB</v>
      </c>
      <c r="L144">
        <f t="shared" si="5"/>
        <v>445.9</v>
      </c>
    </row>
    <row r="145" spans="1:12" x14ac:dyDescent="0.2">
      <c r="A145" t="s">
        <v>2</v>
      </c>
      <c r="B145">
        <v>1767073684</v>
      </c>
      <c r="C145" t="s">
        <v>346</v>
      </c>
      <c r="D145" s="6">
        <v>1.3206</v>
      </c>
      <c r="E145" t="s">
        <v>116</v>
      </c>
      <c r="F145" s="6">
        <v>0.3654</v>
      </c>
      <c r="G145" t="s">
        <v>524</v>
      </c>
      <c r="H145" t="s">
        <v>525</v>
      </c>
      <c r="I145">
        <v>258</v>
      </c>
      <c r="J145" t="str">
        <f>TRIM(_xlfn.TEXTBEFORE(Table2[[#This Row],[mem]],"/"))</f>
        <v>1.399GiB</v>
      </c>
      <c r="K145" t="str">
        <f t="shared" si="4"/>
        <v>1.399GiB</v>
      </c>
      <c r="L145">
        <f t="shared" si="5"/>
        <v>1432.576</v>
      </c>
    </row>
    <row r="146" spans="1:12" x14ac:dyDescent="0.2">
      <c r="A146" t="s">
        <v>2</v>
      </c>
      <c r="B146">
        <v>1767073692</v>
      </c>
      <c r="C146" t="s">
        <v>337</v>
      </c>
      <c r="D146" s="6">
        <v>1.24E-2</v>
      </c>
      <c r="E146" t="s">
        <v>117</v>
      </c>
      <c r="F146" s="6">
        <v>0.17100000000000001</v>
      </c>
      <c r="G146" t="s">
        <v>526</v>
      </c>
      <c r="H146" t="s">
        <v>519</v>
      </c>
      <c r="I146">
        <v>89</v>
      </c>
      <c r="J146" t="str">
        <f>TRIM(_xlfn.TEXTBEFORE(Table2[[#This Row],[mem]],"/"))</f>
        <v>670.1MiB</v>
      </c>
      <c r="K146" t="str">
        <f t="shared" si="4"/>
        <v>670.1MiB</v>
      </c>
      <c r="L146">
        <f t="shared" si="5"/>
        <v>670.1</v>
      </c>
    </row>
    <row r="147" spans="1:12" x14ac:dyDescent="0.2">
      <c r="A147" t="s">
        <v>2</v>
      </c>
      <c r="B147">
        <v>1767073692</v>
      </c>
      <c r="C147" t="s">
        <v>340</v>
      </c>
      <c r="D147" s="6">
        <v>1.8E-3</v>
      </c>
      <c r="E147" t="s">
        <v>118</v>
      </c>
      <c r="F147" s="6">
        <v>8.1500000000000003E-2</v>
      </c>
      <c r="G147" t="s">
        <v>527</v>
      </c>
      <c r="H147" t="s">
        <v>528</v>
      </c>
      <c r="I147">
        <v>66</v>
      </c>
      <c r="J147" t="str">
        <f>TRIM(_xlfn.TEXTBEFORE(Table2[[#This Row],[mem]],"/"))</f>
        <v>319.3MiB</v>
      </c>
      <c r="K147" t="str">
        <f t="shared" si="4"/>
        <v>319.3MiB</v>
      </c>
      <c r="L147">
        <f t="shared" si="5"/>
        <v>319.3</v>
      </c>
    </row>
    <row r="148" spans="1:12" x14ac:dyDescent="0.2">
      <c r="A148" t="s">
        <v>2</v>
      </c>
      <c r="B148">
        <v>1767073692</v>
      </c>
      <c r="C148" t="s">
        <v>343</v>
      </c>
      <c r="D148" s="6">
        <v>5.7999999999999996E-3</v>
      </c>
      <c r="E148" t="s">
        <v>119</v>
      </c>
      <c r="F148" s="6">
        <v>0.1139</v>
      </c>
      <c r="G148" t="s">
        <v>529</v>
      </c>
      <c r="H148" t="s">
        <v>523</v>
      </c>
      <c r="I148">
        <v>268</v>
      </c>
      <c r="J148" t="str">
        <f>TRIM(_xlfn.TEXTBEFORE(Table2[[#This Row],[mem]],"/"))</f>
        <v>446.5MiB</v>
      </c>
      <c r="K148" t="str">
        <f t="shared" si="4"/>
        <v>446.5MiB</v>
      </c>
      <c r="L148">
        <f t="shared" si="5"/>
        <v>446.5</v>
      </c>
    </row>
    <row r="149" spans="1:12" x14ac:dyDescent="0.2">
      <c r="A149" t="s">
        <v>2</v>
      </c>
      <c r="B149">
        <v>1767073692</v>
      </c>
      <c r="C149" t="s">
        <v>346</v>
      </c>
      <c r="D149" s="6">
        <v>1.0509999999999999</v>
      </c>
      <c r="E149" t="s">
        <v>120</v>
      </c>
      <c r="F149" s="6">
        <v>0.3679</v>
      </c>
      <c r="G149" t="s">
        <v>530</v>
      </c>
      <c r="H149" t="s">
        <v>531</v>
      </c>
      <c r="I149">
        <v>256</v>
      </c>
      <c r="J149" t="str">
        <f>TRIM(_xlfn.TEXTBEFORE(Table2[[#This Row],[mem]],"/"))</f>
        <v>1.408GiB</v>
      </c>
      <c r="K149" t="str">
        <f t="shared" si="4"/>
        <v>1.408GiB</v>
      </c>
      <c r="L149">
        <f t="shared" si="5"/>
        <v>1441.7919999999999</v>
      </c>
    </row>
    <row r="150" spans="1:12" x14ac:dyDescent="0.2">
      <c r="A150" t="s">
        <v>2</v>
      </c>
      <c r="B150">
        <v>1767073699</v>
      </c>
      <c r="C150" t="s">
        <v>337</v>
      </c>
      <c r="D150" s="6">
        <v>1.8100000000000002E-2</v>
      </c>
      <c r="E150" t="s">
        <v>121</v>
      </c>
      <c r="F150" s="6">
        <v>0.1724</v>
      </c>
      <c r="G150" t="s">
        <v>526</v>
      </c>
      <c r="H150" t="s">
        <v>532</v>
      </c>
      <c r="I150">
        <v>89</v>
      </c>
      <c r="J150" t="str">
        <f>TRIM(_xlfn.TEXTBEFORE(Table2[[#This Row],[mem]],"/"))</f>
        <v>675.8MiB</v>
      </c>
      <c r="K150" t="str">
        <f t="shared" si="4"/>
        <v>675.8MiB</v>
      </c>
      <c r="L150">
        <f t="shared" si="5"/>
        <v>675.8</v>
      </c>
    </row>
    <row r="151" spans="1:12" x14ac:dyDescent="0.2">
      <c r="A151" t="s">
        <v>2</v>
      </c>
      <c r="B151">
        <v>1767073699</v>
      </c>
      <c r="C151" t="s">
        <v>340</v>
      </c>
      <c r="D151" s="6">
        <v>1.2999999999999999E-3</v>
      </c>
      <c r="E151" t="s">
        <v>122</v>
      </c>
      <c r="F151" s="6">
        <v>7.9100000000000004E-2</v>
      </c>
      <c r="G151" t="s">
        <v>527</v>
      </c>
      <c r="H151" t="s">
        <v>528</v>
      </c>
      <c r="I151">
        <v>66</v>
      </c>
      <c r="J151" t="str">
        <f>TRIM(_xlfn.TEXTBEFORE(Table2[[#This Row],[mem]],"/"))</f>
        <v>309.9MiB</v>
      </c>
      <c r="K151" t="str">
        <f t="shared" si="4"/>
        <v>309.9MiB</v>
      </c>
      <c r="L151">
        <f t="shared" si="5"/>
        <v>309.89999999999998</v>
      </c>
    </row>
    <row r="152" spans="1:12" x14ac:dyDescent="0.2">
      <c r="A152" t="s">
        <v>2</v>
      </c>
      <c r="B152">
        <v>1767073699</v>
      </c>
      <c r="C152" t="s">
        <v>343</v>
      </c>
      <c r="D152" s="6">
        <v>9.0399999999999994E-2</v>
      </c>
      <c r="E152" t="s">
        <v>123</v>
      </c>
      <c r="F152" s="6">
        <v>0.1139</v>
      </c>
      <c r="G152" t="s">
        <v>533</v>
      </c>
      <c r="H152" t="s">
        <v>534</v>
      </c>
      <c r="I152">
        <v>268</v>
      </c>
      <c r="J152" t="str">
        <f>TRIM(_xlfn.TEXTBEFORE(Table2[[#This Row],[mem]],"/"))</f>
        <v>446.6MiB</v>
      </c>
      <c r="K152" t="str">
        <f t="shared" si="4"/>
        <v>446.6MiB</v>
      </c>
      <c r="L152">
        <f t="shared" si="5"/>
        <v>446.6</v>
      </c>
    </row>
    <row r="153" spans="1:12" x14ac:dyDescent="0.2">
      <c r="A153" t="s">
        <v>2</v>
      </c>
      <c r="B153">
        <v>1767073699</v>
      </c>
      <c r="C153" t="s">
        <v>346</v>
      </c>
      <c r="D153" s="6">
        <v>1.1794</v>
      </c>
      <c r="E153" t="s">
        <v>124</v>
      </c>
      <c r="F153" s="6">
        <v>0.26879999999999998</v>
      </c>
      <c r="G153" t="s">
        <v>530</v>
      </c>
      <c r="H153" t="s">
        <v>535</v>
      </c>
      <c r="I153">
        <v>237</v>
      </c>
      <c r="J153" t="str">
        <f>TRIM(_xlfn.TEXTBEFORE(Table2[[#This Row],[mem]],"/"))</f>
        <v>1.029GiB</v>
      </c>
      <c r="K153" t="str">
        <f t="shared" si="4"/>
        <v>1.029GiB</v>
      </c>
      <c r="L153">
        <f t="shared" si="5"/>
        <v>1053.6959999999999</v>
      </c>
    </row>
    <row r="154" spans="1:12" x14ac:dyDescent="0.2">
      <c r="A154" t="s">
        <v>2</v>
      </c>
      <c r="B154">
        <v>1767073706</v>
      </c>
      <c r="C154" t="s">
        <v>337</v>
      </c>
      <c r="D154" s="6">
        <v>2.29E-2</v>
      </c>
      <c r="E154" t="s">
        <v>125</v>
      </c>
      <c r="F154" s="6">
        <v>0.17269999999999999</v>
      </c>
      <c r="G154" t="s">
        <v>526</v>
      </c>
      <c r="H154" t="s">
        <v>532</v>
      </c>
      <c r="I154">
        <v>89</v>
      </c>
      <c r="J154" t="str">
        <f>TRIM(_xlfn.TEXTBEFORE(Table2[[#This Row],[mem]],"/"))</f>
        <v>676.7MiB</v>
      </c>
      <c r="K154" t="str">
        <f t="shared" si="4"/>
        <v>676.7MiB</v>
      </c>
      <c r="L154">
        <f t="shared" si="5"/>
        <v>676.7</v>
      </c>
    </row>
    <row r="155" spans="1:12" x14ac:dyDescent="0.2">
      <c r="A155" t="s">
        <v>2</v>
      </c>
      <c r="B155">
        <v>1767073706</v>
      </c>
      <c r="C155" t="s">
        <v>340</v>
      </c>
      <c r="D155" s="6">
        <v>0.1057</v>
      </c>
      <c r="E155" t="s">
        <v>126</v>
      </c>
      <c r="F155" s="6">
        <v>8.0600000000000005E-2</v>
      </c>
      <c r="G155" t="s">
        <v>536</v>
      </c>
      <c r="H155" t="s">
        <v>537</v>
      </c>
      <c r="I155">
        <v>67</v>
      </c>
      <c r="J155" t="str">
        <f>TRIM(_xlfn.TEXTBEFORE(Table2[[#This Row],[mem]],"/"))</f>
        <v>316MiB</v>
      </c>
      <c r="K155" t="str">
        <f t="shared" si="4"/>
        <v>316MiB</v>
      </c>
      <c r="L155">
        <f t="shared" si="5"/>
        <v>316</v>
      </c>
    </row>
    <row r="156" spans="1:12" x14ac:dyDescent="0.2">
      <c r="A156" t="s">
        <v>2</v>
      </c>
      <c r="B156">
        <v>1767073706</v>
      </c>
      <c r="C156" t="s">
        <v>343</v>
      </c>
      <c r="D156" s="6">
        <v>8.0000000000000002E-3</v>
      </c>
      <c r="E156" t="s">
        <v>69</v>
      </c>
      <c r="F156" s="6">
        <v>0.114</v>
      </c>
      <c r="G156" t="s">
        <v>538</v>
      </c>
      <c r="H156" t="s">
        <v>534</v>
      </c>
      <c r="I156">
        <v>268</v>
      </c>
      <c r="J156" t="str">
        <f>TRIM(_xlfn.TEXTBEFORE(Table2[[#This Row],[mem]],"/"))</f>
        <v>447MiB</v>
      </c>
      <c r="K156" t="str">
        <f t="shared" si="4"/>
        <v>447MiB</v>
      </c>
      <c r="L156">
        <f t="shared" si="5"/>
        <v>447</v>
      </c>
    </row>
    <row r="157" spans="1:12" x14ac:dyDescent="0.2">
      <c r="A157" t="s">
        <v>2</v>
      </c>
      <c r="B157">
        <v>1767073706</v>
      </c>
      <c r="C157" t="s">
        <v>346</v>
      </c>
      <c r="D157" s="6">
        <v>1.3129</v>
      </c>
      <c r="E157" t="s">
        <v>127</v>
      </c>
      <c r="F157" s="6">
        <v>0.36799999999999999</v>
      </c>
      <c r="G157" t="s">
        <v>539</v>
      </c>
      <c r="H157" t="s">
        <v>540</v>
      </c>
      <c r="I157">
        <v>262</v>
      </c>
      <c r="J157" t="str">
        <f>TRIM(_xlfn.TEXTBEFORE(Table2[[#This Row],[mem]],"/"))</f>
        <v>1.409GiB</v>
      </c>
      <c r="K157" t="str">
        <f t="shared" si="4"/>
        <v>1.409GiB</v>
      </c>
      <c r="L157">
        <f t="shared" si="5"/>
        <v>1442.816</v>
      </c>
    </row>
    <row r="158" spans="1:12" x14ac:dyDescent="0.2">
      <c r="A158" t="s">
        <v>2</v>
      </c>
      <c r="B158">
        <v>1767073712</v>
      </c>
      <c r="C158" t="s">
        <v>337</v>
      </c>
      <c r="D158" s="6">
        <v>1.3299999999999999E-2</v>
      </c>
      <c r="E158" t="s">
        <v>128</v>
      </c>
      <c r="F158" s="6">
        <v>0.1719</v>
      </c>
      <c r="G158" t="s">
        <v>526</v>
      </c>
      <c r="H158" t="s">
        <v>541</v>
      </c>
      <c r="I158">
        <v>89</v>
      </c>
      <c r="J158" t="str">
        <f>TRIM(_xlfn.TEXTBEFORE(Table2[[#This Row],[mem]],"/"))</f>
        <v>673.7MiB</v>
      </c>
      <c r="K158" t="str">
        <f t="shared" si="4"/>
        <v>673.7MiB</v>
      </c>
      <c r="L158">
        <f t="shared" si="5"/>
        <v>673.7</v>
      </c>
    </row>
    <row r="159" spans="1:12" x14ac:dyDescent="0.2">
      <c r="A159" t="s">
        <v>2</v>
      </c>
      <c r="B159">
        <v>1767073712</v>
      </c>
      <c r="C159" t="s">
        <v>340</v>
      </c>
      <c r="D159" s="6">
        <v>3.6299999999999999E-2</v>
      </c>
      <c r="E159" t="s">
        <v>129</v>
      </c>
      <c r="F159" s="6">
        <v>8.1000000000000003E-2</v>
      </c>
      <c r="G159" t="s">
        <v>542</v>
      </c>
      <c r="H159" t="s">
        <v>543</v>
      </c>
      <c r="I159">
        <v>67</v>
      </c>
      <c r="J159" t="str">
        <f>TRIM(_xlfn.TEXTBEFORE(Table2[[#This Row],[mem]],"/"))</f>
        <v>317.3MiB</v>
      </c>
      <c r="K159" t="str">
        <f t="shared" si="4"/>
        <v>317.3MiB</v>
      </c>
      <c r="L159">
        <f t="shared" si="5"/>
        <v>317.3</v>
      </c>
    </row>
    <row r="160" spans="1:12" x14ac:dyDescent="0.2">
      <c r="A160" t="s">
        <v>2</v>
      </c>
      <c r="B160">
        <v>1767073712</v>
      </c>
      <c r="C160" t="s">
        <v>343</v>
      </c>
      <c r="D160" s="6">
        <v>6.4999999999999997E-3</v>
      </c>
      <c r="E160" t="s">
        <v>130</v>
      </c>
      <c r="F160" s="6">
        <v>0.11409999999999999</v>
      </c>
      <c r="G160" t="s">
        <v>544</v>
      </c>
      <c r="H160" t="s">
        <v>534</v>
      </c>
      <c r="I160">
        <v>268</v>
      </c>
      <c r="J160" t="str">
        <f>TRIM(_xlfn.TEXTBEFORE(Table2[[#This Row],[mem]],"/"))</f>
        <v>447.4MiB</v>
      </c>
      <c r="K160" t="str">
        <f t="shared" si="4"/>
        <v>447.4MiB</v>
      </c>
      <c r="L160">
        <f t="shared" si="5"/>
        <v>447.4</v>
      </c>
    </row>
    <row r="161" spans="1:12" x14ac:dyDescent="0.2">
      <c r="A161" t="s">
        <v>2</v>
      </c>
      <c r="B161">
        <v>1767073712</v>
      </c>
      <c r="C161" t="s">
        <v>346</v>
      </c>
      <c r="D161" s="6">
        <v>1.2781</v>
      </c>
      <c r="E161" t="s">
        <v>131</v>
      </c>
      <c r="F161" s="6">
        <v>0.36870000000000003</v>
      </c>
      <c r="G161" t="s">
        <v>545</v>
      </c>
      <c r="H161" t="s">
        <v>546</v>
      </c>
      <c r="I161">
        <v>259</v>
      </c>
      <c r="J161" t="str">
        <f>TRIM(_xlfn.TEXTBEFORE(Table2[[#This Row],[mem]],"/"))</f>
        <v>1.411GiB</v>
      </c>
      <c r="K161" t="str">
        <f t="shared" si="4"/>
        <v>1.411GiB</v>
      </c>
      <c r="L161">
        <f t="shared" si="5"/>
        <v>1444.864</v>
      </c>
    </row>
    <row r="162" spans="1:12" x14ac:dyDescent="0.2">
      <c r="A162" t="s">
        <v>2</v>
      </c>
      <c r="B162">
        <v>1767073720</v>
      </c>
      <c r="C162" t="s">
        <v>337</v>
      </c>
      <c r="D162" s="6">
        <v>8.6E-3</v>
      </c>
      <c r="E162" t="s">
        <v>132</v>
      </c>
      <c r="F162" s="6">
        <v>0.17119999999999999</v>
      </c>
      <c r="G162" t="s">
        <v>526</v>
      </c>
      <c r="H162" t="s">
        <v>547</v>
      </c>
      <c r="I162">
        <v>89</v>
      </c>
      <c r="J162" t="str">
        <f>TRIM(_xlfn.TEXTBEFORE(Table2[[#This Row],[mem]],"/"))</f>
        <v>670.9MiB</v>
      </c>
      <c r="K162" t="str">
        <f t="shared" si="4"/>
        <v>670.9MiB</v>
      </c>
      <c r="L162">
        <f t="shared" si="5"/>
        <v>670.9</v>
      </c>
    </row>
    <row r="163" spans="1:12" x14ac:dyDescent="0.2">
      <c r="A163" t="s">
        <v>2</v>
      </c>
      <c r="B163">
        <v>1767073720</v>
      </c>
      <c r="C163" t="s">
        <v>340</v>
      </c>
      <c r="D163" s="6">
        <v>2E-3</v>
      </c>
      <c r="E163" t="s">
        <v>133</v>
      </c>
      <c r="F163" s="6">
        <v>8.1000000000000003E-2</v>
      </c>
      <c r="G163" t="s">
        <v>548</v>
      </c>
      <c r="H163" t="s">
        <v>549</v>
      </c>
      <c r="I163">
        <v>66</v>
      </c>
      <c r="J163" t="str">
        <f>TRIM(_xlfn.TEXTBEFORE(Table2[[#This Row],[mem]],"/"))</f>
        <v>317.7MiB</v>
      </c>
      <c r="K163" t="str">
        <f t="shared" si="4"/>
        <v>317.7MiB</v>
      </c>
      <c r="L163">
        <f t="shared" si="5"/>
        <v>317.7</v>
      </c>
    </row>
    <row r="164" spans="1:12" x14ac:dyDescent="0.2">
      <c r="A164" t="s">
        <v>2</v>
      </c>
      <c r="B164">
        <v>1767073720</v>
      </c>
      <c r="C164" t="s">
        <v>343</v>
      </c>
      <c r="D164" s="6">
        <v>8.3000000000000001E-3</v>
      </c>
      <c r="E164" t="s">
        <v>134</v>
      </c>
      <c r="F164" s="6">
        <v>0.11650000000000001</v>
      </c>
      <c r="G164" t="s">
        <v>550</v>
      </c>
      <c r="H164" t="s">
        <v>551</v>
      </c>
      <c r="I164">
        <v>268</v>
      </c>
      <c r="J164" t="str">
        <f>TRIM(_xlfn.TEXTBEFORE(Table2[[#This Row],[mem]],"/"))</f>
        <v>456.4MiB</v>
      </c>
      <c r="K164" t="str">
        <f t="shared" si="4"/>
        <v>456.4MiB</v>
      </c>
      <c r="L164">
        <f t="shared" si="5"/>
        <v>456.4</v>
      </c>
    </row>
    <row r="165" spans="1:12" x14ac:dyDescent="0.2">
      <c r="A165" t="s">
        <v>2</v>
      </c>
      <c r="B165">
        <v>1767073720</v>
      </c>
      <c r="C165" t="s">
        <v>346</v>
      </c>
      <c r="D165" s="6">
        <v>1.022</v>
      </c>
      <c r="E165" t="s">
        <v>135</v>
      </c>
      <c r="F165" s="6">
        <v>0.36749999999999999</v>
      </c>
      <c r="G165" t="s">
        <v>552</v>
      </c>
      <c r="H165" t="s">
        <v>553</v>
      </c>
      <c r="I165">
        <v>257</v>
      </c>
      <c r="J165" t="str">
        <f>TRIM(_xlfn.TEXTBEFORE(Table2[[#This Row],[mem]],"/"))</f>
        <v>1.407GiB</v>
      </c>
      <c r="K165" t="str">
        <f t="shared" si="4"/>
        <v>1.407GiB</v>
      </c>
      <c r="L165">
        <f t="shared" si="5"/>
        <v>1440.768</v>
      </c>
    </row>
    <row r="166" spans="1:12" x14ac:dyDescent="0.2">
      <c r="A166" t="s">
        <v>2</v>
      </c>
      <c r="B166">
        <v>1767073727</v>
      </c>
      <c r="C166" t="s">
        <v>337</v>
      </c>
      <c r="D166" s="6">
        <v>1.44E-2</v>
      </c>
      <c r="E166" t="s">
        <v>136</v>
      </c>
      <c r="F166" s="6">
        <v>0.1714</v>
      </c>
      <c r="G166" t="s">
        <v>526</v>
      </c>
      <c r="H166" t="s">
        <v>554</v>
      </c>
      <c r="I166">
        <v>89</v>
      </c>
      <c r="J166" t="str">
        <f>TRIM(_xlfn.TEXTBEFORE(Table2[[#This Row],[mem]],"/"))</f>
        <v>671.9MiB</v>
      </c>
      <c r="K166" t="str">
        <f t="shared" si="4"/>
        <v>671.9MiB</v>
      </c>
      <c r="L166">
        <f t="shared" si="5"/>
        <v>671.9</v>
      </c>
    </row>
    <row r="167" spans="1:12" x14ac:dyDescent="0.2">
      <c r="A167" t="s">
        <v>2</v>
      </c>
      <c r="B167">
        <v>1767073727</v>
      </c>
      <c r="C167" t="s">
        <v>340</v>
      </c>
      <c r="D167" s="6">
        <v>1.5E-3</v>
      </c>
      <c r="E167" t="s">
        <v>137</v>
      </c>
      <c r="F167" s="6">
        <v>8.09E-2</v>
      </c>
      <c r="G167" t="s">
        <v>548</v>
      </c>
      <c r="H167" t="s">
        <v>549</v>
      </c>
      <c r="I167">
        <v>66</v>
      </c>
      <c r="J167" t="str">
        <f>TRIM(_xlfn.TEXTBEFORE(Table2[[#This Row],[mem]],"/"))</f>
        <v>317MiB</v>
      </c>
      <c r="K167" t="str">
        <f t="shared" si="4"/>
        <v>317MiB</v>
      </c>
      <c r="L167">
        <f t="shared" si="5"/>
        <v>317</v>
      </c>
    </row>
    <row r="168" spans="1:12" x14ac:dyDescent="0.2">
      <c r="A168" t="s">
        <v>2</v>
      </c>
      <c r="B168">
        <v>1767073727</v>
      </c>
      <c r="C168" t="s">
        <v>343</v>
      </c>
      <c r="D168" s="6">
        <v>6.5799999999999997E-2</v>
      </c>
      <c r="E168" t="s">
        <v>138</v>
      </c>
      <c r="F168" s="6">
        <v>0.11650000000000001</v>
      </c>
      <c r="G168" t="s">
        <v>555</v>
      </c>
      <c r="H168" t="s">
        <v>556</v>
      </c>
      <c r="I168">
        <v>268</v>
      </c>
      <c r="J168" t="str">
        <f>TRIM(_xlfn.TEXTBEFORE(Table2[[#This Row],[mem]],"/"))</f>
        <v>456.7MiB</v>
      </c>
      <c r="K168" t="str">
        <f t="shared" si="4"/>
        <v>456.7MiB</v>
      </c>
      <c r="L168">
        <f t="shared" si="5"/>
        <v>456.7</v>
      </c>
    </row>
    <row r="169" spans="1:12" x14ac:dyDescent="0.2">
      <c r="A169" t="s">
        <v>2</v>
      </c>
      <c r="B169">
        <v>1767073727</v>
      </c>
      <c r="C169" t="s">
        <v>346</v>
      </c>
      <c r="D169" s="6">
        <v>0.99760000000000004</v>
      </c>
      <c r="E169" t="s">
        <v>139</v>
      </c>
      <c r="F169" s="6">
        <v>0.2702</v>
      </c>
      <c r="G169" t="s">
        <v>552</v>
      </c>
      <c r="H169" t="s">
        <v>557</v>
      </c>
      <c r="I169">
        <v>250</v>
      </c>
      <c r="J169" t="str">
        <f>TRIM(_xlfn.TEXTBEFORE(Table2[[#This Row],[mem]],"/"))</f>
        <v>1.034GiB</v>
      </c>
      <c r="K169" t="str">
        <f t="shared" si="4"/>
        <v>1.034GiB</v>
      </c>
      <c r="L169">
        <f t="shared" si="5"/>
        <v>1058.816</v>
      </c>
    </row>
    <row r="170" spans="1:12" x14ac:dyDescent="0.2">
      <c r="A170" t="s">
        <v>2</v>
      </c>
      <c r="B170">
        <v>1767073734</v>
      </c>
      <c r="C170" t="s">
        <v>337</v>
      </c>
      <c r="D170" s="6">
        <v>2.2200000000000001E-2</v>
      </c>
      <c r="E170" t="s">
        <v>140</v>
      </c>
      <c r="F170" s="6">
        <v>0.17199999999999999</v>
      </c>
      <c r="G170" t="s">
        <v>526</v>
      </c>
      <c r="H170" t="s">
        <v>554</v>
      </c>
      <c r="I170">
        <v>89</v>
      </c>
      <c r="J170" t="str">
        <f>TRIM(_xlfn.TEXTBEFORE(Table2[[#This Row],[mem]],"/"))</f>
        <v>674MiB</v>
      </c>
      <c r="K170" t="str">
        <f t="shared" si="4"/>
        <v>674MiB</v>
      </c>
      <c r="L170">
        <f t="shared" si="5"/>
        <v>674</v>
      </c>
    </row>
    <row r="171" spans="1:12" x14ac:dyDescent="0.2">
      <c r="A171" t="s">
        <v>2</v>
      </c>
      <c r="B171">
        <v>1767073734</v>
      </c>
      <c r="C171" t="s">
        <v>340</v>
      </c>
      <c r="D171" s="6">
        <v>3.5000000000000001E-3</v>
      </c>
      <c r="E171" t="s">
        <v>141</v>
      </c>
      <c r="F171" s="6">
        <v>8.2400000000000001E-2</v>
      </c>
      <c r="G171" t="s">
        <v>558</v>
      </c>
      <c r="H171" t="s">
        <v>559</v>
      </c>
      <c r="I171">
        <v>67</v>
      </c>
      <c r="J171" t="str">
        <f>TRIM(_xlfn.TEXTBEFORE(Table2[[#This Row],[mem]],"/"))</f>
        <v>322.9MiB</v>
      </c>
      <c r="K171" t="str">
        <f t="shared" si="4"/>
        <v>322.9MiB</v>
      </c>
      <c r="L171">
        <f t="shared" si="5"/>
        <v>322.89999999999998</v>
      </c>
    </row>
    <row r="172" spans="1:12" x14ac:dyDescent="0.2">
      <c r="A172" t="s">
        <v>2</v>
      </c>
      <c r="B172">
        <v>1767073734</v>
      </c>
      <c r="C172" t="s">
        <v>343</v>
      </c>
      <c r="D172" s="6">
        <v>7.0000000000000001E-3</v>
      </c>
      <c r="E172" t="s">
        <v>142</v>
      </c>
      <c r="F172" s="6">
        <v>0.1166</v>
      </c>
      <c r="G172" t="s">
        <v>560</v>
      </c>
      <c r="H172" t="s">
        <v>556</v>
      </c>
      <c r="I172">
        <v>268</v>
      </c>
      <c r="J172" t="str">
        <f>TRIM(_xlfn.TEXTBEFORE(Table2[[#This Row],[mem]],"/"))</f>
        <v>457.2MiB</v>
      </c>
      <c r="K172" t="str">
        <f t="shared" si="4"/>
        <v>457.2MiB</v>
      </c>
      <c r="L172">
        <f t="shared" si="5"/>
        <v>457.2</v>
      </c>
    </row>
    <row r="173" spans="1:12" x14ac:dyDescent="0.2">
      <c r="A173" t="s">
        <v>2</v>
      </c>
      <c r="B173">
        <v>1767073734</v>
      </c>
      <c r="C173" t="s">
        <v>346</v>
      </c>
      <c r="D173" s="6">
        <v>1.0616000000000001</v>
      </c>
      <c r="E173" t="s">
        <v>143</v>
      </c>
      <c r="F173" s="6">
        <v>0.36620000000000003</v>
      </c>
      <c r="G173" t="s">
        <v>561</v>
      </c>
      <c r="H173" t="s">
        <v>557</v>
      </c>
      <c r="I173">
        <v>262</v>
      </c>
      <c r="J173" t="str">
        <f>TRIM(_xlfn.TEXTBEFORE(Table2[[#This Row],[mem]],"/"))</f>
        <v>1.401GiB</v>
      </c>
      <c r="K173" t="str">
        <f t="shared" si="4"/>
        <v>1.401GiB</v>
      </c>
      <c r="L173">
        <f t="shared" si="5"/>
        <v>1434.624</v>
      </c>
    </row>
    <row r="174" spans="1:12" x14ac:dyDescent="0.2">
      <c r="A174" t="s">
        <v>2</v>
      </c>
      <c r="B174">
        <v>1767073742</v>
      </c>
      <c r="C174" t="s">
        <v>337</v>
      </c>
      <c r="D174" s="6">
        <v>2.5499999999999998E-2</v>
      </c>
      <c r="E174" t="s">
        <v>144</v>
      </c>
      <c r="F174" s="6">
        <v>0.1724</v>
      </c>
      <c r="G174" t="s">
        <v>526</v>
      </c>
      <c r="H174" t="s">
        <v>554</v>
      </c>
      <c r="I174">
        <v>89</v>
      </c>
      <c r="J174" t="str">
        <f>TRIM(_xlfn.TEXTBEFORE(Table2[[#This Row],[mem]],"/"))</f>
        <v>675.6MiB</v>
      </c>
      <c r="K174" t="str">
        <f t="shared" si="4"/>
        <v>675.6MiB</v>
      </c>
      <c r="L174">
        <f t="shared" si="5"/>
        <v>675.6</v>
      </c>
    </row>
    <row r="175" spans="1:12" x14ac:dyDescent="0.2">
      <c r="A175" t="s">
        <v>2</v>
      </c>
      <c r="B175">
        <v>1767073742</v>
      </c>
      <c r="C175" t="s">
        <v>340</v>
      </c>
      <c r="D175" s="6">
        <v>1.5599999999999999E-2</v>
      </c>
      <c r="E175" t="s">
        <v>145</v>
      </c>
      <c r="F175" s="6">
        <v>8.1199999999999994E-2</v>
      </c>
      <c r="G175" t="s">
        <v>562</v>
      </c>
      <c r="H175" t="s">
        <v>563</v>
      </c>
      <c r="I175">
        <v>67</v>
      </c>
      <c r="J175" t="str">
        <f>TRIM(_xlfn.TEXTBEFORE(Table2[[#This Row],[mem]],"/"))</f>
        <v>318.2MiB</v>
      </c>
      <c r="K175" t="str">
        <f t="shared" si="4"/>
        <v>318.2MiB</v>
      </c>
      <c r="L175">
        <f t="shared" si="5"/>
        <v>318.2</v>
      </c>
    </row>
    <row r="176" spans="1:12" x14ac:dyDescent="0.2">
      <c r="A176" t="s">
        <v>2</v>
      </c>
      <c r="B176">
        <v>1767073742</v>
      </c>
      <c r="C176" t="s">
        <v>343</v>
      </c>
      <c r="D176" s="6">
        <v>1.7000000000000001E-2</v>
      </c>
      <c r="E176" t="s">
        <v>146</v>
      </c>
      <c r="F176" s="6">
        <v>0.1169</v>
      </c>
      <c r="G176" t="s">
        <v>564</v>
      </c>
      <c r="H176" t="s">
        <v>565</v>
      </c>
      <c r="I176">
        <v>268</v>
      </c>
      <c r="J176" t="str">
        <f>TRIM(_xlfn.TEXTBEFORE(Table2[[#This Row],[mem]],"/"))</f>
        <v>458.2MiB</v>
      </c>
      <c r="K176" t="str">
        <f t="shared" si="4"/>
        <v>458.2MiB</v>
      </c>
      <c r="L176">
        <f t="shared" si="5"/>
        <v>458.2</v>
      </c>
    </row>
    <row r="177" spans="1:12" x14ac:dyDescent="0.2">
      <c r="A177" t="s">
        <v>2</v>
      </c>
      <c r="B177">
        <v>1767073742</v>
      </c>
      <c r="C177" t="s">
        <v>346</v>
      </c>
      <c r="D177" s="6">
        <v>1.1349</v>
      </c>
      <c r="E177" t="s">
        <v>120</v>
      </c>
      <c r="F177" s="6">
        <v>0.3679</v>
      </c>
      <c r="G177" t="s">
        <v>566</v>
      </c>
      <c r="H177" t="s">
        <v>567</v>
      </c>
      <c r="I177">
        <v>263</v>
      </c>
      <c r="J177" t="str">
        <f>TRIM(_xlfn.TEXTBEFORE(Table2[[#This Row],[mem]],"/"))</f>
        <v>1.408GiB</v>
      </c>
      <c r="K177" t="str">
        <f t="shared" si="4"/>
        <v>1.408GiB</v>
      </c>
      <c r="L177">
        <f t="shared" si="5"/>
        <v>1441.7919999999999</v>
      </c>
    </row>
    <row r="178" spans="1:12" x14ac:dyDescent="0.2">
      <c r="A178" t="s">
        <v>2</v>
      </c>
      <c r="B178">
        <v>1767073750</v>
      </c>
      <c r="C178" t="s">
        <v>337</v>
      </c>
      <c r="D178" s="6">
        <v>6.1000000000000004E-3</v>
      </c>
      <c r="E178" t="s">
        <v>147</v>
      </c>
      <c r="F178" s="6">
        <v>0.17249999999999999</v>
      </c>
      <c r="G178" t="s">
        <v>526</v>
      </c>
      <c r="H178" t="s">
        <v>554</v>
      </c>
      <c r="I178">
        <v>89</v>
      </c>
      <c r="J178" t="str">
        <f>TRIM(_xlfn.TEXTBEFORE(Table2[[#This Row],[mem]],"/"))</f>
        <v>676MiB</v>
      </c>
      <c r="K178" t="str">
        <f t="shared" si="4"/>
        <v>676MiB</v>
      </c>
      <c r="L178">
        <f t="shared" si="5"/>
        <v>676</v>
      </c>
    </row>
    <row r="179" spans="1:12" x14ac:dyDescent="0.2">
      <c r="A179" t="s">
        <v>2</v>
      </c>
      <c r="B179">
        <v>1767073750</v>
      </c>
      <c r="C179" t="s">
        <v>340</v>
      </c>
      <c r="D179" s="6">
        <v>4.4000000000000003E-3</v>
      </c>
      <c r="E179" t="s">
        <v>148</v>
      </c>
      <c r="F179" s="6">
        <v>7.9399999999999998E-2</v>
      </c>
      <c r="G179" t="s">
        <v>568</v>
      </c>
      <c r="H179" t="s">
        <v>569</v>
      </c>
      <c r="I179">
        <v>66</v>
      </c>
      <c r="J179" t="str">
        <f>TRIM(_xlfn.TEXTBEFORE(Table2[[#This Row],[mem]],"/"))</f>
        <v>311.2MiB</v>
      </c>
      <c r="K179" t="str">
        <f t="shared" si="4"/>
        <v>311.2MiB</v>
      </c>
      <c r="L179">
        <f t="shared" si="5"/>
        <v>311.2</v>
      </c>
    </row>
    <row r="180" spans="1:12" x14ac:dyDescent="0.2">
      <c r="A180" t="s">
        <v>2</v>
      </c>
      <c r="B180">
        <v>1767073750</v>
      </c>
      <c r="C180" t="s">
        <v>343</v>
      </c>
      <c r="D180" s="6">
        <v>7.4999999999999997E-3</v>
      </c>
      <c r="E180" t="s">
        <v>149</v>
      </c>
      <c r="F180" s="6">
        <v>0.1171</v>
      </c>
      <c r="G180" t="s">
        <v>570</v>
      </c>
      <c r="H180" t="s">
        <v>565</v>
      </c>
      <c r="I180">
        <v>268</v>
      </c>
      <c r="J180" t="str">
        <f>TRIM(_xlfn.TEXTBEFORE(Table2[[#This Row],[mem]],"/"))</f>
        <v>458.8MiB</v>
      </c>
      <c r="K180" t="str">
        <f t="shared" si="4"/>
        <v>458.8MiB</v>
      </c>
      <c r="L180">
        <f t="shared" si="5"/>
        <v>458.8</v>
      </c>
    </row>
    <row r="181" spans="1:12" x14ac:dyDescent="0.2">
      <c r="A181" t="s">
        <v>2</v>
      </c>
      <c r="B181">
        <v>1767073750</v>
      </c>
      <c r="C181" t="s">
        <v>346</v>
      </c>
      <c r="D181" s="6">
        <v>1.0298</v>
      </c>
      <c r="E181" t="s">
        <v>150</v>
      </c>
      <c r="F181" s="6">
        <v>0.36649999999999999</v>
      </c>
      <c r="G181" t="s">
        <v>571</v>
      </c>
      <c r="H181" t="s">
        <v>572</v>
      </c>
      <c r="I181">
        <v>262</v>
      </c>
      <c r="J181" t="str">
        <f>TRIM(_xlfn.TEXTBEFORE(Table2[[#This Row],[mem]],"/"))</f>
        <v>1.403GiB</v>
      </c>
      <c r="K181" t="str">
        <f t="shared" si="4"/>
        <v>1.403GiB</v>
      </c>
      <c r="L181">
        <f t="shared" si="5"/>
        <v>1436.672</v>
      </c>
    </row>
    <row r="182" spans="1:12" x14ac:dyDescent="0.2">
      <c r="A182" t="s">
        <v>2</v>
      </c>
      <c r="B182">
        <v>1767073757</v>
      </c>
      <c r="C182" t="s">
        <v>337</v>
      </c>
      <c r="D182" s="6">
        <v>9.7999999999999997E-3</v>
      </c>
      <c r="E182" t="s">
        <v>151</v>
      </c>
      <c r="F182" s="6">
        <v>0.1726</v>
      </c>
      <c r="G182" t="s">
        <v>526</v>
      </c>
      <c r="H182" t="s">
        <v>554</v>
      </c>
      <c r="I182">
        <v>89</v>
      </c>
      <c r="J182" t="str">
        <f>TRIM(_xlfn.TEXTBEFORE(Table2[[#This Row],[mem]],"/"))</f>
        <v>676.6MiB</v>
      </c>
      <c r="K182" t="str">
        <f t="shared" si="4"/>
        <v>676.6MiB</v>
      </c>
      <c r="L182">
        <f t="shared" si="5"/>
        <v>676.6</v>
      </c>
    </row>
    <row r="183" spans="1:12" x14ac:dyDescent="0.2">
      <c r="A183" t="s">
        <v>2</v>
      </c>
      <c r="B183">
        <v>1767073757</v>
      </c>
      <c r="C183" t="s">
        <v>340</v>
      </c>
      <c r="D183" s="6">
        <v>1.6000000000000001E-3</v>
      </c>
      <c r="E183" t="s">
        <v>152</v>
      </c>
      <c r="F183" s="6">
        <v>7.9500000000000001E-2</v>
      </c>
      <c r="G183" t="s">
        <v>568</v>
      </c>
      <c r="H183" t="s">
        <v>569</v>
      </c>
      <c r="I183">
        <v>66</v>
      </c>
      <c r="J183" t="str">
        <f>TRIM(_xlfn.TEXTBEFORE(Table2[[#This Row],[mem]],"/"))</f>
        <v>311.6MiB</v>
      </c>
      <c r="K183" t="str">
        <f t="shared" si="4"/>
        <v>311.6MiB</v>
      </c>
      <c r="L183">
        <f t="shared" si="5"/>
        <v>311.60000000000002</v>
      </c>
    </row>
    <row r="184" spans="1:12" x14ac:dyDescent="0.2">
      <c r="A184" t="s">
        <v>2</v>
      </c>
      <c r="B184">
        <v>1767073757</v>
      </c>
      <c r="C184" t="s">
        <v>343</v>
      </c>
      <c r="D184" s="6">
        <v>6.4000000000000003E-3</v>
      </c>
      <c r="E184" t="s">
        <v>153</v>
      </c>
      <c r="F184" s="6">
        <v>0.1173</v>
      </c>
      <c r="G184" t="s">
        <v>573</v>
      </c>
      <c r="H184" t="s">
        <v>574</v>
      </c>
      <c r="I184">
        <v>268</v>
      </c>
      <c r="J184" t="str">
        <f>TRIM(_xlfn.TEXTBEFORE(Table2[[#This Row],[mem]],"/"))</f>
        <v>459.7MiB</v>
      </c>
      <c r="K184" t="str">
        <f t="shared" si="4"/>
        <v>459.7MiB</v>
      </c>
      <c r="L184">
        <f t="shared" si="5"/>
        <v>459.7</v>
      </c>
    </row>
    <row r="185" spans="1:12" x14ac:dyDescent="0.2">
      <c r="A185" t="s">
        <v>2</v>
      </c>
      <c r="B185">
        <v>1767073757</v>
      </c>
      <c r="C185" t="s">
        <v>346</v>
      </c>
      <c r="D185" s="6">
        <v>1.6533</v>
      </c>
      <c r="E185" t="s">
        <v>154</v>
      </c>
      <c r="F185" s="6">
        <v>0.32490000000000002</v>
      </c>
      <c r="G185" t="s">
        <v>571</v>
      </c>
      <c r="H185" t="s">
        <v>575</v>
      </c>
      <c r="I185">
        <v>262</v>
      </c>
      <c r="J185" t="str">
        <f>TRIM(_xlfn.TEXTBEFORE(Table2[[#This Row],[mem]],"/"))</f>
        <v>1.243GiB</v>
      </c>
      <c r="K185" t="str">
        <f t="shared" si="4"/>
        <v>1.243GiB</v>
      </c>
      <c r="L185">
        <f t="shared" si="5"/>
        <v>1272.8320000000001</v>
      </c>
    </row>
    <row r="186" spans="1:12" x14ac:dyDescent="0.2">
      <c r="A186" t="s">
        <v>2</v>
      </c>
      <c r="B186">
        <v>1767073764</v>
      </c>
      <c r="C186" t="s">
        <v>337</v>
      </c>
      <c r="D186" s="6">
        <v>1.7000000000000001E-2</v>
      </c>
      <c r="E186" t="s">
        <v>155</v>
      </c>
      <c r="F186" s="6">
        <v>0.17280000000000001</v>
      </c>
      <c r="G186" t="s">
        <v>526</v>
      </c>
      <c r="H186" t="s">
        <v>554</v>
      </c>
      <c r="I186">
        <v>89</v>
      </c>
      <c r="J186" t="str">
        <f>TRIM(_xlfn.TEXTBEFORE(Table2[[#This Row],[mem]],"/"))</f>
        <v>677.2MiB</v>
      </c>
      <c r="K186" t="str">
        <f t="shared" si="4"/>
        <v>677.2MiB</v>
      </c>
      <c r="L186">
        <f t="shared" si="5"/>
        <v>677.2</v>
      </c>
    </row>
    <row r="187" spans="1:12" x14ac:dyDescent="0.2">
      <c r="A187" t="s">
        <v>2</v>
      </c>
      <c r="B187">
        <v>1767073764</v>
      </c>
      <c r="C187" t="s">
        <v>340</v>
      </c>
      <c r="D187" s="6">
        <v>2.0799999999999999E-2</v>
      </c>
      <c r="E187" t="s">
        <v>137</v>
      </c>
      <c r="F187" s="6">
        <v>8.09E-2</v>
      </c>
      <c r="G187" t="s">
        <v>576</v>
      </c>
      <c r="H187" t="s">
        <v>577</v>
      </c>
      <c r="I187">
        <v>67</v>
      </c>
      <c r="J187" t="str">
        <f>TRIM(_xlfn.TEXTBEFORE(Table2[[#This Row],[mem]],"/"))</f>
        <v>317MiB</v>
      </c>
      <c r="K187" t="str">
        <f t="shared" si="4"/>
        <v>317MiB</v>
      </c>
      <c r="L187">
        <f t="shared" si="5"/>
        <v>317</v>
      </c>
    </row>
    <row r="188" spans="1:12" x14ac:dyDescent="0.2">
      <c r="A188" t="s">
        <v>2</v>
      </c>
      <c r="B188">
        <v>1767073764</v>
      </c>
      <c r="C188" t="s">
        <v>343</v>
      </c>
      <c r="D188" s="6">
        <v>6.1999999999999998E-3</v>
      </c>
      <c r="E188" t="s">
        <v>156</v>
      </c>
      <c r="F188" s="6">
        <v>0.1173</v>
      </c>
      <c r="G188" t="s">
        <v>578</v>
      </c>
      <c r="H188" t="s">
        <v>574</v>
      </c>
      <c r="I188">
        <v>268</v>
      </c>
      <c r="J188" t="str">
        <f>TRIM(_xlfn.TEXTBEFORE(Table2[[#This Row],[mem]],"/"))</f>
        <v>459.9MiB</v>
      </c>
      <c r="K188" t="str">
        <f t="shared" si="4"/>
        <v>459.9MiB</v>
      </c>
      <c r="L188">
        <f t="shared" si="5"/>
        <v>459.9</v>
      </c>
    </row>
    <row r="189" spans="1:12" x14ac:dyDescent="0.2">
      <c r="A189" t="s">
        <v>2</v>
      </c>
      <c r="B189">
        <v>1767073764</v>
      </c>
      <c r="C189" t="s">
        <v>346</v>
      </c>
      <c r="D189" s="6">
        <v>1.1273</v>
      </c>
      <c r="E189" t="s">
        <v>157</v>
      </c>
      <c r="F189" s="6">
        <v>0.36449999999999999</v>
      </c>
      <c r="G189" t="s">
        <v>579</v>
      </c>
      <c r="H189" t="s">
        <v>575</v>
      </c>
      <c r="I189">
        <v>262</v>
      </c>
      <c r="J189" t="str">
        <f>TRIM(_xlfn.TEXTBEFORE(Table2[[#This Row],[mem]],"/"))</f>
        <v>1.395GiB</v>
      </c>
      <c r="K189" t="str">
        <f t="shared" si="4"/>
        <v>1.395GiB</v>
      </c>
      <c r="L189">
        <f t="shared" si="5"/>
        <v>1428.48</v>
      </c>
    </row>
    <row r="190" spans="1:12" x14ac:dyDescent="0.2">
      <c r="A190" t="s">
        <v>2</v>
      </c>
      <c r="B190">
        <v>1767073772</v>
      </c>
      <c r="C190" t="s">
        <v>337</v>
      </c>
      <c r="D190" s="6">
        <v>8.6E-3</v>
      </c>
      <c r="E190" t="s">
        <v>158</v>
      </c>
      <c r="F190" s="6">
        <v>0.16819999999999999</v>
      </c>
      <c r="G190" t="s">
        <v>526</v>
      </c>
      <c r="H190" t="s">
        <v>580</v>
      </c>
      <c r="I190">
        <v>89</v>
      </c>
      <c r="J190" t="str">
        <f>TRIM(_xlfn.TEXTBEFORE(Table2[[#This Row],[mem]],"/"))</f>
        <v>659.4MiB</v>
      </c>
      <c r="K190" t="str">
        <f t="shared" si="4"/>
        <v>659.4MiB</v>
      </c>
      <c r="L190">
        <f t="shared" si="5"/>
        <v>659.4</v>
      </c>
    </row>
    <row r="191" spans="1:12" x14ac:dyDescent="0.2">
      <c r="A191" t="s">
        <v>2</v>
      </c>
      <c r="B191">
        <v>1767073772</v>
      </c>
      <c r="C191" t="s">
        <v>340</v>
      </c>
      <c r="D191" s="6">
        <v>2.1299999999999999E-2</v>
      </c>
      <c r="E191" t="s">
        <v>159</v>
      </c>
      <c r="F191" s="6">
        <v>8.1799999999999998E-2</v>
      </c>
      <c r="G191" t="s">
        <v>581</v>
      </c>
      <c r="H191" t="s">
        <v>582</v>
      </c>
      <c r="I191">
        <v>66</v>
      </c>
      <c r="J191" t="str">
        <f>TRIM(_xlfn.TEXTBEFORE(Table2[[#This Row],[mem]],"/"))</f>
        <v>320.6MiB</v>
      </c>
      <c r="K191" t="str">
        <f t="shared" si="4"/>
        <v>320.6MiB</v>
      </c>
      <c r="L191">
        <f t="shared" si="5"/>
        <v>320.60000000000002</v>
      </c>
    </row>
    <row r="192" spans="1:12" x14ac:dyDescent="0.2">
      <c r="A192" t="s">
        <v>2</v>
      </c>
      <c r="B192">
        <v>1767073772</v>
      </c>
      <c r="C192" t="s">
        <v>343</v>
      </c>
      <c r="D192" s="6">
        <v>8.3999999999999995E-3</v>
      </c>
      <c r="E192" t="s">
        <v>160</v>
      </c>
      <c r="F192" s="6">
        <v>0.1171</v>
      </c>
      <c r="G192" t="s">
        <v>583</v>
      </c>
      <c r="H192" t="s">
        <v>584</v>
      </c>
      <c r="I192">
        <v>268</v>
      </c>
      <c r="J192" t="str">
        <f>TRIM(_xlfn.TEXTBEFORE(Table2[[#This Row],[mem]],"/"))</f>
        <v>459MiB</v>
      </c>
      <c r="K192" t="str">
        <f t="shared" si="4"/>
        <v>459MiB</v>
      </c>
      <c r="L192">
        <f t="shared" si="5"/>
        <v>459</v>
      </c>
    </row>
    <row r="193" spans="1:12" x14ac:dyDescent="0.2">
      <c r="A193" t="s">
        <v>2</v>
      </c>
      <c r="B193">
        <v>1767073772</v>
      </c>
      <c r="C193" t="s">
        <v>346</v>
      </c>
      <c r="D193" s="6">
        <v>1.2174</v>
      </c>
      <c r="E193" t="s">
        <v>161</v>
      </c>
      <c r="F193" s="6">
        <v>0.36699999999999999</v>
      </c>
      <c r="G193" t="s">
        <v>585</v>
      </c>
      <c r="H193" t="s">
        <v>586</v>
      </c>
      <c r="I193">
        <v>262</v>
      </c>
      <c r="J193" t="str">
        <f>TRIM(_xlfn.TEXTBEFORE(Table2[[#This Row],[mem]],"/"))</f>
        <v>1.405GiB</v>
      </c>
      <c r="K193" t="str">
        <f t="shared" si="4"/>
        <v>1.405GiB</v>
      </c>
      <c r="L193">
        <f t="shared" si="5"/>
        <v>1438.72</v>
      </c>
    </row>
    <row r="194" spans="1:12" x14ac:dyDescent="0.2">
      <c r="A194" t="s">
        <v>2</v>
      </c>
      <c r="B194">
        <v>1767073779</v>
      </c>
      <c r="C194" t="s">
        <v>337</v>
      </c>
      <c r="D194" s="6">
        <v>1.9599999999999999E-2</v>
      </c>
      <c r="E194" t="s">
        <v>162</v>
      </c>
      <c r="F194" s="6">
        <v>0.16839999999999999</v>
      </c>
      <c r="G194" t="s">
        <v>587</v>
      </c>
      <c r="H194" t="s">
        <v>580</v>
      </c>
      <c r="I194">
        <v>89</v>
      </c>
      <c r="J194" t="str">
        <f>TRIM(_xlfn.TEXTBEFORE(Table2[[#This Row],[mem]],"/"))</f>
        <v>660MiB</v>
      </c>
      <c r="K194" t="str">
        <f t="shared" ref="K194:K257" si="6">TRIM(_xlfn.TEXTBEFORE(E194,"/"))</f>
        <v>660MiB</v>
      </c>
      <c r="L194">
        <f t="shared" ref="L194:L257" si="7">_xlfn.LET(_xlpm.x,K194,_xlpm.v,VALUE(LEFT(_xlpm.x,LEN(_xlpm.x)-3)),_xlpm.u,RIGHT(_xlpm.x,3),IF(_xlpm.u="GiB",_xlpm.v*1024,_xlpm.v))</f>
        <v>660</v>
      </c>
    </row>
    <row r="195" spans="1:12" x14ac:dyDescent="0.2">
      <c r="A195" t="s">
        <v>2</v>
      </c>
      <c r="B195">
        <v>1767073779</v>
      </c>
      <c r="C195" t="s">
        <v>340</v>
      </c>
      <c r="D195" s="6">
        <v>5.7999999999999996E-3</v>
      </c>
      <c r="E195" t="s">
        <v>163</v>
      </c>
      <c r="F195" s="6">
        <v>8.1100000000000005E-2</v>
      </c>
      <c r="G195" t="s">
        <v>581</v>
      </c>
      <c r="H195" t="s">
        <v>582</v>
      </c>
      <c r="I195">
        <v>66</v>
      </c>
      <c r="J195" t="str">
        <f>TRIM(_xlfn.TEXTBEFORE(Table2[[#This Row],[mem]],"/"))</f>
        <v>317.8MiB</v>
      </c>
      <c r="K195" t="str">
        <f t="shared" si="6"/>
        <v>317.8MiB</v>
      </c>
      <c r="L195">
        <f t="shared" si="7"/>
        <v>317.8</v>
      </c>
    </row>
    <row r="196" spans="1:12" x14ac:dyDescent="0.2">
      <c r="A196" t="s">
        <v>2</v>
      </c>
      <c r="B196">
        <v>1767073779</v>
      </c>
      <c r="C196" t="s">
        <v>343</v>
      </c>
      <c r="D196" s="6">
        <v>7.3899999999999993E-2</v>
      </c>
      <c r="E196" t="s">
        <v>164</v>
      </c>
      <c r="F196" s="6">
        <v>0.1173</v>
      </c>
      <c r="G196" t="s">
        <v>588</v>
      </c>
      <c r="H196" t="s">
        <v>589</v>
      </c>
      <c r="I196">
        <v>268</v>
      </c>
      <c r="J196" t="str">
        <f>TRIM(_xlfn.TEXTBEFORE(Table2[[#This Row],[mem]],"/"))</f>
        <v>459.6MiB</v>
      </c>
      <c r="K196" t="str">
        <f t="shared" si="6"/>
        <v>459.6MiB</v>
      </c>
      <c r="L196">
        <f t="shared" si="7"/>
        <v>459.6</v>
      </c>
    </row>
    <row r="197" spans="1:12" x14ac:dyDescent="0.2">
      <c r="A197" t="s">
        <v>2</v>
      </c>
      <c r="B197">
        <v>1767073779</v>
      </c>
      <c r="C197" t="s">
        <v>346</v>
      </c>
      <c r="D197" s="6">
        <v>0.7046</v>
      </c>
      <c r="E197" t="s">
        <v>165</v>
      </c>
      <c r="F197" s="6">
        <v>0.26329999999999998</v>
      </c>
      <c r="G197" t="s">
        <v>590</v>
      </c>
      <c r="H197" t="s">
        <v>591</v>
      </c>
      <c r="I197">
        <v>242</v>
      </c>
      <c r="J197" t="str">
        <f>TRIM(_xlfn.TEXTBEFORE(Table2[[#This Row],[mem]],"/"))</f>
        <v>1.008GiB</v>
      </c>
      <c r="K197" t="str">
        <f t="shared" si="6"/>
        <v>1.008GiB</v>
      </c>
      <c r="L197">
        <f t="shared" si="7"/>
        <v>1032.192</v>
      </c>
    </row>
    <row r="198" spans="1:12" x14ac:dyDescent="0.2">
      <c r="A198" t="s">
        <v>2</v>
      </c>
      <c r="B198">
        <v>1767073787</v>
      </c>
      <c r="C198" t="s">
        <v>337</v>
      </c>
      <c r="D198" s="6">
        <v>2.2800000000000001E-2</v>
      </c>
      <c r="E198" t="s">
        <v>166</v>
      </c>
      <c r="F198" s="6">
        <v>0.16869999999999999</v>
      </c>
      <c r="G198" t="s">
        <v>587</v>
      </c>
      <c r="H198" t="s">
        <v>580</v>
      </c>
      <c r="I198">
        <v>89</v>
      </c>
      <c r="J198" t="str">
        <f>TRIM(_xlfn.TEXTBEFORE(Table2[[#This Row],[mem]],"/"))</f>
        <v>661.1MiB</v>
      </c>
      <c r="K198" t="str">
        <f t="shared" si="6"/>
        <v>661.1MiB</v>
      </c>
      <c r="L198">
        <f t="shared" si="7"/>
        <v>661.1</v>
      </c>
    </row>
    <row r="199" spans="1:12" x14ac:dyDescent="0.2">
      <c r="A199" t="s">
        <v>2</v>
      </c>
      <c r="B199">
        <v>1767073787</v>
      </c>
      <c r="C199" t="s">
        <v>340</v>
      </c>
      <c r="D199" s="6">
        <v>4.5699999999999998E-2</v>
      </c>
      <c r="E199" t="s">
        <v>167</v>
      </c>
      <c r="F199" s="6">
        <v>8.6199999999999999E-2</v>
      </c>
      <c r="G199" t="s">
        <v>592</v>
      </c>
      <c r="H199" t="s">
        <v>593</v>
      </c>
      <c r="I199">
        <v>67</v>
      </c>
      <c r="J199" t="str">
        <f>TRIM(_xlfn.TEXTBEFORE(Table2[[#This Row],[mem]],"/"))</f>
        <v>337.9MiB</v>
      </c>
      <c r="K199" t="str">
        <f t="shared" si="6"/>
        <v>337.9MiB</v>
      </c>
      <c r="L199">
        <f t="shared" si="7"/>
        <v>337.9</v>
      </c>
    </row>
    <row r="200" spans="1:12" x14ac:dyDescent="0.2">
      <c r="A200" t="s">
        <v>2</v>
      </c>
      <c r="B200">
        <v>1767073787</v>
      </c>
      <c r="C200" t="s">
        <v>343</v>
      </c>
      <c r="D200" s="6">
        <v>5.45E-2</v>
      </c>
      <c r="E200" t="s">
        <v>168</v>
      </c>
      <c r="F200" s="6">
        <v>0.1174</v>
      </c>
      <c r="G200" t="s">
        <v>594</v>
      </c>
      <c r="H200" t="s">
        <v>589</v>
      </c>
      <c r="I200">
        <v>268</v>
      </c>
      <c r="J200" t="str">
        <f>TRIM(_xlfn.TEXTBEFORE(Table2[[#This Row],[mem]],"/"))</f>
        <v>460.2MiB</v>
      </c>
      <c r="K200" t="str">
        <f t="shared" si="6"/>
        <v>460.2MiB</v>
      </c>
      <c r="L200">
        <f t="shared" si="7"/>
        <v>460.2</v>
      </c>
    </row>
    <row r="201" spans="1:12" x14ac:dyDescent="0.2">
      <c r="A201" t="s">
        <v>2</v>
      </c>
      <c r="B201">
        <v>1767073787</v>
      </c>
      <c r="C201" t="s">
        <v>346</v>
      </c>
      <c r="D201" s="6">
        <v>2.0392000000000001</v>
      </c>
      <c r="E201" t="s">
        <v>169</v>
      </c>
      <c r="F201" s="6">
        <v>0.36530000000000001</v>
      </c>
      <c r="G201" t="s">
        <v>595</v>
      </c>
      <c r="H201" t="s">
        <v>596</v>
      </c>
      <c r="I201">
        <v>264</v>
      </c>
      <c r="J201" t="str">
        <f>TRIM(_xlfn.TEXTBEFORE(Table2[[#This Row],[mem]],"/"))</f>
        <v>1.398GiB</v>
      </c>
      <c r="K201" t="str">
        <f t="shared" si="6"/>
        <v>1.398GiB</v>
      </c>
      <c r="L201">
        <f t="shared" si="7"/>
        <v>1431.5519999999999</v>
      </c>
    </row>
    <row r="202" spans="1:12" x14ac:dyDescent="0.2">
      <c r="A202" t="s">
        <v>2</v>
      </c>
      <c r="B202">
        <v>1767073794</v>
      </c>
      <c r="C202" t="s">
        <v>337</v>
      </c>
      <c r="D202" s="6">
        <v>1.0999999999999999E-2</v>
      </c>
      <c r="E202" t="s">
        <v>170</v>
      </c>
      <c r="F202" s="6">
        <v>0.16880000000000001</v>
      </c>
      <c r="G202" t="s">
        <v>587</v>
      </c>
      <c r="H202" t="s">
        <v>580</v>
      </c>
      <c r="I202">
        <v>89</v>
      </c>
      <c r="J202" t="str">
        <f>TRIM(_xlfn.TEXTBEFORE(Table2[[#This Row],[mem]],"/"))</f>
        <v>661.7MiB</v>
      </c>
      <c r="K202" t="str">
        <f t="shared" si="6"/>
        <v>661.7MiB</v>
      </c>
      <c r="L202">
        <f t="shared" si="7"/>
        <v>661.7</v>
      </c>
    </row>
    <row r="203" spans="1:12" x14ac:dyDescent="0.2">
      <c r="A203" t="s">
        <v>2</v>
      </c>
      <c r="B203">
        <v>1767073794</v>
      </c>
      <c r="C203" t="s">
        <v>340</v>
      </c>
      <c r="D203" s="6">
        <v>8.2000000000000007E-3</v>
      </c>
      <c r="E203" t="s">
        <v>171</v>
      </c>
      <c r="F203" s="6">
        <v>8.3500000000000005E-2</v>
      </c>
      <c r="G203" t="s">
        <v>597</v>
      </c>
      <c r="H203" t="s">
        <v>598</v>
      </c>
      <c r="I203">
        <v>67</v>
      </c>
      <c r="J203" t="str">
        <f>TRIM(_xlfn.TEXTBEFORE(Table2[[#This Row],[mem]],"/"))</f>
        <v>327.4MiB</v>
      </c>
      <c r="K203" t="str">
        <f t="shared" si="6"/>
        <v>327.4MiB</v>
      </c>
      <c r="L203">
        <f t="shared" si="7"/>
        <v>327.39999999999998</v>
      </c>
    </row>
    <row r="204" spans="1:12" x14ac:dyDescent="0.2">
      <c r="A204" t="s">
        <v>2</v>
      </c>
      <c r="B204">
        <v>1767073794</v>
      </c>
      <c r="C204" t="s">
        <v>343</v>
      </c>
      <c r="D204" s="6">
        <v>1.12E-2</v>
      </c>
      <c r="E204" t="s">
        <v>172</v>
      </c>
      <c r="F204" s="6">
        <v>0.11749999999999999</v>
      </c>
      <c r="G204" t="s">
        <v>599</v>
      </c>
      <c r="H204" t="s">
        <v>600</v>
      </c>
      <c r="I204">
        <v>268</v>
      </c>
      <c r="J204" t="str">
        <f>TRIM(_xlfn.TEXTBEFORE(Table2[[#This Row],[mem]],"/"))</f>
        <v>460.5MiB</v>
      </c>
      <c r="K204" t="str">
        <f t="shared" si="6"/>
        <v>460.5MiB</v>
      </c>
      <c r="L204">
        <f t="shared" si="7"/>
        <v>460.5</v>
      </c>
    </row>
    <row r="205" spans="1:12" x14ac:dyDescent="0.2">
      <c r="A205" t="s">
        <v>2</v>
      </c>
      <c r="B205">
        <v>1767073794</v>
      </c>
      <c r="C205" t="s">
        <v>346</v>
      </c>
      <c r="D205" s="6">
        <v>1.2292000000000001</v>
      </c>
      <c r="E205" t="s">
        <v>135</v>
      </c>
      <c r="F205" s="6">
        <v>0.36759999999999998</v>
      </c>
      <c r="G205" t="s">
        <v>601</v>
      </c>
      <c r="H205" t="s">
        <v>602</v>
      </c>
      <c r="I205">
        <v>261</v>
      </c>
      <c r="J205" t="str">
        <f>TRIM(_xlfn.TEXTBEFORE(Table2[[#This Row],[mem]],"/"))</f>
        <v>1.407GiB</v>
      </c>
      <c r="K205" t="str">
        <f t="shared" si="6"/>
        <v>1.407GiB</v>
      </c>
      <c r="L205">
        <f t="shared" si="7"/>
        <v>1440.768</v>
      </c>
    </row>
    <row r="206" spans="1:12" x14ac:dyDescent="0.2">
      <c r="A206" t="s">
        <v>2</v>
      </c>
      <c r="B206">
        <v>1767073802</v>
      </c>
      <c r="C206" t="s">
        <v>337</v>
      </c>
      <c r="D206" s="6">
        <v>4.8399999999999999E-2</v>
      </c>
      <c r="E206" t="s">
        <v>86</v>
      </c>
      <c r="F206" s="6">
        <v>0.16950000000000001</v>
      </c>
      <c r="G206" t="s">
        <v>587</v>
      </c>
      <c r="H206" t="s">
        <v>580</v>
      </c>
      <c r="I206">
        <v>89</v>
      </c>
      <c r="J206" t="str">
        <f>TRIM(_xlfn.TEXTBEFORE(Table2[[#This Row],[mem]],"/"))</f>
        <v>664.2MiB</v>
      </c>
      <c r="K206" t="str">
        <f t="shared" si="6"/>
        <v>664.2MiB</v>
      </c>
      <c r="L206">
        <f t="shared" si="7"/>
        <v>664.2</v>
      </c>
    </row>
    <row r="207" spans="1:12" x14ac:dyDescent="0.2">
      <c r="A207" t="s">
        <v>2</v>
      </c>
      <c r="B207">
        <v>1767073802</v>
      </c>
      <c r="C207" t="s">
        <v>340</v>
      </c>
      <c r="D207" s="6">
        <v>5.4999999999999997E-3</v>
      </c>
      <c r="E207" t="s">
        <v>173</v>
      </c>
      <c r="F207" s="6">
        <v>8.3299999999999999E-2</v>
      </c>
      <c r="G207" t="s">
        <v>603</v>
      </c>
      <c r="H207" t="s">
        <v>604</v>
      </c>
      <c r="I207">
        <v>66</v>
      </c>
      <c r="J207" t="str">
        <f>TRIM(_xlfn.TEXTBEFORE(Table2[[#This Row],[mem]],"/"))</f>
        <v>326.5MiB</v>
      </c>
      <c r="K207" t="str">
        <f t="shared" si="6"/>
        <v>326.5MiB</v>
      </c>
      <c r="L207">
        <f t="shared" si="7"/>
        <v>326.5</v>
      </c>
    </row>
    <row r="208" spans="1:12" x14ac:dyDescent="0.2">
      <c r="A208" t="s">
        <v>2</v>
      </c>
      <c r="B208">
        <v>1767073802</v>
      </c>
      <c r="C208" t="s">
        <v>343</v>
      </c>
      <c r="D208" s="6">
        <v>8.6E-3</v>
      </c>
      <c r="E208" t="s">
        <v>174</v>
      </c>
      <c r="F208" s="6">
        <v>0.11749999999999999</v>
      </c>
      <c r="G208" t="s">
        <v>605</v>
      </c>
      <c r="H208" t="s">
        <v>600</v>
      </c>
      <c r="I208">
        <v>268</v>
      </c>
      <c r="J208" t="str">
        <f>TRIM(_xlfn.TEXTBEFORE(Table2[[#This Row],[mem]],"/"))</f>
        <v>460.7MiB</v>
      </c>
      <c r="K208" t="str">
        <f t="shared" si="6"/>
        <v>460.7MiB</v>
      </c>
      <c r="L208">
        <f t="shared" si="7"/>
        <v>460.7</v>
      </c>
    </row>
    <row r="209" spans="1:12" x14ac:dyDescent="0.2">
      <c r="A209" t="s">
        <v>2</v>
      </c>
      <c r="B209">
        <v>1767073802</v>
      </c>
      <c r="C209" t="s">
        <v>346</v>
      </c>
      <c r="D209" s="6">
        <v>1.2746</v>
      </c>
      <c r="E209" t="s">
        <v>175</v>
      </c>
      <c r="F209" s="6">
        <v>0.36880000000000002</v>
      </c>
      <c r="G209" t="s">
        <v>606</v>
      </c>
      <c r="H209" t="s">
        <v>607</v>
      </c>
      <c r="I209">
        <v>266</v>
      </c>
      <c r="J209" t="str">
        <f>TRIM(_xlfn.TEXTBEFORE(Table2[[#This Row],[mem]],"/"))</f>
        <v>1.412GiB</v>
      </c>
      <c r="K209" t="str">
        <f t="shared" si="6"/>
        <v>1.412GiB</v>
      </c>
      <c r="L209">
        <f t="shared" si="7"/>
        <v>1445.8879999999999</v>
      </c>
    </row>
    <row r="210" spans="1:12" x14ac:dyDescent="0.2">
      <c r="A210" t="s">
        <v>2</v>
      </c>
      <c r="B210">
        <v>1767073810</v>
      </c>
      <c r="C210" t="s">
        <v>337</v>
      </c>
      <c r="D210" s="6">
        <v>1.7999999999999999E-2</v>
      </c>
      <c r="E210" t="s">
        <v>176</v>
      </c>
      <c r="F210" s="6">
        <v>0.17150000000000001</v>
      </c>
      <c r="G210" t="s">
        <v>587</v>
      </c>
      <c r="H210" t="s">
        <v>580</v>
      </c>
      <c r="I210">
        <v>89</v>
      </c>
      <c r="J210" t="str">
        <f>TRIM(_xlfn.TEXTBEFORE(Table2[[#This Row],[mem]],"/"))</f>
        <v>672MiB</v>
      </c>
      <c r="K210" t="str">
        <f t="shared" si="6"/>
        <v>672MiB</v>
      </c>
      <c r="L210">
        <f t="shared" si="7"/>
        <v>672</v>
      </c>
    </row>
    <row r="211" spans="1:12" x14ac:dyDescent="0.2">
      <c r="A211" t="s">
        <v>2</v>
      </c>
      <c r="B211">
        <v>1767073810</v>
      </c>
      <c r="C211" t="s">
        <v>340</v>
      </c>
      <c r="D211" s="6">
        <v>2E-3</v>
      </c>
      <c r="E211" t="s">
        <v>177</v>
      </c>
      <c r="F211" s="6">
        <v>8.2500000000000004E-2</v>
      </c>
      <c r="G211" t="s">
        <v>603</v>
      </c>
      <c r="H211" t="s">
        <v>604</v>
      </c>
      <c r="I211">
        <v>66</v>
      </c>
      <c r="J211" t="str">
        <f>TRIM(_xlfn.TEXTBEFORE(Table2[[#This Row],[mem]],"/"))</f>
        <v>323.5MiB</v>
      </c>
      <c r="K211" t="str">
        <f t="shared" si="6"/>
        <v>323.5MiB</v>
      </c>
      <c r="L211">
        <f t="shared" si="7"/>
        <v>323.5</v>
      </c>
    </row>
    <row r="212" spans="1:12" x14ac:dyDescent="0.2">
      <c r="A212" t="s">
        <v>2</v>
      </c>
      <c r="B212">
        <v>1767073810</v>
      </c>
      <c r="C212" t="s">
        <v>343</v>
      </c>
      <c r="D212" s="6">
        <v>1.06E-2</v>
      </c>
      <c r="E212" t="s">
        <v>178</v>
      </c>
      <c r="F212" s="6">
        <v>0.11749999999999999</v>
      </c>
      <c r="G212" t="s">
        <v>608</v>
      </c>
      <c r="H212" t="s">
        <v>609</v>
      </c>
      <c r="I212">
        <v>268</v>
      </c>
      <c r="J212" t="str">
        <f>TRIM(_xlfn.TEXTBEFORE(Table2[[#This Row],[mem]],"/"))</f>
        <v>460.6MiB</v>
      </c>
      <c r="K212" t="str">
        <f t="shared" si="6"/>
        <v>460.6MiB</v>
      </c>
      <c r="L212">
        <f t="shared" si="7"/>
        <v>460.6</v>
      </c>
    </row>
    <row r="213" spans="1:12" x14ac:dyDescent="0.2">
      <c r="A213" t="s">
        <v>2</v>
      </c>
      <c r="B213">
        <v>1767073810</v>
      </c>
      <c r="C213" t="s">
        <v>346</v>
      </c>
      <c r="D213" s="6">
        <v>1.7796000000000001</v>
      </c>
      <c r="E213" t="s">
        <v>179</v>
      </c>
      <c r="F213" s="6">
        <v>0.31929999999999997</v>
      </c>
      <c r="G213" t="s">
        <v>606</v>
      </c>
      <c r="H213" t="s">
        <v>610</v>
      </c>
      <c r="I213">
        <v>260</v>
      </c>
      <c r="J213" t="str">
        <f>TRIM(_xlfn.TEXTBEFORE(Table2[[#This Row],[mem]],"/"))</f>
        <v>1.222GiB</v>
      </c>
      <c r="K213" t="str">
        <f t="shared" si="6"/>
        <v>1.222GiB</v>
      </c>
      <c r="L213">
        <f t="shared" si="7"/>
        <v>1251.328</v>
      </c>
    </row>
    <row r="214" spans="1:12" x14ac:dyDescent="0.2">
      <c r="A214" t="s">
        <v>2</v>
      </c>
      <c r="B214">
        <v>1767073817</v>
      </c>
      <c r="C214" t="s">
        <v>337</v>
      </c>
      <c r="D214" s="6">
        <v>8.5000000000000006E-3</v>
      </c>
      <c r="E214" t="s">
        <v>180</v>
      </c>
      <c r="F214" s="6">
        <v>0.1721</v>
      </c>
      <c r="G214" t="s">
        <v>587</v>
      </c>
      <c r="H214" t="s">
        <v>580</v>
      </c>
      <c r="I214">
        <v>89</v>
      </c>
      <c r="J214" t="str">
        <f>TRIM(_xlfn.TEXTBEFORE(Table2[[#This Row],[mem]],"/"))</f>
        <v>674.7MiB</v>
      </c>
      <c r="K214" t="str">
        <f t="shared" si="6"/>
        <v>674.7MiB</v>
      </c>
      <c r="L214">
        <f t="shared" si="7"/>
        <v>674.7</v>
      </c>
    </row>
    <row r="215" spans="1:12" x14ac:dyDescent="0.2">
      <c r="A215" t="s">
        <v>2</v>
      </c>
      <c r="B215">
        <v>1767073817</v>
      </c>
      <c r="C215" t="s">
        <v>340</v>
      </c>
      <c r="D215" s="6">
        <v>1E-3</v>
      </c>
      <c r="E215" t="s">
        <v>181</v>
      </c>
      <c r="F215" s="6">
        <v>8.5400000000000004E-2</v>
      </c>
      <c r="G215" t="s">
        <v>611</v>
      </c>
      <c r="H215" t="s">
        <v>612</v>
      </c>
      <c r="I215">
        <v>67</v>
      </c>
      <c r="J215" t="str">
        <f>TRIM(_xlfn.TEXTBEFORE(Table2[[#This Row],[mem]],"/"))</f>
        <v>334.9MiB</v>
      </c>
      <c r="K215" t="str">
        <f t="shared" si="6"/>
        <v>334.9MiB</v>
      </c>
      <c r="L215">
        <f t="shared" si="7"/>
        <v>334.9</v>
      </c>
    </row>
    <row r="216" spans="1:12" x14ac:dyDescent="0.2">
      <c r="A216" t="s">
        <v>2</v>
      </c>
      <c r="B216">
        <v>1767073817</v>
      </c>
      <c r="C216" t="s">
        <v>343</v>
      </c>
      <c r="D216" s="6">
        <v>1.3100000000000001E-2</v>
      </c>
      <c r="E216" t="s">
        <v>182</v>
      </c>
      <c r="F216" s="6">
        <v>0.1177</v>
      </c>
      <c r="G216" t="s">
        <v>613</v>
      </c>
      <c r="H216" t="s">
        <v>609</v>
      </c>
      <c r="I216">
        <v>268</v>
      </c>
      <c r="J216" t="str">
        <f>TRIM(_xlfn.TEXTBEFORE(Table2[[#This Row],[mem]],"/"))</f>
        <v>461.5MiB</v>
      </c>
      <c r="K216" t="str">
        <f t="shared" si="6"/>
        <v>461.5MiB</v>
      </c>
      <c r="L216">
        <f t="shared" si="7"/>
        <v>461.5</v>
      </c>
    </row>
    <row r="217" spans="1:12" x14ac:dyDescent="0.2">
      <c r="A217" t="s">
        <v>2</v>
      </c>
      <c r="B217">
        <v>1767073817</v>
      </c>
      <c r="C217" t="s">
        <v>346</v>
      </c>
      <c r="D217" s="6">
        <v>1.1311</v>
      </c>
      <c r="E217" t="s">
        <v>143</v>
      </c>
      <c r="F217" s="6">
        <v>0.3659</v>
      </c>
      <c r="G217" t="s">
        <v>614</v>
      </c>
      <c r="H217" t="s">
        <v>615</v>
      </c>
      <c r="I217">
        <v>263</v>
      </c>
      <c r="J217" t="str">
        <f>TRIM(_xlfn.TEXTBEFORE(Table2[[#This Row],[mem]],"/"))</f>
        <v>1.401GiB</v>
      </c>
      <c r="K217" t="str">
        <f t="shared" si="6"/>
        <v>1.401GiB</v>
      </c>
      <c r="L217">
        <f t="shared" si="7"/>
        <v>1434.624</v>
      </c>
    </row>
    <row r="218" spans="1:12" x14ac:dyDescent="0.2">
      <c r="A218" t="s">
        <v>2</v>
      </c>
      <c r="B218">
        <v>1767073824</v>
      </c>
      <c r="C218" t="s">
        <v>337</v>
      </c>
      <c r="D218" s="6">
        <v>1.09E-2</v>
      </c>
      <c r="E218" t="s">
        <v>183</v>
      </c>
      <c r="F218" s="6">
        <v>0.17230000000000001</v>
      </c>
      <c r="G218" t="s">
        <v>587</v>
      </c>
      <c r="H218" t="s">
        <v>580</v>
      </c>
      <c r="I218">
        <v>89</v>
      </c>
      <c r="J218" t="str">
        <f>TRIM(_xlfn.TEXTBEFORE(Table2[[#This Row],[mem]],"/"))</f>
        <v>675.5MiB</v>
      </c>
      <c r="K218" t="str">
        <f t="shared" si="6"/>
        <v>675.5MiB</v>
      </c>
      <c r="L218">
        <f t="shared" si="7"/>
        <v>675.5</v>
      </c>
    </row>
    <row r="219" spans="1:12" x14ac:dyDescent="0.2">
      <c r="A219" t="s">
        <v>2</v>
      </c>
      <c r="B219">
        <v>1767073824</v>
      </c>
      <c r="C219" t="s">
        <v>340</v>
      </c>
      <c r="D219" s="6">
        <v>3.9100000000000003E-2</v>
      </c>
      <c r="E219" t="s">
        <v>184</v>
      </c>
      <c r="F219" s="6">
        <v>8.5999999999999993E-2</v>
      </c>
      <c r="G219" t="s">
        <v>616</v>
      </c>
      <c r="H219" t="s">
        <v>617</v>
      </c>
      <c r="I219">
        <v>67</v>
      </c>
      <c r="J219" t="str">
        <f>TRIM(_xlfn.TEXTBEFORE(Table2[[#This Row],[mem]],"/"))</f>
        <v>337.1MiB</v>
      </c>
      <c r="K219" t="str">
        <f t="shared" si="6"/>
        <v>337.1MiB</v>
      </c>
      <c r="L219">
        <f t="shared" si="7"/>
        <v>337.1</v>
      </c>
    </row>
    <row r="220" spans="1:12" x14ac:dyDescent="0.2">
      <c r="A220" t="s">
        <v>2</v>
      </c>
      <c r="B220">
        <v>1767073824</v>
      </c>
      <c r="C220" t="s">
        <v>343</v>
      </c>
      <c r="D220" s="6">
        <v>1.0200000000000001E-2</v>
      </c>
      <c r="E220" t="s">
        <v>185</v>
      </c>
      <c r="F220" s="6">
        <v>0.1179</v>
      </c>
      <c r="G220" t="s">
        <v>618</v>
      </c>
      <c r="H220" t="s">
        <v>619</v>
      </c>
      <c r="I220">
        <v>268</v>
      </c>
      <c r="J220" t="str">
        <f>TRIM(_xlfn.TEXTBEFORE(Table2[[#This Row],[mem]],"/"))</f>
        <v>461.9MiB</v>
      </c>
      <c r="K220" t="str">
        <f t="shared" si="6"/>
        <v>461.9MiB</v>
      </c>
      <c r="L220">
        <f t="shared" si="7"/>
        <v>461.9</v>
      </c>
    </row>
    <row r="221" spans="1:12" x14ac:dyDescent="0.2">
      <c r="A221" t="s">
        <v>2</v>
      </c>
      <c r="B221">
        <v>1767073824</v>
      </c>
      <c r="C221" t="s">
        <v>346</v>
      </c>
      <c r="D221" s="6">
        <v>1.3186</v>
      </c>
      <c r="E221" t="s">
        <v>169</v>
      </c>
      <c r="F221" s="6">
        <v>0.36520000000000002</v>
      </c>
      <c r="G221" t="s">
        <v>620</v>
      </c>
      <c r="H221" t="s">
        <v>621</v>
      </c>
      <c r="I221">
        <v>260</v>
      </c>
      <c r="J221" t="str">
        <f>TRIM(_xlfn.TEXTBEFORE(Table2[[#This Row],[mem]],"/"))</f>
        <v>1.398GiB</v>
      </c>
      <c r="K221" t="str">
        <f t="shared" si="6"/>
        <v>1.398GiB</v>
      </c>
      <c r="L221">
        <f t="shared" si="7"/>
        <v>1431.5519999999999</v>
      </c>
    </row>
    <row r="222" spans="1:12" x14ac:dyDescent="0.2">
      <c r="A222" t="s">
        <v>2</v>
      </c>
      <c r="B222">
        <v>1767073832</v>
      </c>
      <c r="C222" t="s">
        <v>337</v>
      </c>
      <c r="D222" s="6">
        <v>4.2599999999999999E-2</v>
      </c>
      <c r="E222" t="s">
        <v>125</v>
      </c>
      <c r="F222" s="6">
        <v>0.17269999999999999</v>
      </c>
      <c r="G222" t="s">
        <v>587</v>
      </c>
      <c r="H222" t="s">
        <v>580</v>
      </c>
      <c r="I222">
        <v>89</v>
      </c>
      <c r="J222" t="str">
        <f>TRIM(_xlfn.TEXTBEFORE(Table2[[#This Row],[mem]],"/"))</f>
        <v>676.7MiB</v>
      </c>
      <c r="K222" t="str">
        <f t="shared" si="6"/>
        <v>676.7MiB</v>
      </c>
      <c r="L222">
        <f t="shared" si="7"/>
        <v>676.7</v>
      </c>
    </row>
    <row r="223" spans="1:12" x14ac:dyDescent="0.2">
      <c r="A223" t="s">
        <v>2</v>
      </c>
      <c r="B223">
        <v>1767073832</v>
      </c>
      <c r="C223" t="s">
        <v>340</v>
      </c>
      <c r="D223" s="6">
        <v>1.29E-2</v>
      </c>
      <c r="E223" t="s">
        <v>186</v>
      </c>
      <c r="F223" s="6">
        <v>8.5500000000000007E-2</v>
      </c>
      <c r="G223" t="s">
        <v>622</v>
      </c>
      <c r="H223" t="s">
        <v>617</v>
      </c>
      <c r="I223">
        <v>66</v>
      </c>
      <c r="J223" t="str">
        <f>TRIM(_xlfn.TEXTBEFORE(Table2[[#This Row],[mem]],"/"))</f>
        <v>335MiB</v>
      </c>
      <c r="K223" t="str">
        <f t="shared" si="6"/>
        <v>335MiB</v>
      </c>
      <c r="L223">
        <f t="shared" si="7"/>
        <v>335</v>
      </c>
    </row>
    <row r="224" spans="1:12" x14ac:dyDescent="0.2">
      <c r="A224" t="s">
        <v>2</v>
      </c>
      <c r="B224">
        <v>1767073832</v>
      </c>
      <c r="C224" t="s">
        <v>343</v>
      </c>
      <c r="D224" s="6">
        <v>9.9000000000000008E-3</v>
      </c>
      <c r="E224" t="s">
        <v>187</v>
      </c>
      <c r="F224" s="6">
        <v>0.1179</v>
      </c>
      <c r="G224" t="s">
        <v>623</v>
      </c>
      <c r="H224" t="s">
        <v>619</v>
      </c>
      <c r="I224">
        <v>268</v>
      </c>
      <c r="J224" t="str">
        <f>TRIM(_xlfn.TEXTBEFORE(Table2[[#This Row],[mem]],"/"))</f>
        <v>462.2MiB</v>
      </c>
      <c r="K224" t="str">
        <f t="shared" si="6"/>
        <v>462.2MiB</v>
      </c>
      <c r="L224">
        <f t="shared" si="7"/>
        <v>462.2</v>
      </c>
    </row>
    <row r="225" spans="1:12" x14ac:dyDescent="0.2">
      <c r="A225" t="s">
        <v>2</v>
      </c>
      <c r="B225">
        <v>1767073832</v>
      </c>
      <c r="C225" t="s">
        <v>346</v>
      </c>
      <c r="D225" s="6">
        <v>1.139</v>
      </c>
      <c r="E225" t="s">
        <v>188</v>
      </c>
      <c r="F225" s="6">
        <v>0.2611</v>
      </c>
      <c r="G225" t="s">
        <v>624</v>
      </c>
      <c r="H225" t="s">
        <v>625</v>
      </c>
      <c r="I225">
        <v>233</v>
      </c>
      <c r="J225" t="str">
        <f>TRIM(_xlfn.TEXTBEFORE(Table2[[#This Row],[mem]],"/"))</f>
        <v>1024MiB</v>
      </c>
      <c r="K225" t="str">
        <f t="shared" si="6"/>
        <v>1024MiB</v>
      </c>
      <c r="L225">
        <f t="shared" si="7"/>
        <v>1024</v>
      </c>
    </row>
    <row r="226" spans="1:12" x14ac:dyDescent="0.2">
      <c r="A226" t="s">
        <v>2</v>
      </c>
      <c r="B226">
        <v>1767073839</v>
      </c>
      <c r="C226" t="s">
        <v>337</v>
      </c>
      <c r="D226" s="6">
        <v>6.3E-3</v>
      </c>
      <c r="E226" t="s">
        <v>189</v>
      </c>
      <c r="F226" s="6">
        <v>0.1731</v>
      </c>
      <c r="G226" t="s">
        <v>587</v>
      </c>
      <c r="H226" t="s">
        <v>580</v>
      </c>
      <c r="I226">
        <v>89</v>
      </c>
      <c r="J226" t="str">
        <f>TRIM(_xlfn.TEXTBEFORE(Table2[[#This Row],[mem]],"/"))</f>
        <v>678.3MiB</v>
      </c>
      <c r="K226" t="str">
        <f t="shared" si="6"/>
        <v>678.3MiB</v>
      </c>
      <c r="L226">
        <f t="shared" si="7"/>
        <v>678.3</v>
      </c>
    </row>
    <row r="227" spans="1:12" x14ac:dyDescent="0.2">
      <c r="A227" t="s">
        <v>2</v>
      </c>
      <c r="B227">
        <v>1767073839</v>
      </c>
      <c r="C227" t="s">
        <v>340</v>
      </c>
      <c r="D227" s="6">
        <v>6.7999999999999996E-3</v>
      </c>
      <c r="E227" t="s">
        <v>190</v>
      </c>
      <c r="F227" s="6">
        <v>8.2699999999999996E-2</v>
      </c>
      <c r="G227" t="s">
        <v>622</v>
      </c>
      <c r="H227" t="s">
        <v>626</v>
      </c>
      <c r="I227">
        <v>68</v>
      </c>
      <c r="J227" t="str">
        <f>TRIM(_xlfn.TEXTBEFORE(Table2[[#This Row],[mem]],"/"))</f>
        <v>324.2MiB</v>
      </c>
      <c r="K227" t="str">
        <f t="shared" si="6"/>
        <v>324.2MiB</v>
      </c>
      <c r="L227">
        <f t="shared" si="7"/>
        <v>324.2</v>
      </c>
    </row>
    <row r="228" spans="1:12" x14ac:dyDescent="0.2">
      <c r="A228" t="s">
        <v>2</v>
      </c>
      <c r="B228">
        <v>1767073839</v>
      </c>
      <c r="C228" t="s">
        <v>343</v>
      </c>
      <c r="D228" s="6">
        <v>0.01</v>
      </c>
      <c r="E228" t="s">
        <v>191</v>
      </c>
      <c r="F228" s="6">
        <v>0.11799999999999999</v>
      </c>
      <c r="G228" t="s">
        <v>627</v>
      </c>
      <c r="H228" t="s">
        <v>619</v>
      </c>
      <c r="I228">
        <v>268</v>
      </c>
      <c r="J228" t="str">
        <f>TRIM(_xlfn.TEXTBEFORE(Table2[[#This Row],[mem]],"/"))</f>
        <v>462.6MiB</v>
      </c>
      <c r="K228" t="str">
        <f t="shared" si="6"/>
        <v>462.6MiB</v>
      </c>
      <c r="L228">
        <f t="shared" si="7"/>
        <v>462.6</v>
      </c>
    </row>
    <row r="229" spans="1:12" x14ac:dyDescent="0.2">
      <c r="A229" t="s">
        <v>2</v>
      </c>
      <c r="B229">
        <v>1767073839</v>
      </c>
      <c r="C229" t="s">
        <v>346</v>
      </c>
      <c r="D229" s="6">
        <v>1.0969</v>
      </c>
      <c r="E229" t="s">
        <v>192</v>
      </c>
      <c r="F229" s="6">
        <v>0.33779999999999999</v>
      </c>
      <c r="G229" t="s">
        <v>628</v>
      </c>
      <c r="H229" t="s">
        <v>629</v>
      </c>
      <c r="I229">
        <v>269</v>
      </c>
      <c r="J229" t="str">
        <f>TRIM(_xlfn.TEXTBEFORE(Table2[[#This Row],[mem]],"/"))</f>
        <v>1.293GiB</v>
      </c>
      <c r="K229" t="str">
        <f t="shared" si="6"/>
        <v>1.293GiB</v>
      </c>
      <c r="L229">
        <f t="shared" si="7"/>
        <v>1324.0319999999999</v>
      </c>
    </row>
    <row r="230" spans="1:12" x14ac:dyDescent="0.2">
      <c r="A230" t="s">
        <v>2</v>
      </c>
      <c r="B230">
        <v>1767073847</v>
      </c>
      <c r="C230" t="s">
        <v>337</v>
      </c>
      <c r="D230" s="6">
        <v>3.7000000000000002E-3</v>
      </c>
      <c r="E230" t="s">
        <v>193</v>
      </c>
      <c r="F230" s="6">
        <v>0.17319999999999999</v>
      </c>
      <c r="G230" t="s">
        <v>587</v>
      </c>
      <c r="H230" t="s">
        <v>580</v>
      </c>
      <c r="I230">
        <v>89</v>
      </c>
      <c r="J230" t="str">
        <f>TRIM(_xlfn.TEXTBEFORE(Table2[[#This Row],[mem]],"/"))</f>
        <v>679MiB</v>
      </c>
      <c r="K230" t="str">
        <f t="shared" si="6"/>
        <v>679MiB</v>
      </c>
      <c r="L230">
        <f t="shared" si="7"/>
        <v>679</v>
      </c>
    </row>
    <row r="231" spans="1:12" x14ac:dyDescent="0.2">
      <c r="A231" t="s">
        <v>2</v>
      </c>
      <c r="B231">
        <v>1767073847</v>
      </c>
      <c r="C231" t="s">
        <v>340</v>
      </c>
      <c r="D231" s="6">
        <v>1.41E-2</v>
      </c>
      <c r="E231" t="s">
        <v>194</v>
      </c>
      <c r="F231" s="6">
        <v>8.3000000000000004E-2</v>
      </c>
      <c r="G231" t="s">
        <v>630</v>
      </c>
      <c r="H231" t="s">
        <v>626</v>
      </c>
      <c r="I231">
        <v>68</v>
      </c>
      <c r="J231" t="str">
        <f>TRIM(_xlfn.TEXTBEFORE(Table2[[#This Row],[mem]],"/"))</f>
        <v>325.2MiB</v>
      </c>
      <c r="K231" t="str">
        <f t="shared" si="6"/>
        <v>325.2MiB</v>
      </c>
      <c r="L231">
        <f t="shared" si="7"/>
        <v>325.2</v>
      </c>
    </row>
    <row r="232" spans="1:12" x14ac:dyDescent="0.2">
      <c r="A232" t="s">
        <v>2</v>
      </c>
      <c r="B232">
        <v>1767073847</v>
      </c>
      <c r="C232" t="s">
        <v>343</v>
      </c>
      <c r="D232" s="6">
        <v>5.5999999999999999E-3</v>
      </c>
      <c r="E232" t="s">
        <v>195</v>
      </c>
      <c r="F232" s="6">
        <v>0.1181</v>
      </c>
      <c r="G232" t="s">
        <v>631</v>
      </c>
      <c r="H232" t="s">
        <v>632</v>
      </c>
      <c r="I232">
        <v>268</v>
      </c>
      <c r="J232" t="str">
        <f>TRIM(_xlfn.TEXTBEFORE(Table2[[#This Row],[mem]],"/"))</f>
        <v>462.8MiB</v>
      </c>
      <c r="K232" t="str">
        <f t="shared" si="6"/>
        <v>462.8MiB</v>
      </c>
      <c r="L232">
        <f t="shared" si="7"/>
        <v>462.8</v>
      </c>
    </row>
    <row r="233" spans="1:12" x14ac:dyDescent="0.2">
      <c r="A233" t="s">
        <v>2</v>
      </c>
      <c r="B233">
        <v>1767073847</v>
      </c>
      <c r="C233" t="s">
        <v>346</v>
      </c>
      <c r="D233" s="6">
        <v>1.0769</v>
      </c>
      <c r="E233" t="s">
        <v>196</v>
      </c>
      <c r="F233" s="6">
        <v>0.34360000000000002</v>
      </c>
      <c r="G233" t="s">
        <v>633</v>
      </c>
      <c r="H233" t="s">
        <v>634</v>
      </c>
      <c r="I233">
        <v>268</v>
      </c>
      <c r="J233" t="str">
        <f>TRIM(_xlfn.TEXTBEFORE(Table2[[#This Row],[mem]],"/"))</f>
        <v>1.315GiB</v>
      </c>
      <c r="K233" t="str">
        <f t="shared" si="6"/>
        <v>1.315GiB</v>
      </c>
      <c r="L233">
        <f t="shared" si="7"/>
        <v>1346.56</v>
      </c>
    </row>
    <row r="234" spans="1:12" x14ac:dyDescent="0.2">
      <c r="A234" t="s">
        <v>2</v>
      </c>
      <c r="B234">
        <v>1767073854</v>
      </c>
      <c r="C234" t="s">
        <v>337</v>
      </c>
      <c r="D234" s="6">
        <v>6.8999999999999999E-3</v>
      </c>
      <c r="E234" t="s">
        <v>197</v>
      </c>
      <c r="F234" s="6">
        <v>0.1734</v>
      </c>
      <c r="G234" t="s">
        <v>587</v>
      </c>
      <c r="H234" t="s">
        <v>580</v>
      </c>
      <c r="I234">
        <v>89</v>
      </c>
      <c r="J234" t="str">
        <f>TRIM(_xlfn.TEXTBEFORE(Table2[[#This Row],[mem]],"/"))</f>
        <v>679.8MiB</v>
      </c>
      <c r="K234" t="str">
        <f t="shared" si="6"/>
        <v>679.8MiB</v>
      </c>
      <c r="L234">
        <f t="shared" si="7"/>
        <v>679.8</v>
      </c>
    </row>
    <row r="235" spans="1:12" x14ac:dyDescent="0.2">
      <c r="A235" t="s">
        <v>2</v>
      </c>
      <c r="B235">
        <v>1767073854</v>
      </c>
      <c r="C235" t="s">
        <v>340</v>
      </c>
      <c r="D235" s="6">
        <v>1.5599999999999999E-2</v>
      </c>
      <c r="E235" t="s">
        <v>198</v>
      </c>
      <c r="F235" s="6">
        <v>8.3500000000000005E-2</v>
      </c>
      <c r="G235" t="s">
        <v>635</v>
      </c>
      <c r="H235" t="s">
        <v>636</v>
      </c>
      <c r="I235">
        <v>68</v>
      </c>
      <c r="J235" t="str">
        <f>TRIM(_xlfn.TEXTBEFORE(Table2[[#This Row],[mem]],"/"))</f>
        <v>327.1MiB</v>
      </c>
      <c r="K235" t="str">
        <f t="shared" si="6"/>
        <v>327.1MiB</v>
      </c>
      <c r="L235">
        <f t="shared" si="7"/>
        <v>327.10000000000002</v>
      </c>
    </row>
    <row r="236" spans="1:12" x14ac:dyDescent="0.2">
      <c r="A236" t="s">
        <v>2</v>
      </c>
      <c r="B236">
        <v>1767073854</v>
      </c>
      <c r="C236" t="s">
        <v>343</v>
      </c>
      <c r="D236" s="6">
        <v>5.5999999999999999E-3</v>
      </c>
      <c r="E236" t="s">
        <v>199</v>
      </c>
      <c r="F236" s="6">
        <v>0.1181</v>
      </c>
      <c r="G236" t="s">
        <v>637</v>
      </c>
      <c r="H236" t="s">
        <v>632</v>
      </c>
      <c r="I236">
        <v>268</v>
      </c>
      <c r="J236" t="str">
        <f>TRIM(_xlfn.TEXTBEFORE(Table2[[#This Row],[mem]],"/"))</f>
        <v>463MiB</v>
      </c>
      <c r="K236" t="str">
        <f t="shared" si="6"/>
        <v>463MiB</v>
      </c>
      <c r="L236">
        <f t="shared" si="7"/>
        <v>463</v>
      </c>
    </row>
    <row r="237" spans="1:12" x14ac:dyDescent="0.2">
      <c r="A237" t="s">
        <v>2</v>
      </c>
      <c r="B237">
        <v>1767073854</v>
      </c>
      <c r="C237" t="s">
        <v>346</v>
      </c>
      <c r="D237" s="6">
        <v>1.1532</v>
      </c>
      <c r="E237" t="s">
        <v>200</v>
      </c>
      <c r="F237" s="6">
        <v>0.3427</v>
      </c>
      <c r="G237" t="s">
        <v>638</v>
      </c>
      <c r="H237" t="s">
        <v>639</v>
      </c>
      <c r="I237">
        <v>264</v>
      </c>
      <c r="J237" t="str">
        <f>TRIM(_xlfn.TEXTBEFORE(Table2[[#This Row],[mem]],"/"))</f>
        <v>1.312GiB</v>
      </c>
      <c r="K237" t="str">
        <f t="shared" si="6"/>
        <v>1.312GiB</v>
      </c>
      <c r="L237">
        <f t="shared" si="7"/>
        <v>1343.4880000000001</v>
      </c>
    </row>
    <row r="238" spans="1:12" x14ac:dyDescent="0.2">
      <c r="A238" t="s">
        <v>2</v>
      </c>
      <c r="B238">
        <v>1767073862</v>
      </c>
      <c r="C238" t="s">
        <v>337</v>
      </c>
      <c r="D238" s="6">
        <v>7.3000000000000001E-3</v>
      </c>
      <c r="E238" t="s">
        <v>201</v>
      </c>
      <c r="F238" s="6">
        <v>0.17280000000000001</v>
      </c>
      <c r="G238" t="s">
        <v>587</v>
      </c>
      <c r="H238" t="s">
        <v>580</v>
      </c>
      <c r="I238">
        <v>89</v>
      </c>
      <c r="J238" t="str">
        <f>TRIM(_xlfn.TEXTBEFORE(Table2[[#This Row],[mem]],"/"))</f>
        <v>677.1MiB</v>
      </c>
      <c r="K238" t="str">
        <f t="shared" si="6"/>
        <v>677.1MiB</v>
      </c>
      <c r="L238">
        <f t="shared" si="7"/>
        <v>677.1</v>
      </c>
    </row>
    <row r="239" spans="1:12" x14ac:dyDescent="0.2">
      <c r="A239" t="s">
        <v>2</v>
      </c>
      <c r="B239">
        <v>1767073862</v>
      </c>
      <c r="C239" t="s">
        <v>340</v>
      </c>
      <c r="D239" s="6">
        <v>9.1999999999999998E-3</v>
      </c>
      <c r="E239" t="s">
        <v>202</v>
      </c>
      <c r="F239" s="6">
        <v>8.3799999999999999E-2</v>
      </c>
      <c r="G239" t="s">
        <v>640</v>
      </c>
      <c r="H239" t="s">
        <v>636</v>
      </c>
      <c r="I239">
        <v>68</v>
      </c>
      <c r="J239" t="str">
        <f>TRIM(_xlfn.TEXTBEFORE(Table2[[#This Row],[mem]],"/"))</f>
        <v>328.3MiB</v>
      </c>
      <c r="K239" t="str">
        <f t="shared" si="6"/>
        <v>328.3MiB</v>
      </c>
      <c r="L239">
        <f t="shared" si="7"/>
        <v>328.3</v>
      </c>
    </row>
    <row r="240" spans="1:12" x14ac:dyDescent="0.2">
      <c r="A240" t="s">
        <v>2</v>
      </c>
      <c r="B240">
        <v>1767073862</v>
      </c>
      <c r="C240" t="s">
        <v>343</v>
      </c>
      <c r="D240" s="6">
        <v>7.4999999999999997E-3</v>
      </c>
      <c r="E240" t="s">
        <v>203</v>
      </c>
      <c r="F240" s="6">
        <v>0.1183</v>
      </c>
      <c r="G240" t="s">
        <v>641</v>
      </c>
      <c r="H240" t="s">
        <v>642</v>
      </c>
      <c r="I240">
        <v>268</v>
      </c>
      <c r="J240" t="str">
        <f>TRIM(_xlfn.TEXTBEFORE(Table2[[#This Row],[mem]],"/"))</f>
        <v>463.7MiB</v>
      </c>
      <c r="K240" t="str">
        <f t="shared" si="6"/>
        <v>463.7MiB</v>
      </c>
      <c r="L240">
        <f t="shared" si="7"/>
        <v>463.7</v>
      </c>
    </row>
    <row r="241" spans="1:12" x14ac:dyDescent="0.2">
      <c r="A241" t="s">
        <v>2</v>
      </c>
      <c r="B241">
        <v>1767073862</v>
      </c>
      <c r="C241" t="s">
        <v>346</v>
      </c>
      <c r="D241" s="6">
        <v>1.0761000000000001</v>
      </c>
      <c r="E241" t="s">
        <v>204</v>
      </c>
      <c r="F241" s="6">
        <v>0.33929999999999999</v>
      </c>
      <c r="G241" t="s">
        <v>643</v>
      </c>
      <c r="H241" t="s">
        <v>644</v>
      </c>
      <c r="I241">
        <v>266</v>
      </c>
      <c r="J241" t="str">
        <f>TRIM(_xlfn.TEXTBEFORE(Table2[[#This Row],[mem]],"/"))</f>
        <v>1.299GiB</v>
      </c>
      <c r="K241" t="str">
        <f t="shared" si="6"/>
        <v>1.299GiB</v>
      </c>
      <c r="L241">
        <f t="shared" si="7"/>
        <v>1330.1759999999999</v>
      </c>
    </row>
    <row r="242" spans="1:12" x14ac:dyDescent="0.2">
      <c r="A242" t="s">
        <v>2</v>
      </c>
      <c r="B242">
        <v>1767073869</v>
      </c>
      <c r="C242" t="s">
        <v>337</v>
      </c>
      <c r="D242" s="6">
        <v>0.63770000000000004</v>
      </c>
      <c r="E242" t="s">
        <v>205</v>
      </c>
      <c r="F242" s="6">
        <v>0.1802</v>
      </c>
      <c r="G242" t="s">
        <v>645</v>
      </c>
      <c r="H242" t="s">
        <v>646</v>
      </c>
      <c r="I242">
        <v>97</v>
      </c>
      <c r="J242" t="str">
        <f>TRIM(_xlfn.TEXTBEFORE(Table2[[#This Row],[mem]],"/"))</f>
        <v>706.1MiB</v>
      </c>
      <c r="K242" t="str">
        <f t="shared" si="6"/>
        <v>706.1MiB</v>
      </c>
      <c r="L242">
        <f t="shared" si="7"/>
        <v>706.1</v>
      </c>
    </row>
    <row r="243" spans="1:12" x14ac:dyDescent="0.2">
      <c r="A243" t="s">
        <v>2</v>
      </c>
      <c r="B243">
        <v>1767073869</v>
      </c>
      <c r="C243" t="s">
        <v>340</v>
      </c>
      <c r="D243" s="6">
        <v>0.115</v>
      </c>
      <c r="E243" t="s">
        <v>206</v>
      </c>
      <c r="F243" s="6">
        <v>8.5599999999999996E-2</v>
      </c>
      <c r="G243" t="s">
        <v>647</v>
      </c>
      <c r="H243" t="s">
        <v>648</v>
      </c>
      <c r="I243">
        <v>65</v>
      </c>
      <c r="J243" t="str">
        <f>TRIM(_xlfn.TEXTBEFORE(Table2[[#This Row],[mem]],"/"))</f>
        <v>335.5MiB</v>
      </c>
      <c r="K243" t="str">
        <f t="shared" si="6"/>
        <v>335.5MiB</v>
      </c>
      <c r="L243">
        <f t="shared" si="7"/>
        <v>335.5</v>
      </c>
    </row>
    <row r="244" spans="1:12" x14ac:dyDescent="0.2">
      <c r="A244" t="s">
        <v>2</v>
      </c>
      <c r="B244">
        <v>1767073869</v>
      </c>
      <c r="C244" t="s">
        <v>343</v>
      </c>
      <c r="D244" s="6">
        <v>6.13E-2</v>
      </c>
      <c r="E244" t="s">
        <v>207</v>
      </c>
      <c r="F244" s="6">
        <v>0.1188</v>
      </c>
      <c r="G244" t="s">
        <v>649</v>
      </c>
      <c r="H244" t="s">
        <v>650</v>
      </c>
      <c r="I244">
        <v>268</v>
      </c>
      <c r="J244" t="str">
        <f>TRIM(_xlfn.TEXTBEFORE(Table2[[#This Row],[mem]],"/"))</f>
        <v>465.5MiB</v>
      </c>
      <c r="K244" t="str">
        <f t="shared" si="6"/>
        <v>465.5MiB</v>
      </c>
      <c r="L244">
        <f t="shared" si="7"/>
        <v>465.5</v>
      </c>
    </row>
    <row r="245" spans="1:12" x14ac:dyDescent="0.2">
      <c r="A245" t="s">
        <v>2</v>
      </c>
      <c r="B245">
        <v>1767073869</v>
      </c>
      <c r="C245" t="s">
        <v>346</v>
      </c>
      <c r="D245" s="6">
        <v>1.4200000000000001E-2</v>
      </c>
      <c r="E245" t="s">
        <v>208</v>
      </c>
      <c r="F245" s="6">
        <v>0.25619999999999998</v>
      </c>
      <c r="G245" t="s">
        <v>651</v>
      </c>
      <c r="H245" t="s">
        <v>652</v>
      </c>
      <c r="I245">
        <v>170</v>
      </c>
      <c r="J245" t="str">
        <f>TRIM(_xlfn.TEXTBEFORE(Table2[[#This Row],[mem]],"/"))</f>
        <v>1004MiB</v>
      </c>
      <c r="K245" t="str">
        <f t="shared" si="6"/>
        <v>1004MiB</v>
      </c>
      <c r="L245">
        <f t="shared" si="7"/>
        <v>1004</v>
      </c>
    </row>
    <row r="246" spans="1:12" x14ac:dyDescent="0.2">
      <c r="A246" t="s">
        <v>2</v>
      </c>
      <c r="B246">
        <v>1767073876</v>
      </c>
      <c r="C246" t="s">
        <v>337</v>
      </c>
      <c r="D246" s="6">
        <v>9.7999999999999997E-3</v>
      </c>
      <c r="E246" t="s">
        <v>209</v>
      </c>
      <c r="F246" s="6">
        <v>0.1807</v>
      </c>
      <c r="G246" t="s">
        <v>645</v>
      </c>
      <c r="H246" t="s">
        <v>646</v>
      </c>
      <c r="I246">
        <v>97</v>
      </c>
      <c r="J246" t="str">
        <f>TRIM(_xlfn.TEXTBEFORE(Table2[[#This Row],[mem]],"/"))</f>
        <v>708.3MiB</v>
      </c>
      <c r="K246" t="str">
        <f t="shared" si="6"/>
        <v>708.3MiB</v>
      </c>
      <c r="L246">
        <f t="shared" si="7"/>
        <v>708.3</v>
      </c>
    </row>
    <row r="247" spans="1:12" x14ac:dyDescent="0.2">
      <c r="A247" t="s">
        <v>2</v>
      </c>
      <c r="B247">
        <v>1767073876</v>
      </c>
      <c r="C247" t="s">
        <v>340</v>
      </c>
      <c r="D247" s="6">
        <v>6.4999999999999997E-3</v>
      </c>
      <c r="E247" t="s">
        <v>210</v>
      </c>
      <c r="F247" s="6">
        <v>8.6300000000000002E-2</v>
      </c>
      <c r="G247" t="s">
        <v>647</v>
      </c>
      <c r="H247" t="s">
        <v>648</v>
      </c>
      <c r="I247">
        <v>66</v>
      </c>
      <c r="J247" t="str">
        <f>TRIM(_xlfn.TEXTBEFORE(Table2[[#This Row],[mem]],"/"))</f>
        <v>338.3MiB</v>
      </c>
      <c r="K247" t="str">
        <f t="shared" si="6"/>
        <v>338.3MiB</v>
      </c>
      <c r="L247">
        <f t="shared" si="7"/>
        <v>338.3</v>
      </c>
    </row>
    <row r="248" spans="1:12" x14ac:dyDescent="0.2">
      <c r="A248" t="s">
        <v>2</v>
      </c>
      <c r="B248">
        <v>1767073876</v>
      </c>
      <c r="C248" t="s">
        <v>343</v>
      </c>
      <c r="D248" s="6">
        <v>1.61E-2</v>
      </c>
      <c r="E248" t="s">
        <v>211</v>
      </c>
      <c r="F248" s="6">
        <v>0.1196</v>
      </c>
      <c r="G248" t="s">
        <v>653</v>
      </c>
      <c r="H248" t="s">
        <v>654</v>
      </c>
      <c r="I248">
        <v>274</v>
      </c>
      <c r="J248" t="str">
        <f>TRIM(_xlfn.TEXTBEFORE(Table2[[#This Row],[mem]],"/"))</f>
        <v>468.9MiB</v>
      </c>
      <c r="K248" t="str">
        <f t="shared" si="6"/>
        <v>468.9MiB</v>
      </c>
      <c r="L248">
        <f t="shared" si="7"/>
        <v>468.9</v>
      </c>
    </row>
    <row r="249" spans="1:12" x14ac:dyDescent="0.2">
      <c r="A249" t="s">
        <v>2</v>
      </c>
      <c r="B249">
        <v>1767073876</v>
      </c>
      <c r="C249" t="s">
        <v>346</v>
      </c>
      <c r="D249" s="6">
        <v>1.8821000000000001</v>
      </c>
      <c r="E249" t="s">
        <v>212</v>
      </c>
      <c r="F249" s="6">
        <v>0.23530000000000001</v>
      </c>
      <c r="G249" t="s">
        <v>651</v>
      </c>
      <c r="H249" t="s">
        <v>655</v>
      </c>
      <c r="I249">
        <v>174</v>
      </c>
      <c r="J249" t="str">
        <f>TRIM(_xlfn.TEXTBEFORE(Table2[[#This Row],[mem]],"/"))</f>
        <v>922.1MiB</v>
      </c>
      <c r="K249" t="str">
        <f t="shared" si="6"/>
        <v>922.1MiB</v>
      </c>
      <c r="L249">
        <f t="shared" si="7"/>
        <v>922.1</v>
      </c>
    </row>
    <row r="250" spans="1:12" x14ac:dyDescent="0.2">
      <c r="A250" t="s">
        <v>2</v>
      </c>
      <c r="B250">
        <v>1767073883</v>
      </c>
      <c r="C250" t="s">
        <v>337</v>
      </c>
      <c r="D250" s="6">
        <v>2.9899999999999999E-2</v>
      </c>
      <c r="E250" t="s">
        <v>213</v>
      </c>
      <c r="F250" s="6">
        <v>0.18179999999999999</v>
      </c>
      <c r="G250" t="s">
        <v>645</v>
      </c>
      <c r="H250" t="s">
        <v>646</v>
      </c>
      <c r="I250">
        <v>94</v>
      </c>
      <c r="J250" t="str">
        <f>TRIM(_xlfn.TEXTBEFORE(Table2[[#This Row],[mem]],"/"))</f>
        <v>712.7MiB</v>
      </c>
      <c r="K250" t="str">
        <f t="shared" si="6"/>
        <v>712.7MiB</v>
      </c>
      <c r="L250">
        <f t="shared" si="7"/>
        <v>712.7</v>
      </c>
    </row>
    <row r="251" spans="1:12" x14ac:dyDescent="0.2">
      <c r="A251" t="s">
        <v>2</v>
      </c>
      <c r="B251">
        <v>1767073883</v>
      </c>
      <c r="C251" t="s">
        <v>340</v>
      </c>
      <c r="D251" s="6">
        <v>3.2500000000000001E-2</v>
      </c>
      <c r="E251" t="s">
        <v>214</v>
      </c>
      <c r="F251" s="6">
        <v>8.7300000000000003E-2</v>
      </c>
      <c r="G251" t="s">
        <v>656</v>
      </c>
      <c r="H251" t="s">
        <v>657</v>
      </c>
      <c r="I251">
        <v>66</v>
      </c>
      <c r="J251" t="str">
        <f>TRIM(_xlfn.TEXTBEFORE(Table2[[#This Row],[mem]],"/"))</f>
        <v>342MiB</v>
      </c>
      <c r="K251" t="str">
        <f t="shared" si="6"/>
        <v>342MiB</v>
      </c>
      <c r="L251">
        <f t="shared" si="7"/>
        <v>342</v>
      </c>
    </row>
    <row r="252" spans="1:12" x14ac:dyDescent="0.2">
      <c r="A252" t="s">
        <v>2</v>
      </c>
      <c r="B252">
        <v>1767073883</v>
      </c>
      <c r="C252" t="s">
        <v>343</v>
      </c>
      <c r="D252" s="6">
        <v>1.0500000000000001E-2</v>
      </c>
      <c r="E252" t="s">
        <v>215</v>
      </c>
      <c r="F252" s="6">
        <v>0.1198</v>
      </c>
      <c r="G252" t="s">
        <v>658</v>
      </c>
      <c r="H252" t="s">
        <v>659</v>
      </c>
      <c r="I252">
        <v>270</v>
      </c>
      <c r="J252" t="str">
        <f>TRIM(_xlfn.TEXTBEFORE(Table2[[#This Row],[mem]],"/"))</f>
        <v>469.4MiB</v>
      </c>
      <c r="K252" t="str">
        <f t="shared" si="6"/>
        <v>469.4MiB</v>
      </c>
      <c r="L252">
        <f t="shared" si="7"/>
        <v>469.4</v>
      </c>
    </row>
    <row r="253" spans="1:12" x14ac:dyDescent="0.2">
      <c r="A253" t="s">
        <v>2</v>
      </c>
      <c r="B253">
        <v>1767073883</v>
      </c>
      <c r="C253" t="s">
        <v>346</v>
      </c>
      <c r="D253" s="6">
        <v>1.7885</v>
      </c>
      <c r="E253" t="s">
        <v>216</v>
      </c>
      <c r="F253" s="6">
        <v>0.32779999999999998</v>
      </c>
      <c r="G253" t="s">
        <v>651</v>
      </c>
      <c r="H253" t="s">
        <v>660</v>
      </c>
      <c r="I253">
        <v>255</v>
      </c>
      <c r="J253" t="str">
        <f>TRIM(_xlfn.TEXTBEFORE(Table2[[#This Row],[mem]],"/"))</f>
        <v>1.255GiB</v>
      </c>
      <c r="K253" t="str">
        <f t="shared" si="6"/>
        <v>1.255GiB</v>
      </c>
      <c r="L253">
        <f t="shared" si="7"/>
        <v>1285.1199999999999</v>
      </c>
    </row>
    <row r="254" spans="1:12" x14ac:dyDescent="0.2">
      <c r="A254" t="s">
        <v>2</v>
      </c>
      <c r="B254">
        <v>1767073891</v>
      </c>
      <c r="C254" t="s">
        <v>337</v>
      </c>
      <c r="D254" s="6">
        <v>2.63E-2</v>
      </c>
      <c r="E254" t="s">
        <v>217</v>
      </c>
      <c r="F254" s="6">
        <v>0.18210000000000001</v>
      </c>
      <c r="G254" t="s">
        <v>645</v>
      </c>
      <c r="H254" t="s">
        <v>646</v>
      </c>
      <c r="I254">
        <v>91</v>
      </c>
      <c r="J254" t="str">
        <f>TRIM(_xlfn.TEXTBEFORE(Table2[[#This Row],[mem]],"/"))</f>
        <v>713.7MiB</v>
      </c>
      <c r="K254" t="str">
        <f t="shared" si="6"/>
        <v>713.7MiB</v>
      </c>
      <c r="L254">
        <f t="shared" si="7"/>
        <v>713.7</v>
      </c>
    </row>
    <row r="255" spans="1:12" x14ac:dyDescent="0.2">
      <c r="A255" t="s">
        <v>2</v>
      </c>
      <c r="B255">
        <v>1767073891</v>
      </c>
      <c r="C255" t="s">
        <v>340</v>
      </c>
      <c r="D255" s="6">
        <v>1.9E-3</v>
      </c>
      <c r="E255" t="s">
        <v>218</v>
      </c>
      <c r="F255" s="6">
        <v>8.72E-2</v>
      </c>
      <c r="G255" t="s">
        <v>661</v>
      </c>
      <c r="H255" t="s">
        <v>657</v>
      </c>
      <c r="I255">
        <v>67</v>
      </c>
      <c r="J255" t="str">
        <f>TRIM(_xlfn.TEXTBEFORE(Table2[[#This Row],[mem]],"/"))</f>
        <v>341.7MiB</v>
      </c>
      <c r="K255" t="str">
        <f t="shared" si="6"/>
        <v>341.7MiB</v>
      </c>
      <c r="L255">
        <f t="shared" si="7"/>
        <v>341.7</v>
      </c>
    </row>
    <row r="256" spans="1:12" x14ac:dyDescent="0.2">
      <c r="A256" t="s">
        <v>2</v>
      </c>
      <c r="B256">
        <v>1767073891</v>
      </c>
      <c r="C256" t="s">
        <v>343</v>
      </c>
      <c r="D256" s="6">
        <v>5.28E-2</v>
      </c>
      <c r="E256" t="s">
        <v>219</v>
      </c>
      <c r="F256" s="6">
        <v>0.11990000000000001</v>
      </c>
      <c r="G256" t="s">
        <v>662</v>
      </c>
      <c r="H256" t="s">
        <v>659</v>
      </c>
      <c r="I256">
        <v>270</v>
      </c>
      <c r="J256" t="str">
        <f>TRIM(_xlfn.TEXTBEFORE(Table2[[#This Row],[mem]],"/"))</f>
        <v>469.9MiB</v>
      </c>
      <c r="K256" t="str">
        <f t="shared" si="6"/>
        <v>469.9MiB</v>
      </c>
      <c r="L256">
        <f t="shared" si="7"/>
        <v>469.9</v>
      </c>
    </row>
    <row r="257" spans="1:12" x14ac:dyDescent="0.2">
      <c r="A257" t="s">
        <v>2</v>
      </c>
      <c r="B257">
        <v>1767073891</v>
      </c>
      <c r="C257" t="s">
        <v>346</v>
      </c>
      <c r="D257" s="6">
        <v>0.70369999999999999</v>
      </c>
      <c r="E257" t="s">
        <v>220</v>
      </c>
      <c r="F257" s="6">
        <v>0.25130000000000002</v>
      </c>
      <c r="G257" t="s">
        <v>663</v>
      </c>
      <c r="H257" t="s">
        <v>660</v>
      </c>
      <c r="I257">
        <v>221</v>
      </c>
      <c r="J257" t="str">
        <f>TRIM(_xlfn.TEXTBEFORE(Table2[[#This Row],[mem]],"/"))</f>
        <v>984.9MiB</v>
      </c>
      <c r="K257" t="str">
        <f t="shared" si="6"/>
        <v>984.9MiB</v>
      </c>
      <c r="L257">
        <f t="shared" si="7"/>
        <v>984.9</v>
      </c>
    </row>
    <row r="258" spans="1:12" x14ac:dyDescent="0.2">
      <c r="A258" t="s">
        <v>2</v>
      </c>
      <c r="B258">
        <v>1767073898</v>
      </c>
      <c r="C258" t="s">
        <v>337</v>
      </c>
      <c r="D258" s="6">
        <v>0.11849999999999999</v>
      </c>
      <c r="E258" t="s">
        <v>221</v>
      </c>
      <c r="F258" s="6">
        <v>0.1825</v>
      </c>
      <c r="G258" t="s">
        <v>645</v>
      </c>
      <c r="H258" t="s">
        <v>646</v>
      </c>
      <c r="I258">
        <v>91</v>
      </c>
      <c r="J258" t="str">
        <f>TRIM(_xlfn.TEXTBEFORE(Table2[[#This Row],[mem]],"/"))</f>
        <v>715.4MiB</v>
      </c>
      <c r="K258" t="str">
        <f t="shared" ref="K258:K321" si="8">TRIM(_xlfn.TEXTBEFORE(E258,"/"))</f>
        <v>715.4MiB</v>
      </c>
      <c r="L258">
        <f t="shared" ref="L258:L321" si="9">_xlfn.LET(_xlpm.x,K258,_xlpm.v,VALUE(LEFT(_xlpm.x,LEN(_xlpm.x)-3)),_xlpm.u,RIGHT(_xlpm.x,3),IF(_xlpm.u="GiB",_xlpm.v*1024,_xlpm.v))</f>
        <v>715.4</v>
      </c>
    </row>
    <row r="259" spans="1:12" x14ac:dyDescent="0.2">
      <c r="A259" t="s">
        <v>2</v>
      </c>
      <c r="B259">
        <v>1767073898</v>
      </c>
      <c r="C259" t="s">
        <v>340</v>
      </c>
      <c r="D259" s="6">
        <v>2.8500000000000001E-2</v>
      </c>
      <c r="E259" t="s">
        <v>222</v>
      </c>
      <c r="F259" s="6">
        <v>8.7400000000000005E-2</v>
      </c>
      <c r="G259" t="s">
        <v>661</v>
      </c>
      <c r="H259" t="s">
        <v>664</v>
      </c>
      <c r="I259">
        <v>67</v>
      </c>
      <c r="J259" t="str">
        <f>TRIM(_xlfn.TEXTBEFORE(Table2[[#This Row],[mem]],"/"))</f>
        <v>342.6MiB</v>
      </c>
      <c r="K259" t="str">
        <f t="shared" si="8"/>
        <v>342.6MiB</v>
      </c>
      <c r="L259">
        <f t="shared" si="9"/>
        <v>342.6</v>
      </c>
    </row>
    <row r="260" spans="1:12" x14ac:dyDescent="0.2">
      <c r="A260" t="s">
        <v>2</v>
      </c>
      <c r="B260">
        <v>1767073898</v>
      </c>
      <c r="C260" t="s">
        <v>343</v>
      </c>
      <c r="D260" s="6">
        <v>1.1299999999999999E-2</v>
      </c>
      <c r="E260" t="s">
        <v>223</v>
      </c>
      <c r="F260" s="6">
        <v>0.12</v>
      </c>
      <c r="G260" t="s">
        <v>665</v>
      </c>
      <c r="H260" t="s">
        <v>659</v>
      </c>
      <c r="I260">
        <v>270</v>
      </c>
      <c r="J260" t="str">
        <f>TRIM(_xlfn.TEXTBEFORE(Table2[[#This Row],[mem]],"/"))</f>
        <v>470.2MiB</v>
      </c>
      <c r="K260" t="str">
        <f t="shared" si="8"/>
        <v>470.2MiB</v>
      </c>
      <c r="L260">
        <f t="shared" si="9"/>
        <v>470.2</v>
      </c>
    </row>
    <row r="261" spans="1:12" x14ac:dyDescent="0.2">
      <c r="A261" t="s">
        <v>2</v>
      </c>
      <c r="B261">
        <v>1767073898</v>
      </c>
      <c r="C261" t="s">
        <v>346</v>
      </c>
      <c r="D261" s="6">
        <v>0.78590000000000004</v>
      </c>
      <c r="E261" t="s">
        <v>224</v>
      </c>
      <c r="F261" s="6">
        <v>0.32500000000000001</v>
      </c>
      <c r="G261" t="s">
        <v>663</v>
      </c>
      <c r="H261" t="s">
        <v>666</v>
      </c>
      <c r="I261">
        <v>265</v>
      </c>
      <c r="J261" t="str">
        <f>TRIM(_xlfn.TEXTBEFORE(Table2[[#This Row],[mem]],"/"))</f>
        <v>1.244GiB</v>
      </c>
      <c r="K261" t="str">
        <f t="shared" si="8"/>
        <v>1.244GiB</v>
      </c>
      <c r="L261">
        <f t="shared" si="9"/>
        <v>1273.856</v>
      </c>
    </row>
    <row r="262" spans="1:12" x14ac:dyDescent="0.2">
      <c r="A262" t="s">
        <v>3</v>
      </c>
      <c r="B262">
        <v>1767073918</v>
      </c>
      <c r="C262" t="s">
        <v>337</v>
      </c>
      <c r="D262" s="6">
        <v>1.9774</v>
      </c>
      <c r="E262" t="s">
        <v>225</v>
      </c>
      <c r="F262" s="6">
        <v>0.12230000000000001</v>
      </c>
      <c r="G262" t="s">
        <v>667</v>
      </c>
      <c r="H262" t="s">
        <v>668</v>
      </c>
      <c r="I262">
        <v>86</v>
      </c>
      <c r="J262" t="str">
        <f>TRIM(_xlfn.TEXTBEFORE(Table2[[#This Row],[mem]],"/"))</f>
        <v>479.3MiB</v>
      </c>
      <c r="K262" t="str">
        <f t="shared" si="8"/>
        <v>479.3MiB</v>
      </c>
      <c r="L262">
        <f t="shared" si="9"/>
        <v>479.3</v>
      </c>
    </row>
    <row r="263" spans="1:12" x14ac:dyDescent="0.2">
      <c r="A263" t="s">
        <v>3</v>
      </c>
      <c r="B263">
        <v>1767073918</v>
      </c>
      <c r="C263" t="s">
        <v>340</v>
      </c>
      <c r="D263" s="6">
        <v>5.8999999999999999E-3</v>
      </c>
      <c r="E263" t="s">
        <v>226</v>
      </c>
      <c r="F263" s="6">
        <v>9.3799999999999994E-2</v>
      </c>
      <c r="G263" t="s">
        <v>669</v>
      </c>
      <c r="H263" t="s">
        <v>670</v>
      </c>
      <c r="I263">
        <v>65</v>
      </c>
      <c r="J263" t="str">
        <f>TRIM(_xlfn.TEXTBEFORE(Table2[[#This Row],[mem]],"/"))</f>
        <v>367.7MiB</v>
      </c>
      <c r="K263" t="str">
        <f t="shared" si="8"/>
        <v>367.7MiB</v>
      </c>
      <c r="L263">
        <f t="shared" si="9"/>
        <v>367.7</v>
      </c>
    </row>
    <row r="264" spans="1:12" x14ac:dyDescent="0.2">
      <c r="A264" t="s">
        <v>3</v>
      </c>
      <c r="B264">
        <v>1767073918</v>
      </c>
      <c r="C264" t="s">
        <v>343</v>
      </c>
      <c r="D264" s="6">
        <v>7.4000000000000003E-3</v>
      </c>
      <c r="E264" t="s">
        <v>227</v>
      </c>
      <c r="F264" s="6">
        <v>0.1207</v>
      </c>
      <c r="G264" t="s">
        <v>671</v>
      </c>
      <c r="H264" t="s">
        <v>672</v>
      </c>
      <c r="I264">
        <v>271</v>
      </c>
      <c r="J264" t="str">
        <f>TRIM(_xlfn.TEXTBEFORE(Table2[[#This Row],[mem]],"/"))</f>
        <v>472.9MiB</v>
      </c>
      <c r="K264" t="str">
        <f t="shared" si="8"/>
        <v>472.9MiB</v>
      </c>
      <c r="L264">
        <f t="shared" si="9"/>
        <v>472.9</v>
      </c>
    </row>
    <row r="265" spans="1:12" x14ac:dyDescent="0.2">
      <c r="A265" t="s">
        <v>3</v>
      </c>
      <c r="B265">
        <v>1767073918</v>
      </c>
      <c r="C265" t="s">
        <v>346</v>
      </c>
      <c r="D265" s="6">
        <v>5.1000000000000004E-3</v>
      </c>
      <c r="E265" t="s">
        <v>228</v>
      </c>
      <c r="F265" s="6">
        <v>0.1389</v>
      </c>
      <c r="G265" t="s">
        <v>673</v>
      </c>
      <c r="H265" t="s">
        <v>666</v>
      </c>
      <c r="I265">
        <v>121</v>
      </c>
      <c r="J265" t="str">
        <f>TRIM(_xlfn.TEXTBEFORE(Table2[[#This Row],[mem]],"/"))</f>
        <v>544.5MiB</v>
      </c>
      <c r="K265" t="str">
        <f t="shared" si="8"/>
        <v>544.5MiB</v>
      </c>
      <c r="L265">
        <f t="shared" si="9"/>
        <v>544.5</v>
      </c>
    </row>
    <row r="266" spans="1:12" x14ac:dyDescent="0.2">
      <c r="A266" t="s">
        <v>3</v>
      </c>
      <c r="B266">
        <v>1767073926</v>
      </c>
      <c r="C266" t="s">
        <v>337</v>
      </c>
      <c r="D266" s="6">
        <v>3.0200000000000001E-2</v>
      </c>
      <c r="E266" t="s">
        <v>229</v>
      </c>
      <c r="F266" s="6">
        <v>0.17069999999999999</v>
      </c>
      <c r="G266" t="s">
        <v>667</v>
      </c>
      <c r="H266" t="s">
        <v>668</v>
      </c>
      <c r="I266">
        <v>97</v>
      </c>
      <c r="J266" t="str">
        <f>TRIM(_xlfn.TEXTBEFORE(Table2[[#This Row],[mem]],"/"))</f>
        <v>669MiB</v>
      </c>
      <c r="K266" t="str">
        <f t="shared" si="8"/>
        <v>669MiB</v>
      </c>
      <c r="L266">
        <f t="shared" si="9"/>
        <v>669</v>
      </c>
    </row>
    <row r="267" spans="1:12" x14ac:dyDescent="0.2">
      <c r="A267" t="s">
        <v>3</v>
      </c>
      <c r="B267">
        <v>1767073926</v>
      </c>
      <c r="C267" t="s">
        <v>340</v>
      </c>
      <c r="D267" s="6">
        <v>1.66E-2</v>
      </c>
      <c r="E267" t="s">
        <v>230</v>
      </c>
      <c r="F267" s="6">
        <v>9.4700000000000006E-2</v>
      </c>
      <c r="G267" t="s">
        <v>669</v>
      </c>
      <c r="H267" t="s">
        <v>670</v>
      </c>
      <c r="I267">
        <v>66</v>
      </c>
      <c r="J267" t="str">
        <f>TRIM(_xlfn.TEXTBEFORE(Table2[[#This Row],[mem]],"/"))</f>
        <v>371.1MiB</v>
      </c>
      <c r="K267" t="str">
        <f t="shared" si="8"/>
        <v>371.1MiB</v>
      </c>
      <c r="L267">
        <f t="shared" si="9"/>
        <v>371.1</v>
      </c>
    </row>
    <row r="268" spans="1:12" x14ac:dyDescent="0.2">
      <c r="A268" t="s">
        <v>3</v>
      </c>
      <c r="B268">
        <v>1767073926</v>
      </c>
      <c r="C268" t="s">
        <v>343</v>
      </c>
      <c r="D268" s="6">
        <v>9.4999999999999998E-3</v>
      </c>
      <c r="E268" t="s">
        <v>231</v>
      </c>
      <c r="F268" s="6">
        <v>0.12139999999999999</v>
      </c>
      <c r="G268" t="s">
        <v>674</v>
      </c>
      <c r="H268" t="s">
        <v>675</v>
      </c>
      <c r="I268">
        <v>274</v>
      </c>
      <c r="J268" t="str">
        <f>TRIM(_xlfn.TEXTBEFORE(Table2[[#This Row],[mem]],"/"))</f>
        <v>475.9MiB</v>
      </c>
      <c r="K268" t="str">
        <f t="shared" si="8"/>
        <v>475.9MiB</v>
      </c>
      <c r="L268">
        <f t="shared" si="9"/>
        <v>475.9</v>
      </c>
    </row>
    <row r="269" spans="1:12" x14ac:dyDescent="0.2">
      <c r="A269" t="s">
        <v>3</v>
      </c>
      <c r="B269">
        <v>1767073926</v>
      </c>
      <c r="C269" t="s">
        <v>346</v>
      </c>
      <c r="D269" s="6">
        <v>1.3718999999999999</v>
      </c>
      <c r="E269" t="s">
        <v>232</v>
      </c>
      <c r="F269" s="6">
        <v>0.1605</v>
      </c>
      <c r="G269" t="s">
        <v>673</v>
      </c>
      <c r="H269" t="s">
        <v>666</v>
      </c>
      <c r="I269">
        <v>149</v>
      </c>
      <c r="J269" t="str">
        <f>TRIM(_xlfn.TEXTBEFORE(Table2[[#This Row],[mem]],"/"))</f>
        <v>629.2MiB</v>
      </c>
      <c r="K269" t="str">
        <f t="shared" si="8"/>
        <v>629.2MiB</v>
      </c>
      <c r="L269">
        <f t="shared" si="9"/>
        <v>629.20000000000005</v>
      </c>
    </row>
    <row r="270" spans="1:12" x14ac:dyDescent="0.2">
      <c r="A270" t="s">
        <v>3</v>
      </c>
      <c r="B270">
        <v>1767073933</v>
      </c>
      <c r="C270" t="s">
        <v>337</v>
      </c>
      <c r="D270" s="6">
        <v>3.15E-2</v>
      </c>
      <c r="E270" t="s">
        <v>233</v>
      </c>
      <c r="F270" s="6">
        <v>0.16800000000000001</v>
      </c>
      <c r="G270" t="s">
        <v>667</v>
      </c>
      <c r="H270" t="s">
        <v>676</v>
      </c>
      <c r="I270">
        <v>96</v>
      </c>
      <c r="J270" t="str">
        <f>TRIM(_xlfn.TEXTBEFORE(Table2[[#This Row],[mem]],"/"))</f>
        <v>658.4MiB</v>
      </c>
      <c r="K270" t="str">
        <f t="shared" si="8"/>
        <v>658.4MiB</v>
      </c>
      <c r="L270">
        <f t="shared" si="9"/>
        <v>658.4</v>
      </c>
    </row>
    <row r="271" spans="1:12" x14ac:dyDescent="0.2">
      <c r="A271" t="s">
        <v>3</v>
      </c>
      <c r="B271">
        <v>1767073933</v>
      </c>
      <c r="C271" t="s">
        <v>340</v>
      </c>
      <c r="D271" s="6">
        <v>1.1000000000000001E-3</v>
      </c>
      <c r="E271" t="s">
        <v>234</v>
      </c>
      <c r="F271" s="6">
        <v>9.2799999999999994E-2</v>
      </c>
      <c r="G271" t="s">
        <v>677</v>
      </c>
      <c r="H271" t="s">
        <v>678</v>
      </c>
      <c r="I271">
        <v>65</v>
      </c>
      <c r="J271" t="str">
        <f>TRIM(_xlfn.TEXTBEFORE(Table2[[#This Row],[mem]],"/"))</f>
        <v>363.6MiB</v>
      </c>
      <c r="K271" t="str">
        <f t="shared" si="8"/>
        <v>363.6MiB</v>
      </c>
      <c r="L271">
        <f t="shared" si="9"/>
        <v>363.6</v>
      </c>
    </row>
    <row r="272" spans="1:12" x14ac:dyDescent="0.2">
      <c r="A272" t="s">
        <v>3</v>
      </c>
      <c r="B272">
        <v>1767073933</v>
      </c>
      <c r="C272" t="s">
        <v>343</v>
      </c>
      <c r="D272" s="6">
        <v>1.7600000000000001E-2</v>
      </c>
      <c r="E272" t="s">
        <v>235</v>
      </c>
      <c r="F272" s="6">
        <v>0.1202</v>
      </c>
      <c r="G272" t="s">
        <v>679</v>
      </c>
      <c r="H272" t="s">
        <v>680</v>
      </c>
      <c r="I272">
        <v>272</v>
      </c>
      <c r="J272" t="str">
        <f>TRIM(_xlfn.TEXTBEFORE(Table2[[#This Row],[mem]],"/"))</f>
        <v>471.3MiB</v>
      </c>
      <c r="K272" t="str">
        <f t="shared" si="8"/>
        <v>471.3MiB</v>
      </c>
      <c r="L272">
        <f t="shared" si="9"/>
        <v>471.3</v>
      </c>
    </row>
    <row r="273" spans="1:12" x14ac:dyDescent="0.2">
      <c r="A273" t="s">
        <v>3</v>
      </c>
      <c r="B273">
        <v>1767073933</v>
      </c>
      <c r="C273" t="s">
        <v>346</v>
      </c>
      <c r="D273" s="6">
        <v>1.3399000000000001</v>
      </c>
      <c r="E273" t="s">
        <v>236</v>
      </c>
      <c r="F273" s="6">
        <v>0.25700000000000001</v>
      </c>
      <c r="G273" t="s">
        <v>673</v>
      </c>
      <c r="H273" t="s">
        <v>681</v>
      </c>
      <c r="I273">
        <v>245</v>
      </c>
      <c r="J273" t="str">
        <f>TRIM(_xlfn.TEXTBEFORE(Table2[[#This Row],[mem]],"/"))</f>
        <v>1007MiB</v>
      </c>
      <c r="K273" t="str">
        <f t="shared" si="8"/>
        <v>1007MiB</v>
      </c>
      <c r="L273">
        <f t="shared" si="9"/>
        <v>1007</v>
      </c>
    </row>
    <row r="274" spans="1:12" x14ac:dyDescent="0.2">
      <c r="A274" t="s">
        <v>3</v>
      </c>
      <c r="B274">
        <v>1767073941</v>
      </c>
      <c r="C274" t="s">
        <v>337</v>
      </c>
      <c r="D274" s="6">
        <v>1.4800000000000001E-2</v>
      </c>
      <c r="E274" t="s">
        <v>237</v>
      </c>
      <c r="F274" s="6">
        <v>0.16839999999999999</v>
      </c>
      <c r="G274" t="s">
        <v>667</v>
      </c>
      <c r="H274" t="s">
        <v>676</v>
      </c>
      <c r="I274">
        <v>93</v>
      </c>
      <c r="J274" t="str">
        <f>TRIM(_xlfn.TEXTBEFORE(Table2[[#This Row],[mem]],"/"))</f>
        <v>660.2MiB</v>
      </c>
      <c r="K274" t="str">
        <f t="shared" si="8"/>
        <v>660.2MiB</v>
      </c>
      <c r="L274">
        <f t="shared" si="9"/>
        <v>660.2</v>
      </c>
    </row>
    <row r="275" spans="1:12" x14ac:dyDescent="0.2">
      <c r="A275" t="s">
        <v>3</v>
      </c>
      <c r="B275">
        <v>1767073941</v>
      </c>
      <c r="C275" t="s">
        <v>340</v>
      </c>
      <c r="D275" s="6">
        <v>1.9E-3</v>
      </c>
      <c r="E275" t="s">
        <v>238</v>
      </c>
      <c r="F275" s="6">
        <v>9.11E-2</v>
      </c>
      <c r="G275" t="s">
        <v>682</v>
      </c>
      <c r="H275" t="s">
        <v>683</v>
      </c>
      <c r="I275">
        <v>66</v>
      </c>
      <c r="J275" t="str">
        <f>TRIM(_xlfn.TEXTBEFORE(Table2[[#This Row],[mem]],"/"))</f>
        <v>357.2MiB</v>
      </c>
      <c r="K275" t="str">
        <f t="shared" si="8"/>
        <v>357.2MiB</v>
      </c>
      <c r="L275">
        <f t="shared" si="9"/>
        <v>357.2</v>
      </c>
    </row>
    <row r="276" spans="1:12" x14ac:dyDescent="0.2">
      <c r="A276" t="s">
        <v>3</v>
      </c>
      <c r="B276">
        <v>1767073941</v>
      </c>
      <c r="C276" t="s">
        <v>343</v>
      </c>
      <c r="D276" s="6">
        <v>9.7999999999999997E-3</v>
      </c>
      <c r="E276" t="s">
        <v>239</v>
      </c>
      <c r="F276" s="6">
        <v>0.12039999999999999</v>
      </c>
      <c r="G276" t="s">
        <v>684</v>
      </c>
      <c r="H276" t="s">
        <v>680</v>
      </c>
      <c r="I276">
        <v>272</v>
      </c>
      <c r="J276" t="str">
        <f>TRIM(_xlfn.TEXTBEFORE(Table2[[#This Row],[mem]],"/"))</f>
        <v>471.8MiB</v>
      </c>
      <c r="K276" t="str">
        <f t="shared" si="8"/>
        <v>471.8MiB</v>
      </c>
      <c r="L276">
        <f t="shared" si="9"/>
        <v>471.8</v>
      </c>
    </row>
    <row r="277" spans="1:12" x14ac:dyDescent="0.2">
      <c r="A277" t="s">
        <v>3</v>
      </c>
      <c r="B277">
        <v>1767073941</v>
      </c>
      <c r="C277" t="s">
        <v>346</v>
      </c>
      <c r="D277" s="6">
        <v>1.0246</v>
      </c>
      <c r="E277" t="s">
        <v>196</v>
      </c>
      <c r="F277" s="6">
        <v>0.34350000000000003</v>
      </c>
      <c r="G277" t="s">
        <v>685</v>
      </c>
      <c r="H277" t="s">
        <v>681</v>
      </c>
      <c r="I277">
        <v>257</v>
      </c>
      <c r="J277" t="str">
        <f>TRIM(_xlfn.TEXTBEFORE(Table2[[#This Row],[mem]],"/"))</f>
        <v>1.315GiB</v>
      </c>
      <c r="K277" t="str">
        <f t="shared" si="8"/>
        <v>1.315GiB</v>
      </c>
      <c r="L277">
        <f t="shared" si="9"/>
        <v>1346.56</v>
      </c>
    </row>
    <row r="278" spans="1:12" x14ac:dyDescent="0.2">
      <c r="A278" t="s">
        <v>3</v>
      </c>
      <c r="B278">
        <v>1767073949</v>
      </c>
      <c r="C278" t="s">
        <v>337</v>
      </c>
      <c r="D278" s="6">
        <v>1.44E-2</v>
      </c>
      <c r="E278" t="s">
        <v>240</v>
      </c>
      <c r="F278" s="6">
        <v>0.16869999999999999</v>
      </c>
      <c r="G278" t="s">
        <v>686</v>
      </c>
      <c r="H278" t="s">
        <v>676</v>
      </c>
      <c r="I278">
        <v>93</v>
      </c>
      <c r="J278" t="str">
        <f>TRIM(_xlfn.TEXTBEFORE(Table2[[#This Row],[mem]],"/"))</f>
        <v>661.2MiB</v>
      </c>
      <c r="K278" t="str">
        <f t="shared" si="8"/>
        <v>661.2MiB</v>
      </c>
      <c r="L278">
        <f t="shared" si="9"/>
        <v>661.2</v>
      </c>
    </row>
    <row r="279" spans="1:12" x14ac:dyDescent="0.2">
      <c r="A279" t="s">
        <v>3</v>
      </c>
      <c r="B279">
        <v>1767073949</v>
      </c>
      <c r="C279" t="s">
        <v>340</v>
      </c>
      <c r="D279" s="6">
        <v>6.9999999999999999E-4</v>
      </c>
      <c r="E279" t="s">
        <v>241</v>
      </c>
      <c r="F279" s="6">
        <v>9.0899999999999995E-2</v>
      </c>
      <c r="G279" t="s">
        <v>687</v>
      </c>
      <c r="H279" t="s">
        <v>688</v>
      </c>
      <c r="I279">
        <v>66</v>
      </c>
      <c r="J279" t="str">
        <f>TRIM(_xlfn.TEXTBEFORE(Table2[[#This Row],[mem]],"/"))</f>
        <v>356.2MiB</v>
      </c>
      <c r="K279" t="str">
        <f t="shared" si="8"/>
        <v>356.2MiB</v>
      </c>
      <c r="L279">
        <f t="shared" si="9"/>
        <v>356.2</v>
      </c>
    </row>
    <row r="280" spans="1:12" x14ac:dyDescent="0.2">
      <c r="A280" t="s">
        <v>3</v>
      </c>
      <c r="B280">
        <v>1767073949</v>
      </c>
      <c r="C280" t="s">
        <v>343</v>
      </c>
      <c r="D280" s="6">
        <v>6.0000000000000001E-3</v>
      </c>
      <c r="E280" t="s">
        <v>239</v>
      </c>
      <c r="F280" s="6">
        <v>0.12039999999999999</v>
      </c>
      <c r="G280" t="s">
        <v>689</v>
      </c>
      <c r="H280" t="s">
        <v>680</v>
      </c>
      <c r="I280">
        <v>272</v>
      </c>
      <c r="J280" t="str">
        <f>TRIM(_xlfn.TEXTBEFORE(Table2[[#This Row],[mem]],"/"))</f>
        <v>471.8MiB</v>
      </c>
      <c r="K280" t="str">
        <f t="shared" si="8"/>
        <v>471.8MiB</v>
      </c>
      <c r="L280">
        <f t="shared" si="9"/>
        <v>471.8</v>
      </c>
    </row>
    <row r="281" spans="1:12" x14ac:dyDescent="0.2">
      <c r="A281" t="s">
        <v>3</v>
      </c>
      <c r="B281">
        <v>1767073949</v>
      </c>
      <c r="C281" t="s">
        <v>346</v>
      </c>
      <c r="D281" s="6">
        <v>1.2584</v>
      </c>
      <c r="E281" t="s">
        <v>242</v>
      </c>
      <c r="F281" s="6">
        <v>0.34849999999999998</v>
      </c>
      <c r="G281" t="s">
        <v>690</v>
      </c>
      <c r="H281" t="s">
        <v>681</v>
      </c>
      <c r="I281">
        <v>251</v>
      </c>
      <c r="J281" t="str">
        <f>TRIM(_xlfn.TEXTBEFORE(Table2[[#This Row],[mem]],"/"))</f>
        <v>1.334GiB</v>
      </c>
      <c r="K281" t="str">
        <f t="shared" si="8"/>
        <v>1.334GiB</v>
      </c>
      <c r="L281">
        <f t="shared" si="9"/>
        <v>1366.0160000000001</v>
      </c>
    </row>
    <row r="282" spans="1:12" x14ac:dyDescent="0.2">
      <c r="A282" t="s">
        <v>3</v>
      </c>
      <c r="B282">
        <v>1767073956</v>
      </c>
      <c r="C282" t="s">
        <v>337</v>
      </c>
      <c r="D282" s="6">
        <v>1.21E-2</v>
      </c>
      <c r="E282" t="s">
        <v>243</v>
      </c>
      <c r="F282" s="6">
        <v>0.16739999999999999</v>
      </c>
      <c r="G282" t="s">
        <v>686</v>
      </c>
      <c r="H282" t="s">
        <v>676</v>
      </c>
      <c r="I282">
        <v>92</v>
      </c>
      <c r="J282" t="str">
        <f>TRIM(_xlfn.TEXTBEFORE(Table2[[#This Row],[mem]],"/"))</f>
        <v>656.1MiB</v>
      </c>
      <c r="K282" t="str">
        <f t="shared" si="8"/>
        <v>656.1MiB</v>
      </c>
      <c r="L282">
        <f t="shared" si="9"/>
        <v>656.1</v>
      </c>
    </row>
    <row r="283" spans="1:12" x14ac:dyDescent="0.2">
      <c r="A283" t="s">
        <v>3</v>
      </c>
      <c r="B283">
        <v>1767073956</v>
      </c>
      <c r="C283" t="s">
        <v>340</v>
      </c>
      <c r="D283" s="6">
        <v>3.8E-3</v>
      </c>
      <c r="E283" t="s">
        <v>218</v>
      </c>
      <c r="F283" s="6">
        <v>8.72E-2</v>
      </c>
      <c r="G283" t="s">
        <v>691</v>
      </c>
      <c r="H283" t="s">
        <v>692</v>
      </c>
      <c r="I283">
        <v>65</v>
      </c>
      <c r="J283" t="str">
        <f>TRIM(_xlfn.TEXTBEFORE(Table2[[#This Row],[mem]],"/"))</f>
        <v>341.7MiB</v>
      </c>
      <c r="K283" t="str">
        <f t="shared" si="8"/>
        <v>341.7MiB</v>
      </c>
      <c r="L283">
        <f t="shared" si="9"/>
        <v>341.7</v>
      </c>
    </row>
    <row r="284" spans="1:12" x14ac:dyDescent="0.2">
      <c r="A284" t="s">
        <v>3</v>
      </c>
      <c r="B284">
        <v>1767073956</v>
      </c>
      <c r="C284" t="s">
        <v>343</v>
      </c>
      <c r="D284" s="6">
        <v>5.5999999999999999E-3</v>
      </c>
      <c r="E284" t="s">
        <v>244</v>
      </c>
      <c r="F284" s="6">
        <v>0.1206</v>
      </c>
      <c r="G284" t="s">
        <v>693</v>
      </c>
      <c r="H284" t="s">
        <v>694</v>
      </c>
      <c r="I284">
        <v>272</v>
      </c>
      <c r="J284" t="str">
        <f>TRIM(_xlfn.TEXTBEFORE(Table2[[#This Row],[mem]],"/"))</f>
        <v>472.7MiB</v>
      </c>
      <c r="K284" t="str">
        <f t="shared" si="8"/>
        <v>472.7MiB</v>
      </c>
      <c r="L284">
        <f t="shared" si="9"/>
        <v>472.7</v>
      </c>
    </row>
    <row r="285" spans="1:12" x14ac:dyDescent="0.2">
      <c r="A285" t="s">
        <v>3</v>
      </c>
      <c r="B285">
        <v>1767073956</v>
      </c>
      <c r="C285" t="s">
        <v>346</v>
      </c>
      <c r="D285" s="6">
        <v>1.2136</v>
      </c>
      <c r="E285" t="s">
        <v>245</v>
      </c>
      <c r="F285" s="6">
        <v>0.35120000000000001</v>
      </c>
      <c r="G285" t="s">
        <v>695</v>
      </c>
      <c r="H285" t="s">
        <v>696</v>
      </c>
      <c r="I285">
        <v>253</v>
      </c>
      <c r="J285" t="str">
        <f>TRIM(_xlfn.TEXTBEFORE(Table2[[#This Row],[mem]],"/"))</f>
        <v>1.344GiB</v>
      </c>
      <c r="K285" t="str">
        <f t="shared" si="8"/>
        <v>1.344GiB</v>
      </c>
      <c r="L285">
        <f t="shared" si="9"/>
        <v>1376.2560000000001</v>
      </c>
    </row>
    <row r="286" spans="1:12" x14ac:dyDescent="0.2">
      <c r="A286" t="s">
        <v>3</v>
      </c>
      <c r="B286">
        <v>1767073963</v>
      </c>
      <c r="C286" t="s">
        <v>337</v>
      </c>
      <c r="D286" s="6">
        <v>8.0999999999999996E-3</v>
      </c>
      <c r="E286" t="s">
        <v>246</v>
      </c>
      <c r="F286" s="6">
        <v>0.1678</v>
      </c>
      <c r="G286" t="s">
        <v>686</v>
      </c>
      <c r="H286" t="s">
        <v>676</v>
      </c>
      <c r="I286">
        <v>92</v>
      </c>
      <c r="J286" t="str">
        <f>TRIM(_xlfn.TEXTBEFORE(Table2[[#This Row],[mem]],"/"))</f>
        <v>657.8MiB</v>
      </c>
      <c r="K286" t="str">
        <f t="shared" si="8"/>
        <v>657.8MiB</v>
      </c>
      <c r="L286">
        <f t="shared" si="9"/>
        <v>657.8</v>
      </c>
    </row>
    <row r="287" spans="1:12" x14ac:dyDescent="0.2">
      <c r="A287" t="s">
        <v>3</v>
      </c>
      <c r="B287">
        <v>1767073963</v>
      </c>
      <c r="C287" t="s">
        <v>340</v>
      </c>
      <c r="D287" s="6">
        <v>1E-3</v>
      </c>
      <c r="E287" t="s">
        <v>247</v>
      </c>
      <c r="F287" s="6">
        <v>8.7499999999999994E-2</v>
      </c>
      <c r="G287" t="s">
        <v>691</v>
      </c>
      <c r="H287" t="s">
        <v>692</v>
      </c>
      <c r="I287">
        <v>67</v>
      </c>
      <c r="J287" t="str">
        <f>TRIM(_xlfn.TEXTBEFORE(Table2[[#This Row],[mem]],"/"))</f>
        <v>342.9MiB</v>
      </c>
      <c r="K287" t="str">
        <f t="shared" si="8"/>
        <v>342.9MiB</v>
      </c>
      <c r="L287">
        <f t="shared" si="9"/>
        <v>342.9</v>
      </c>
    </row>
    <row r="288" spans="1:12" x14ac:dyDescent="0.2">
      <c r="A288" t="s">
        <v>3</v>
      </c>
      <c r="B288">
        <v>1767073963</v>
      </c>
      <c r="C288" t="s">
        <v>343</v>
      </c>
      <c r="D288" s="6">
        <v>1.66E-2</v>
      </c>
      <c r="E288" t="s">
        <v>248</v>
      </c>
      <c r="F288" s="6">
        <v>0.12620000000000001</v>
      </c>
      <c r="G288" t="s">
        <v>697</v>
      </c>
      <c r="H288" t="s">
        <v>698</v>
      </c>
      <c r="I288">
        <v>272</v>
      </c>
      <c r="J288" t="str">
        <f>TRIM(_xlfn.TEXTBEFORE(Table2[[#This Row],[mem]],"/"))</f>
        <v>494.8MiB</v>
      </c>
      <c r="K288" t="str">
        <f t="shared" si="8"/>
        <v>494.8MiB</v>
      </c>
      <c r="L288">
        <f t="shared" si="9"/>
        <v>494.8</v>
      </c>
    </row>
    <row r="289" spans="1:12" x14ac:dyDescent="0.2">
      <c r="A289" t="s">
        <v>3</v>
      </c>
      <c r="B289">
        <v>1767073963</v>
      </c>
      <c r="C289" t="s">
        <v>346</v>
      </c>
      <c r="D289" s="6">
        <v>0.16259999999999999</v>
      </c>
      <c r="E289" t="s">
        <v>249</v>
      </c>
      <c r="F289" s="6">
        <v>0.24640000000000001</v>
      </c>
      <c r="G289" t="s">
        <v>695</v>
      </c>
      <c r="H289" t="s">
        <v>699</v>
      </c>
      <c r="I289">
        <v>223</v>
      </c>
      <c r="J289" t="str">
        <f>TRIM(_xlfn.TEXTBEFORE(Table2[[#This Row],[mem]],"/"))</f>
        <v>965.6MiB</v>
      </c>
      <c r="K289" t="str">
        <f t="shared" si="8"/>
        <v>965.6MiB</v>
      </c>
      <c r="L289">
        <f t="shared" si="9"/>
        <v>965.6</v>
      </c>
    </row>
    <row r="290" spans="1:12" x14ac:dyDescent="0.2">
      <c r="A290" t="s">
        <v>3</v>
      </c>
      <c r="B290">
        <v>1767073971</v>
      </c>
      <c r="C290" t="s">
        <v>337</v>
      </c>
      <c r="D290" s="6">
        <v>1.2699999999999999E-2</v>
      </c>
      <c r="E290" t="s">
        <v>250</v>
      </c>
      <c r="F290" s="6">
        <v>0.16830000000000001</v>
      </c>
      <c r="G290" t="s">
        <v>686</v>
      </c>
      <c r="H290" t="s">
        <v>676</v>
      </c>
      <c r="I290">
        <v>91</v>
      </c>
      <c r="J290" t="str">
        <f>TRIM(_xlfn.TEXTBEFORE(Table2[[#This Row],[mem]],"/"))</f>
        <v>659.5MiB</v>
      </c>
      <c r="K290" t="str">
        <f t="shared" si="8"/>
        <v>659.5MiB</v>
      </c>
      <c r="L290">
        <f t="shared" si="9"/>
        <v>659.5</v>
      </c>
    </row>
    <row r="291" spans="1:12" x14ac:dyDescent="0.2">
      <c r="A291" t="s">
        <v>3</v>
      </c>
      <c r="B291">
        <v>1767073971</v>
      </c>
      <c r="C291" t="s">
        <v>340</v>
      </c>
      <c r="D291" s="6">
        <v>9.1999999999999998E-3</v>
      </c>
      <c r="E291" t="s">
        <v>251</v>
      </c>
      <c r="F291" s="6">
        <v>8.5800000000000001E-2</v>
      </c>
      <c r="G291" t="s">
        <v>700</v>
      </c>
      <c r="H291" t="s">
        <v>701</v>
      </c>
      <c r="I291">
        <v>68</v>
      </c>
      <c r="J291" t="str">
        <f>TRIM(_xlfn.TEXTBEFORE(Table2[[#This Row],[mem]],"/"))</f>
        <v>336.3MiB</v>
      </c>
      <c r="K291" t="str">
        <f t="shared" si="8"/>
        <v>336.3MiB</v>
      </c>
      <c r="L291">
        <f t="shared" si="9"/>
        <v>336.3</v>
      </c>
    </row>
    <row r="292" spans="1:12" x14ac:dyDescent="0.2">
      <c r="A292" t="s">
        <v>3</v>
      </c>
      <c r="B292">
        <v>1767073971</v>
      </c>
      <c r="C292" t="s">
        <v>343</v>
      </c>
      <c r="D292" s="6">
        <v>1.23E-2</v>
      </c>
      <c r="E292" t="s">
        <v>252</v>
      </c>
      <c r="F292" s="6">
        <v>0.1263</v>
      </c>
      <c r="G292" t="s">
        <v>702</v>
      </c>
      <c r="H292" t="s">
        <v>698</v>
      </c>
      <c r="I292">
        <v>272</v>
      </c>
      <c r="J292" t="str">
        <f>TRIM(_xlfn.TEXTBEFORE(Table2[[#This Row],[mem]],"/"))</f>
        <v>494.9MiB</v>
      </c>
      <c r="K292" t="str">
        <f t="shared" si="8"/>
        <v>494.9MiB</v>
      </c>
      <c r="L292">
        <f t="shared" si="9"/>
        <v>494.9</v>
      </c>
    </row>
    <row r="293" spans="1:12" x14ac:dyDescent="0.2">
      <c r="A293" t="s">
        <v>3</v>
      </c>
      <c r="B293">
        <v>1767073971</v>
      </c>
      <c r="C293" t="s">
        <v>346</v>
      </c>
      <c r="D293" s="6">
        <v>1.9665999999999999</v>
      </c>
      <c r="E293" t="s">
        <v>253</v>
      </c>
      <c r="F293" s="6">
        <v>0.34989999999999999</v>
      </c>
      <c r="G293" t="s">
        <v>703</v>
      </c>
      <c r="H293" t="s">
        <v>704</v>
      </c>
      <c r="I293">
        <v>260</v>
      </c>
      <c r="J293" t="str">
        <f>TRIM(_xlfn.TEXTBEFORE(Table2[[#This Row],[mem]],"/"))</f>
        <v>1.339GiB</v>
      </c>
      <c r="K293" t="str">
        <f t="shared" si="8"/>
        <v>1.339GiB</v>
      </c>
      <c r="L293">
        <f t="shared" si="9"/>
        <v>1371.136</v>
      </c>
    </row>
    <row r="294" spans="1:12" x14ac:dyDescent="0.2">
      <c r="A294" t="s">
        <v>3</v>
      </c>
      <c r="B294">
        <v>1767073978</v>
      </c>
      <c r="C294" t="s">
        <v>337</v>
      </c>
      <c r="D294" s="6">
        <v>3.2500000000000001E-2</v>
      </c>
      <c r="E294" t="s">
        <v>254</v>
      </c>
      <c r="F294" s="6">
        <v>0.16850000000000001</v>
      </c>
      <c r="G294" t="s">
        <v>686</v>
      </c>
      <c r="H294" t="s">
        <v>676</v>
      </c>
      <c r="I294">
        <v>90</v>
      </c>
      <c r="J294" t="str">
        <f>TRIM(_xlfn.TEXTBEFORE(Table2[[#This Row],[mem]],"/"))</f>
        <v>660.5MiB</v>
      </c>
      <c r="K294" t="str">
        <f t="shared" si="8"/>
        <v>660.5MiB</v>
      </c>
      <c r="L294">
        <f t="shared" si="9"/>
        <v>660.5</v>
      </c>
    </row>
    <row r="295" spans="1:12" x14ac:dyDescent="0.2">
      <c r="A295" t="s">
        <v>3</v>
      </c>
      <c r="B295">
        <v>1767073978</v>
      </c>
      <c r="C295" t="s">
        <v>340</v>
      </c>
      <c r="D295" s="6">
        <v>8.9999999999999998E-4</v>
      </c>
      <c r="E295" t="s">
        <v>167</v>
      </c>
      <c r="F295" s="6">
        <v>8.6199999999999999E-2</v>
      </c>
      <c r="G295" t="s">
        <v>705</v>
      </c>
      <c r="H295" t="s">
        <v>706</v>
      </c>
      <c r="I295">
        <v>68</v>
      </c>
      <c r="J295" t="str">
        <f>TRIM(_xlfn.TEXTBEFORE(Table2[[#This Row],[mem]],"/"))</f>
        <v>337.9MiB</v>
      </c>
      <c r="K295" t="str">
        <f t="shared" si="8"/>
        <v>337.9MiB</v>
      </c>
      <c r="L295">
        <f t="shared" si="9"/>
        <v>337.9</v>
      </c>
    </row>
    <row r="296" spans="1:12" x14ac:dyDescent="0.2">
      <c r="A296" t="s">
        <v>3</v>
      </c>
      <c r="B296">
        <v>1767073978</v>
      </c>
      <c r="C296" t="s">
        <v>343</v>
      </c>
      <c r="D296" s="6">
        <v>7.7999999999999996E-3</v>
      </c>
      <c r="E296" t="s">
        <v>255</v>
      </c>
      <c r="F296" s="6">
        <v>0.1263</v>
      </c>
      <c r="G296" t="s">
        <v>707</v>
      </c>
      <c r="H296" t="s">
        <v>698</v>
      </c>
      <c r="I296">
        <v>272</v>
      </c>
      <c r="J296" t="str">
        <f>TRIM(_xlfn.TEXTBEFORE(Table2[[#This Row],[mem]],"/"))</f>
        <v>495.2MiB</v>
      </c>
      <c r="K296" t="str">
        <f t="shared" si="8"/>
        <v>495.2MiB</v>
      </c>
      <c r="L296">
        <f t="shared" si="9"/>
        <v>495.2</v>
      </c>
    </row>
    <row r="297" spans="1:12" x14ac:dyDescent="0.2">
      <c r="A297" t="s">
        <v>3</v>
      </c>
      <c r="B297">
        <v>1767073978</v>
      </c>
      <c r="C297" t="s">
        <v>346</v>
      </c>
      <c r="D297" s="6">
        <v>1.0903</v>
      </c>
      <c r="E297" t="s">
        <v>256</v>
      </c>
      <c r="F297" s="6">
        <v>0.35239999999999999</v>
      </c>
      <c r="G297" t="s">
        <v>708</v>
      </c>
      <c r="H297" t="s">
        <v>704</v>
      </c>
      <c r="I297">
        <v>256</v>
      </c>
      <c r="J297" t="str">
        <f>TRIM(_xlfn.TEXTBEFORE(Table2[[#This Row],[mem]],"/"))</f>
        <v>1.349GiB</v>
      </c>
      <c r="K297" t="str">
        <f t="shared" si="8"/>
        <v>1.349GiB</v>
      </c>
      <c r="L297">
        <f t="shared" si="9"/>
        <v>1381.376</v>
      </c>
    </row>
    <row r="298" spans="1:12" x14ac:dyDescent="0.2">
      <c r="A298" t="s">
        <v>3</v>
      </c>
      <c r="B298">
        <v>1767073986</v>
      </c>
      <c r="C298" t="s">
        <v>337</v>
      </c>
      <c r="D298" s="6">
        <v>9.9000000000000008E-3</v>
      </c>
      <c r="E298" t="s">
        <v>257</v>
      </c>
      <c r="F298" s="6">
        <v>0.16869999999999999</v>
      </c>
      <c r="G298" t="s">
        <v>686</v>
      </c>
      <c r="H298" t="s">
        <v>676</v>
      </c>
      <c r="I298">
        <v>89</v>
      </c>
      <c r="J298" t="str">
        <f>TRIM(_xlfn.TEXTBEFORE(Table2[[#This Row],[mem]],"/"))</f>
        <v>661.4MiB</v>
      </c>
      <c r="K298" t="str">
        <f t="shared" si="8"/>
        <v>661.4MiB</v>
      </c>
      <c r="L298">
        <f t="shared" si="9"/>
        <v>661.4</v>
      </c>
    </row>
    <row r="299" spans="1:12" x14ac:dyDescent="0.2">
      <c r="A299" t="s">
        <v>3</v>
      </c>
      <c r="B299">
        <v>1767073986</v>
      </c>
      <c r="C299" t="s">
        <v>340</v>
      </c>
      <c r="D299" s="6">
        <v>1.9E-2</v>
      </c>
      <c r="E299" t="s">
        <v>258</v>
      </c>
      <c r="F299" s="6">
        <v>8.7800000000000003E-2</v>
      </c>
      <c r="G299" t="s">
        <v>709</v>
      </c>
      <c r="H299" t="s">
        <v>710</v>
      </c>
      <c r="I299">
        <v>66</v>
      </c>
      <c r="J299" t="str">
        <f>TRIM(_xlfn.TEXTBEFORE(Table2[[#This Row],[mem]],"/"))</f>
        <v>344.2MiB</v>
      </c>
      <c r="K299" t="str">
        <f t="shared" si="8"/>
        <v>344.2MiB</v>
      </c>
      <c r="L299">
        <f t="shared" si="9"/>
        <v>344.2</v>
      </c>
    </row>
    <row r="300" spans="1:12" x14ac:dyDescent="0.2">
      <c r="A300" t="s">
        <v>3</v>
      </c>
      <c r="B300">
        <v>1767073986</v>
      </c>
      <c r="C300" t="s">
        <v>343</v>
      </c>
      <c r="D300" s="6">
        <v>1.9199999999999998E-2</v>
      </c>
      <c r="E300" t="s">
        <v>259</v>
      </c>
      <c r="F300" s="6">
        <v>0.12640000000000001</v>
      </c>
      <c r="G300" t="s">
        <v>711</v>
      </c>
      <c r="H300" t="s">
        <v>698</v>
      </c>
      <c r="I300">
        <v>272</v>
      </c>
      <c r="J300" t="str">
        <f>TRIM(_xlfn.TEXTBEFORE(Table2[[#This Row],[mem]],"/"))</f>
        <v>495.3MiB</v>
      </c>
      <c r="K300" t="str">
        <f t="shared" si="8"/>
        <v>495.3MiB</v>
      </c>
      <c r="L300">
        <f t="shared" si="9"/>
        <v>495.3</v>
      </c>
    </row>
    <row r="301" spans="1:12" x14ac:dyDescent="0.2">
      <c r="A301" t="s">
        <v>3</v>
      </c>
      <c r="B301">
        <v>1767073986</v>
      </c>
      <c r="C301" t="s">
        <v>346</v>
      </c>
      <c r="D301" s="6">
        <v>1.0723</v>
      </c>
      <c r="E301" t="s">
        <v>260</v>
      </c>
      <c r="F301" s="6">
        <v>0.35399999999999998</v>
      </c>
      <c r="G301" t="s">
        <v>712</v>
      </c>
      <c r="H301" t="s">
        <v>704</v>
      </c>
      <c r="I301">
        <v>255</v>
      </c>
      <c r="J301" t="str">
        <f>TRIM(_xlfn.TEXTBEFORE(Table2[[#This Row],[mem]],"/"))</f>
        <v>1.355GiB</v>
      </c>
      <c r="K301" t="str">
        <f t="shared" si="8"/>
        <v>1.355GiB</v>
      </c>
      <c r="L301">
        <f t="shared" si="9"/>
        <v>1387.52</v>
      </c>
    </row>
    <row r="302" spans="1:12" x14ac:dyDescent="0.2">
      <c r="A302" t="s">
        <v>3</v>
      </c>
      <c r="B302">
        <v>1767073993</v>
      </c>
      <c r="C302" t="s">
        <v>337</v>
      </c>
      <c r="D302" s="6">
        <v>2.3400000000000001E-2</v>
      </c>
      <c r="E302" t="s">
        <v>261</v>
      </c>
      <c r="F302" s="6">
        <v>0.16930000000000001</v>
      </c>
      <c r="G302" t="s">
        <v>686</v>
      </c>
      <c r="H302" t="s">
        <v>676</v>
      </c>
      <c r="I302">
        <v>89</v>
      </c>
      <c r="J302" t="str">
        <f>TRIM(_xlfn.TEXTBEFORE(Table2[[#This Row],[mem]],"/"))</f>
        <v>663.5MiB</v>
      </c>
      <c r="K302" t="str">
        <f t="shared" si="8"/>
        <v>663.5MiB</v>
      </c>
      <c r="L302">
        <f t="shared" si="9"/>
        <v>663.5</v>
      </c>
    </row>
    <row r="303" spans="1:12" x14ac:dyDescent="0.2">
      <c r="A303" t="s">
        <v>3</v>
      </c>
      <c r="B303">
        <v>1767073993</v>
      </c>
      <c r="C303" t="s">
        <v>340</v>
      </c>
      <c r="D303" s="6">
        <v>1.1999999999999999E-3</v>
      </c>
      <c r="E303" t="s">
        <v>262</v>
      </c>
      <c r="F303" s="6">
        <v>8.8099999999999998E-2</v>
      </c>
      <c r="G303" t="s">
        <v>709</v>
      </c>
      <c r="H303" t="s">
        <v>710</v>
      </c>
      <c r="I303">
        <v>66</v>
      </c>
      <c r="J303" t="str">
        <f>TRIM(_xlfn.TEXTBEFORE(Table2[[#This Row],[mem]],"/"))</f>
        <v>345.1MiB</v>
      </c>
      <c r="K303" t="str">
        <f t="shared" si="8"/>
        <v>345.1MiB</v>
      </c>
      <c r="L303">
        <f t="shared" si="9"/>
        <v>345.1</v>
      </c>
    </row>
    <row r="304" spans="1:12" x14ac:dyDescent="0.2">
      <c r="A304" t="s">
        <v>3</v>
      </c>
      <c r="B304">
        <v>1767073993</v>
      </c>
      <c r="C304" t="s">
        <v>343</v>
      </c>
      <c r="D304" s="6">
        <v>9.5999999999999992E-3</v>
      </c>
      <c r="E304" t="s">
        <v>263</v>
      </c>
      <c r="F304" s="6">
        <v>0.1265</v>
      </c>
      <c r="G304" t="s">
        <v>713</v>
      </c>
      <c r="H304" t="s">
        <v>698</v>
      </c>
      <c r="I304">
        <v>272</v>
      </c>
      <c r="J304" t="str">
        <f>TRIM(_xlfn.TEXTBEFORE(Table2[[#This Row],[mem]],"/"))</f>
        <v>495.7MiB</v>
      </c>
      <c r="K304" t="str">
        <f t="shared" si="8"/>
        <v>495.7MiB</v>
      </c>
      <c r="L304">
        <f t="shared" si="9"/>
        <v>495.7</v>
      </c>
    </row>
    <row r="305" spans="1:12" x14ac:dyDescent="0.2">
      <c r="A305" t="s">
        <v>3</v>
      </c>
      <c r="B305">
        <v>1767073993</v>
      </c>
      <c r="C305" t="s">
        <v>346</v>
      </c>
      <c r="D305" s="6">
        <v>1.6462000000000001</v>
      </c>
      <c r="E305" t="s">
        <v>264</v>
      </c>
      <c r="F305" s="6">
        <v>0.2878</v>
      </c>
      <c r="G305" t="s">
        <v>712</v>
      </c>
      <c r="H305" t="s">
        <v>714</v>
      </c>
      <c r="I305">
        <v>250</v>
      </c>
      <c r="J305" t="str">
        <f>TRIM(_xlfn.TEXTBEFORE(Table2[[#This Row],[mem]],"/"))</f>
        <v>1.101GiB</v>
      </c>
      <c r="K305" t="str">
        <f t="shared" si="8"/>
        <v>1.101GiB</v>
      </c>
      <c r="L305">
        <f t="shared" si="9"/>
        <v>1127.424</v>
      </c>
    </row>
    <row r="306" spans="1:12" x14ac:dyDescent="0.2">
      <c r="A306" t="s">
        <v>3</v>
      </c>
      <c r="B306">
        <v>1767074001</v>
      </c>
      <c r="C306" t="s">
        <v>337</v>
      </c>
      <c r="D306" s="6">
        <v>1.6899999999999998E-2</v>
      </c>
      <c r="E306" t="s">
        <v>265</v>
      </c>
      <c r="F306" s="6">
        <v>0.1696</v>
      </c>
      <c r="G306" t="s">
        <v>686</v>
      </c>
      <c r="H306" t="s">
        <v>676</v>
      </c>
      <c r="I306">
        <v>89</v>
      </c>
      <c r="J306" t="str">
        <f>TRIM(_xlfn.TEXTBEFORE(Table2[[#This Row],[mem]],"/"))</f>
        <v>664.7MiB</v>
      </c>
      <c r="K306" t="str">
        <f t="shared" si="8"/>
        <v>664.7MiB</v>
      </c>
      <c r="L306">
        <f t="shared" si="9"/>
        <v>664.7</v>
      </c>
    </row>
    <row r="307" spans="1:12" x14ac:dyDescent="0.2">
      <c r="A307" t="s">
        <v>3</v>
      </c>
      <c r="B307">
        <v>1767074001</v>
      </c>
      <c r="C307" t="s">
        <v>340</v>
      </c>
      <c r="D307" s="6">
        <v>2.5000000000000001E-3</v>
      </c>
      <c r="E307" t="s">
        <v>266</v>
      </c>
      <c r="F307" s="6">
        <v>8.9599999999999999E-2</v>
      </c>
      <c r="G307" t="s">
        <v>715</v>
      </c>
      <c r="H307" t="s">
        <v>716</v>
      </c>
      <c r="I307">
        <v>67</v>
      </c>
      <c r="J307" t="str">
        <f>TRIM(_xlfn.TEXTBEFORE(Table2[[#This Row],[mem]],"/"))</f>
        <v>351.3MiB</v>
      </c>
      <c r="K307" t="str">
        <f t="shared" si="8"/>
        <v>351.3MiB</v>
      </c>
      <c r="L307">
        <f t="shared" si="9"/>
        <v>351.3</v>
      </c>
    </row>
    <row r="308" spans="1:12" x14ac:dyDescent="0.2">
      <c r="A308" t="s">
        <v>3</v>
      </c>
      <c r="B308">
        <v>1767074001</v>
      </c>
      <c r="C308" t="s">
        <v>343</v>
      </c>
      <c r="D308" s="6">
        <v>4.7999999999999996E-3</v>
      </c>
      <c r="E308" t="s">
        <v>267</v>
      </c>
      <c r="F308" s="6">
        <v>0.1265</v>
      </c>
      <c r="G308" t="s">
        <v>717</v>
      </c>
      <c r="H308" t="s">
        <v>698</v>
      </c>
      <c r="I308">
        <v>272</v>
      </c>
      <c r="J308" t="str">
        <f>TRIM(_xlfn.TEXTBEFORE(Table2[[#This Row],[mem]],"/"))</f>
        <v>495.8MiB</v>
      </c>
      <c r="K308" t="str">
        <f t="shared" si="8"/>
        <v>495.8MiB</v>
      </c>
      <c r="L308">
        <f t="shared" si="9"/>
        <v>495.8</v>
      </c>
    </row>
    <row r="309" spans="1:12" x14ac:dyDescent="0.2">
      <c r="A309" t="s">
        <v>3</v>
      </c>
      <c r="B309">
        <v>1767074001</v>
      </c>
      <c r="C309" t="s">
        <v>346</v>
      </c>
      <c r="D309" s="6">
        <v>1.0821000000000001</v>
      </c>
      <c r="E309" t="s">
        <v>245</v>
      </c>
      <c r="F309" s="6">
        <v>0.3513</v>
      </c>
      <c r="G309" t="s">
        <v>718</v>
      </c>
      <c r="H309" t="s">
        <v>719</v>
      </c>
      <c r="I309">
        <v>257</v>
      </c>
      <c r="J309" t="str">
        <f>TRIM(_xlfn.TEXTBEFORE(Table2[[#This Row],[mem]],"/"))</f>
        <v>1.344GiB</v>
      </c>
      <c r="K309" t="str">
        <f t="shared" si="8"/>
        <v>1.344GiB</v>
      </c>
      <c r="L309">
        <f t="shared" si="9"/>
        <v>1376.2560000000001</v>
      </c>
    </row>
    <row r="310" spans="1:12" x14ac:dyDescent="0.2">
      <c r="A310" t="s">
        <v>3</v>
      </c>
      <c r="B310">
        <v>1767074008</v>
      </c>
      <c r="C310" t="s">
        <v>337</v>
      </c>
      <c r="D310" s="6">
        <v>1.1599999999999999E-2</v>
      </c>
      <c r="E310" t="s">
        <v>268</v>
      </c>
      <c r="F310" s="6">
        <v>0.17150000000000001</v>
      </c>
      <c r="G310" t="s">
        <v>686</v>
      </c>
      <c r="H310" t="s">
        <v>676</v>
      </c>
      <c r="I310">
        <v>89</v>
      </c>
      <c r="J310" t="str">
        <f>TRIM(_xlfn.TEXTBEFORE(Table2[[#This Row],[mem]],"/"))</f>
        <v>672.1MiB</v>
      </c>
      <c r="K310" t="str">
        <f t="shared" si="8"/>
        <v>672.1MiB</v>
      </c>
      <c r="L310">
        <f t="shared" si="9"/>
        <v>672.1</v>
      </c>
    </row>
    <row r="311" spans="1:12" x14ac:dyDescent="0.2">
      <c r="A311" t="s">
        <v>3</v>
      </c>
      <c r="B311">
        <v>1767074008</v>
      </c>
      <c r="C311" t="s">
        <v>340</v>
      </c>
      <c r="D311" s="6">
        <v>1.6799999999999999E-2</v>
      </c>
      <c r="E311" t="s">
        <v>269</v>
      </c>
      <c r="F311" s="6">
        <v>8.7900000000000006E-2</v>
      </c>
      <c r="G311" t="s">
        <v>720</v>
      </c>
      <c r="H311" t="s">
        <v>721</v>
      </c>
      <c r="I311">
        <v>67</v>
      </c>
      <c r="J311" t="str">
        <f>TRIM(_xlfn.TEXTBEFORE(Table2[[#This Row],[mem]],"/"))</f>
        <v>344.6MiB</v>
      </c>
      <c r="K311" t="str">
        <f t="shared" si="8"/>
        <v>344.6MiB</v>
      </c>
      <c r="L311">
        <f t="shared" si="9"/>
        <v>344.6</v>
      </c>
    </row>
    <row r="312" spans="1:12" x14ac:dyDescent="0.2">
      <c r="A312" t="s">
        <v>3</v>
      </c>
      <c r="B312">
        <v>1767074008</v>
      </c>
      <c r="C312" t="s">
        <v>343</v>
      </c>
      <c r="D312" s="6">
        <v>5.4999999999999997E-3</v>
      </c>
      <c r="E312" t="s">
        <v>270</v>
      </c>
      <c r="F312" s="6">
        <v>0.12670000000000001</v>
      </c>
      <c r="G312" t="s">
        <v>722</v>
      </c>
      <c r="H312" t="s">
        <v>723</v>
      </c>
      <c r="I312">
        <v>272</v>
      </c>
      <c r="J312" t="str">
        <f>TRIM(_xlfn.TEXTBEFORE(Table2[[#This Row],[mem]],"/"))</f>
        <v>496.4MiB</v>
      </c>
      <c r="K312" t="str">
        <f t="shared" si="8"/>
        <v>496.4MiB</v>
      </c>
      <c r="L312">
        <f t="shared" si="9"/>
        <v>496.4</v>
      </c>
    </row>
    <row r="313" spans="1:12" x14ac:dyDescent="0.2">
      <c r="A313" t="s">
        <v>3</v>
      </c>
      <c r="B313">
        <v>1767074008</v>
      </c>
      <c r="C313" t="s">
        <v>346</v>
      </c>
      <c r="D313" s="6">
        <v>1.1449</v>
      </c>
      <c r="E313" t="s">
        <v>271</v>
      </c>
      <c r="F313" s="6">
        <v>0.35299999999999998</v>
      </c>
      <c r="G313" t="s">
        <v>724</v>
      </c>
      <c r="H313" t="s">
        <v>725</v>
      </c>
      <c r="I313">
        <v>254</v>
      </c>
      <c r="J313" t="str">
        <f>TRIM(_xlfn.TEXTBEFORE(Table2[[#This Row],[mem]],"/"))</f>
        <v>1.351GiB</v>
      </c>
      <c r="K313" t="str">
        <f t="shared" si="8"/>
        <v>1.351GiB</v>
      </c>
      <c r="L313">
        <f t="shared" si="9"/>
        <v>1383.424</v>
      </c>
    </row>
    <row r="314" spans="1:12" x14ac:dyDescent="0.2">
      <c r="A314" t="s">
        <v>3</v>
      </c>
      <c r="B314">
        <v>1767074016</v>
      </c>
      <c r="C314" t="s">
        <v>337</v>
      </c>
      <c r="D314" s="6">
        <v>1.6899999999999998E-2</v>
      </c>
      <c r="E314" t="s">
        <v>272</v>
      </c>
      <c r="F314" s="6">
        <v>0.1719</v>
      </c>
      <c r="G314" t="s">
        <v>686</v>
      </c>
      <c r="H314" t="s">
        <v>676</v>
      </c>
      <c r="I314">
        <v>89</v>
      </c>
      <c r="J314" t="str">
        <f>TRIM(_xlfn.TEXTBEFORE(Table2[[#This Row],[mem]],"/"))</f>
        <v>673.8MiB</v>
      </c>
      <c r="K314" t="str">
        <f t="shared" si="8"/>
        <v>673.8MiB</v>
      </c>
      <c r="L314">
        <f t="shared" si="9"/>
        <v>673.8</v>
      </c>
    </row>
    <row r="315" spans="1:12" x14ac:dyDescent="0.2">
      <c r="A315" t="s">
        <v>3</v>
      </c>
      <c r="B315">
        <v>1767074016</v>
      </c>
      <c r="C315" t="s">
        <v>340</v>
      </c>
      <c r="D315" s="6">
        <v>3.0000000000000001E-3</v>
      </c>
      <c r="E315" t="s">
        <v>273</v>
      </c>
      <c r="F315" s="6">
        <v>8.6900000000000005E-2</v>
      </c>
      <c r="G315" t="s">
        <v>726</v>
      </c>
      <c r="H315" t="s">
        <v>727</v>
      </c>
      <c r="I315">
        <v>66</v>
      </c>
      <c r="J315" t="str">
        <f>TRIM(_xlfn.TEXTBEFORE(Table2[[#This Row],[mem]],"/"))</f>
        <v>340.4MiB</v>
      </c>
      <c r="K315" t="str">
        <f t="shared" si="8"/>
        <v>340.4MiB</v>
      </c>
      <c r="L315">
        <f t="shared" si="9"/>
        <v>340.4</v>
      </c>
    </row>
    <row r="316" spans="1:12" x14ac:dyDescent="0.2">
      <c r="A316" t="s">
        <v>3</v>
      </c>
      <c r="B316">
        <v>1767074016</v>
      </c>
      <c r="C316" t="s">
        <v>343</v>
      </c>
      <c r="D316" s="6">
        <v>6.6E-3</v>
      </c>
      <c r="E316" t="s">
        <v>274</v>
      </c>
      <c r="F316" s="6">
        <v>0.12670000000000001</v>
      </c>
      <c r="G316" t="s">
        <v>728</v>
      </c>
      <c r="H316" t="s">
        <v>723</v>
      </c>
      <c r="I316">
        <v>272</v>
      </c>
      <c r="J316" t="str">
        <f>TRIM(_xlfn.TEXTBEFORE(Table2[[#This Row],[mem]],"/"))</f>
        <v>496.5MiB</v>
      </c>
      <c r="K316" t="str">
        <f t="shared" si="8"/>
        <v>496.5MiB</v>
      </c>
      <c r="L316">
        <f t="shared" si="9"/>
        <v>496.5</v>
      </c>
    </row>
    <row r="317" spans="1:12" x14ac:dyDescent="0.2">
      <c r="A317" t="s">
        <v>3</v>
      </c>
      <c r="B317">
        <v>1767074016</v>
      </c>
      <c r="C317" t="s">
        <v>346</v>
      </c>
      <c r="D317" s="6">
        <v>1.2318</v>
      </c>
      <c r="E317" t="s">
        <v>275</v>
      </c>
      <c r="F317" s="6">
        <v>0.35599999999999998</v>
      </c>
      <c r="G317" t="s">
        <v>729</v>
      </c>
      <c r="H317" t="s">
        <v>730</v>
      </c>
      <c r="I317">
        <v>257</v>
      </c>
      <c r="J317" t="str">
        <f>TRIM(_xlfn.TEXTBEFORE(Table2[[#This Row],[mem]],"/"))</f>
        <v>1.363GiB</v>
      </c>
      <c r="K317" t="str">
        <f t="shared" si="8"/>
        <v>1.363GiB</v>
      </c>
      <c r="L317">
        <f t="shared" si="9"/>
        <v>1395.712</v>
      </c>
    </row>
    <row r="318" spans="1:12" x14ac:dyDescent="0.2">
      <c r="A318" t="s">
        <v>3</v>
      </c>
      <c r="B318">
        <v>1767074023</v>
      </c>
      <c r="C318" t="s">
        <v>337</v>
      </c>
      <c r="D318" s="6">
        <v>1.7100000000000001E-2</v>
      </c>
      <c r="E318" t="s">
        <v>276</v>
      </c>
      <c r="F318" s="6">
        <v>0.17219999999999999</v>
      </c>
      <c r="G318" t="s">
        <v>686</v>
      </c>
      <c r="H318" t="s">
        <v>676</v>
      </c>
      <c r="I318">
        <v>89</v>
      </c>
      <c r="J318" t="str">
        <f>TRIM(_xlfn.TEXTBEFORE(Table2[[#This Row],[mem]],"/"))</f>
        <v>674.8MiB</v>
      </c>
      <c r="K318" t="str">
        <f t="shared" si="8"/>
        <v>674.8MiB</v>
      </c>
      <c r="L318">
        <f t="shared" si="9"/>
        <v>674.8</v>
      </c>
    </row>
    <row r="319" spans="1:12" x14ac:dyDescent="0.2">
      <c r="A319" t="s">
        <v>3</v>
      </c>
      <c r="B319">
        <v>1767074023</v>
      </c>
      <c r="C319" t="s">
        <v>340</v>
      </c>
      <c r="D319" s="6">
        <v>4.3900000000000002E-2</v>
      </c>
      <c r="E319" t="s">
        <v>277</v>
      </c>
      <c r="F319" s="6">
        <v>8.8900000000000007E-2</v>
      </c>
      <c r="G319" t="s">
        <v>726</v>
      </c>
      <c r="H319" t="s">
        <v>727</v>
      </c>
      <c r="I319">
        <v>67</v>
      </c>
      <c r="J319" t="str">
        <f>TRIM(_xlfn.TEXTBEFORE(Table2[[#This Row],[mem]],"/"))</f>
        <v>348.6MiB</v>
      </c>
      <c r="K319" t="str">
        <f t="shared" si="8"/>
        <v>348.6MiB</v>
      </c>
      <c r="L319">
        <f t="shared" si="9"/>
        <v>348.6</v>
      </c>
    </row>
    <row r="320" spans="1:12" x14ac:dyDescent="0.2">
      <c r="A320" t="s">
        <v>3</v>
      </c>
      <c r="B320">
        <v>1767074023</v>
      </c>
      <c r="C320" t="s">
        <v>343</v>
      </c>
      <c r="D320" s="6">
        <v>7.7999999999999996E-3</v>
      </c>
      <c r="E320" t="s">
        <v>278</v>
      </c>
      <c r="F320" s="6">
        <v>0.12690000000000001</v>
      </c>
      <c r="G320" t="s">
        <v>731</v>
      </c>
      <c r="H320" t="s">
        <v>732</v>
      </c>
      <c r="I320">
        <v>272</v>
      </c>
      <c r="J320" t="str">
        <f>TRIM(_xlfn.TEXTBEFORE(Table2[[#This Row],[mem]],"/"))</f>
        <v>497.4MiB</v>
      </c>
      <c r="K320" t="str">
        <f t="shared" si="8"/>
        <v>497.4MiB</v>
      </c>
      <c r="L320">
        <f t="shared" si="9"/>
        <v>497.4</v>
      </c>
    </row>
    <row r="321" spans="1:12" x14ac:dyDescent="0.2">
      <c r="A321" t="s">
        <v>3</v>
      </c>
      <c r="B321">
        <v>1767074023</v>
      </c>
      <c r="C321" t="s">
        <v>346</v>
      </c>
      <c r="D321" s="6">
        <v>1.8186</v>
      </c>
      <c r="E321" t="s">
        <v>279</v>
      </c>
      <c r="F321" s="6">
        <v>0.35260000000000002</v>
      </c>
      <c r="G321" t="s">
        <v>729</v>
      </c>
      <c r="H321" t="s">
        <v>733</v>
      </c>
      <c r="I321">
        <v>262</v>
      </c>
      <c r="J321" t="str">
        <f>TRIM(_xlfn.TEXTBEFORE(Table2[[#This Row],[mem]],"/"))</f>
        <v>1.35GiB</v>
      </c>
      <c r="K321" t="str">
        <f t="shared" si="8"/>
        <v>1.35GiB</v>
      </c>
      <c r="L321">
        <f t="shared" si="9"/>
        <v>1382.4</v>
      </c>
    </row>
    <row r="322" spans="1:12" x14ac:dyDescent="0.2">
      <c r="A322" t="s">
        <v>3</v>
      </c>
      <c r="B322">
        <v>1767074031</v>
      </c>
      <c r="C322" t="s">
        <v>337</v>
      </c>
      <c r="D322" s="6">
        <v>2.1600000000000001E-2</v>
      </c>
      <c r="E322" t="s">
        <v>280</v>
      </c>
      <c r="F322" s="6">
        <v>0.17380000000000001</v>
      </c>
      <c r="G322" t="s">
        <v>686</v>
      </c>
      <c r="H322" t="s">
        <v>734</v>
      </c>
      <c r="I322">
        <v>89</v>
      </c>
      <c r="J322" t="str">
        <f>TRIM(_xlfn.TEXTBEFORE(Table2[[#This Row],[mem]],"/"))</f>
        <v>681.4MiB</v>
      </c>
      <c r="K322" t="str">
        <f t="shared" ref="K322:K349" si="10">TRIM(_xlfn.TEXTBEFORE(E322,"/"))</f>
        <v>681.4MiB</v>
      </c>
      <c r="L322">
        <f t="shared" ref="L322:L349" si="11">_xlfn.LET(_xlpm.x,K322,_xlpm.v,VALUE(LEFT(_xlpm.x,LEN(_xlpm.x)-3)),_xlpm.u,RIGHT(_xlpm.x,3),IF(_xlpm.u="GiB",_xlpm.v*1024,_xlpm.v))</f>
        <v>681.4</v>
      </c>
    </row>
    <row r="323" spans="1:12" x14ac:dyDescent="0.2">
      <c r="A323" t="s">
        <v>3</v>
      </c>
      <c r="B323">
        <v>1767074031</v>
      </c>
      <c r="C323" t="s">
        <v>340</v>
      </c>
      <c r="D323" s="6">
        <v>5.0000000000000001E-3</v>
      </c>
      <c r="E323" t="s">
        <v>281</v>
      </c>
      <c r="F323" s="6">
        <v>8.8800000000000004E-2</v>
      </c>
      <c r="G323" t="s">
        <v>735</v>
      </c>
      <c r="H323" t="s">
        <v>736</v>
      </c>
      <c r="I323">
        <v>66</v>
      </c>
      <c r="J323" t="str">
        <f>TRIM(_xlfn.TEXTBEFORE(Table2[[#This Row],[mem]],"/"))</f>
        <v>347.9MiB</v>
      </c>
      <c r="K323" t="str">
        <f t="shared" si="10"/>
        <v>347.9MiB</v>
      </c>
      <c r="L323">
        <f t="shared" si="11"/>
        <v>347.9</v>
      </c>
    </row>
    <row r="324" spans="1:12" x14ac:dyDescent="0.2">
      <c r="A324" t="s">
        <v>3</v>
      </c>
      <c r="B324">
        <v>1767074031</v>
      </c>
      <c r="C324" t="s">
        <v>343</v>
      </c>
      <c r="D324" s="6">
        <v>9.5999999999999992E-3</v>
      </c>
      <c r="E324" t="s">
        <v>282</v>
      </c>
      <c r="F324" s="6">
        <v>0.12709999999999999</v>
      </c>
      <c r="G324" t="s">
        <v>737</v>
      </c>
      <c r="H324" t="s">
        <v>732</v>
      </c>
      <c r="I324">
        <v>272</v>
      </c>
      <c r="J324" t="str">
        <f>TRIM(_xlfn.TEXTBEFORE(Table2[[#This Row],[mem]],"/"))</f>
        <v>498MiB</v>
      </c>
      <c r="K324" t="str">
        <f t="shared" si="10"/>
        <v>498MiB</v>
      </c>
      <c r="L324">
        <f t="shared" si="11"/>
        <v>498</v>
      </c>
    </row>
    <row r="325" spans="1:12" x14ac:dyDescent="0.2">
      <c r="A325" t="s">
        <v>3</v>
      </c>
      <c r="B325">
        <v>1767074031</v>
      </c>
      <c r="C325" t="s">
        <v>346</v>
      </c>
      <c r="D325" s="6">
        <v>1.8573999999999999</v>
      </c>
      <c r="E325" t="s">
        <v>283</v>
      </c>
      <c r="F325" s="6">
        <v>0.29630000000000001</v>
      </c>
      <c r="G325" t="s">
        <v>738</v>
      </c>
      <c r="H325" t="s">
        <v>739</v>
      </c>
      <c r="I325">
        <v>256</v>
      </c>
      <c r="J325" t="str">
        <f>TRIM(_xlfn.TEXTBEFORE(Table2[[#This Row],[mem]],"/"))</f>
        <v>1.134GiB</v>
      </c>
      <c r="K325" t="str">
        <f t="shared" si="10"/>
        <v>1.134GiB</v>
      </c>
      <c r="L325">
        <f t="shared" si="11"/>
        <v>1161.2159999999999</v>
      </c>
    </row>
    <row r="326" spans="1:12" x14ac:dyDescent="0.2">
      <c r="A326" t="s">
        <v>3</v>
      </c>
      <c r="B326">
        <v>1767074038</v>
      </c>
      <c r="C326" t="s">
        <v>337</v>
      </c>
      <c r="D326" s="6">
        <v>1.15E-2</v>
      </c>
      <c r="E326" t="s">
        <v>284</v>
      </c>
      <c r="F326" s="6">
        <v>0.1741</v>
      </c>
      <c r="G326" t="s">
        <v>740</v>
      </c>
      <c r="H326" t="s">
        <v>734</v>
      </c>
      <c r="I326">
        <v>89</v>
      </c>
      <c r="J326" t="str">
        <f>TRIM(_xlfn.TEXTBEFORE(Table2[[#This Row],[mem]],"/"))</f>
        <v>682.3MiB</v>
      </c>
      <c r="K326" t="str">
        <f t="shared" si="10"/>
        <v>682.3MiB</v>
      </c>
      <c r="L326">
        <f t="shared" si="11"/>
        <v>682.3</v>
      </c>
    </row>
    <row r="327" spans="1:12" x14ac:dyDescent="0.2">
      <c r="A327" t="s">
        <v>3</v>
      </c>
      <c r="B327">
        <v>1767074038</v>
      </c>
      <c r="C327" t="s">
        <v>340</v>
      </c>
      <c r="D327" s="6">
        <v>6.4999999999999997E-3</v>
      </c>
      <c r="E327" t="s">
        <v>184</v>
      </c>
      <c r="F327" s="6">
        <v>8.5999999999999993E-2</v>
      </c>
      <c r="G327" t="s">
        <v>741</v>
      </c>
      <c r="H327" t="s">
        <v>742</v>
      </c>
      <c r="I327">
        <v>68</v>
      </c>
      <c r="J327" t="str">
        <f>TRIM(_xlfn.TEXTBEFORE(Table2[[#This Row],[mem]],"/"))</f>
        <v>337.1MiB</v>
      </c>
      <c r="K327" t="str">
        <f t="shared" si="10"/>
        <v>337.1MiB</v>
      </c>
      <c r="L327">
        <f t="shared" si="11"/>
        <v>337.1</v>
      </c>
    </row>
    <row r="328" spans="1:12" x14ac:dyDescent="0.2">
      <c r="A328" t="s">
        <v>3</v>
      </c>
      <c r="B328">
        <v>1767074038</v>
      </c>
      <c r="C328" t="s">
        <v>343</v>
      </c>
      <c r="D328" s="6">
        <v>8.0000000000000002E-3</v>
      </c>
      <c r="E328" t="s">
        <v>285</v>
      </c>
      <c r="F328" s="6">
        <v>0.12709999999999999</v>
      </c>
      <c r="G328" t="s">
        <v>743</v>
      </c>
      <c r="H328" t="s">
        <v>732</v>
      </c>
      <c r="I328">
        <v>272</v>
      </c>
      <c r="J328" t="str">
        <f>TRIM(_xlfn.TEXTBEFORE(Table2[[#This Row],[mem]],"/"))</f>
        <v>498.1MiB</v>
      </c>
      <c r="K328" t="str">
        <f t="shared" si="10"/>
        <v>498.1MiB</v>
      </c>
      <c r="L328">
        <f t="shared" si="11"/>
        <v>498.1</v>
      </c>
    </row>
    <row r="329" spans="1:12" x14ac:dyDescent="0.2">
      <c r="A329" t="s">
        <v>3</v>
      </c>
      <c r="B329">
        <v>1767074038</v>
      </c>
      <c r="C329" t="s">
        <v>346</v>
      </c>
      <c r="D329" s="6">
        <v>1.0338000000000001</v>
      </c>
      <c r="E329" t="s">
        <v>286</v>
      </c>
      <c r="F329" s="6">
        <v>0.33450000000000002</v>
      </c>
      <c r="G329" t="s">
        <v>744</v>
      </c>
      <c r="H329" t="s">
        <v>745</v>
      </c>
      <c r="I329">
        <v>267</v>
      </c>
      <c r="J329" t="str">
        <f>TRIM(_xlfn.TEXTBEFORE(Table2[[#This Row],[mem]],"/"))</f>
        <v>1.28GiB</v>
      </c>
      <c r="K329" t="str">
        <f t="shared" si="10"/>
        <v>1.28GiB</v>
      </c>
      <c r="L329">
        <f t="shared" si="11"/>
        <v>1310.72</v>
      </c>
    </row>
    <row r="330" spans="1:12" x14ac:dyDescent="0.2">
      <c r="A330" t="s">
        <v>3</v>
      </c>
      <c r="B330">
        <v>1767074046</v>
      </c>
      <c r="C330" t="s">
        <v>337</v>
      </c>
      <c r="D330" s="6">
        <v>5.4899999999999997E-2</v>
      </c>
      <c r="E330" t="s">
        <v>287</v>
      </c>
      <c r="F330" s="6">
        <v>0.17519999999999999</v>
      </c>
      <c r="G330" t="s">
        <v>740</v>
      </c>
      <c r="H330" t="s">
        <v>746</v>
      </c>
      <c r="I330">
        <v>89</v>
      </c>
      <c r="J330" t="str">
        <f>TRIM(_xlfn.TEXTBEFORE(Table2[[#This Row],[mem]],"/"))</f>
        <v>686.8MiB</v>
      </c>
      <c r="K330" t="str">
        <f t="shared" si="10"/>
        <v>686.8MiB</v>
      </c>
      <c r="L330">
        <f t="shared" si="11"/>
        <v>686.8</v>
      </c>
    </row>
    <row r="331" spans="1:12" x14ac:dyDescent="0.2">
      <c r="A331" t="s">
        <v>3</v>
      </c>
      <c r="B331">
        <v>1767074046</v>
      </c>
      <c r="C331" t="s">
        <v>340</v>
      </c>
      <c r="D331" s="6">
        <v>7.4999999999999997E-3</v>
      </c>
      <c r="E331" t="s">
        <v>288</v>
      </c>
      <c r="F331" s="6">
        <v>8.5699999999999998E-2</v>
      </c>
      <c r="G331" t="s">
        <v>741</v>
      </c>
      <c r="H331" t="s">
        <v>747</v>
      </c>
      <c r="I331">
        <v>65</v>
      </c>
      <c r="J331" t="str">
        <f>TRIM(_xlfn.TEXTBEFORE(Table2[[#This Row],[mem]],"/"))</f>
        <v>335.9MiB</v>
      </c>
      <c r="K331" t="str">
        <f t="shared" si="10"/>
        <v>335.9MiB</v>
      </c>
      <c r="L331">
        <f t="shared" si="11"/>
        <v>335.9</v>
      </c>
    </row>
    <row r="332" spans="1:12" x14ac:dyDescent="0.2">
      <c r="A332" t="s">
        <v>3</v>
      </c>
      <c r="B332">
        <v>1767074046</v>
      </c>
      <c r="C332" t="s">
        <v>343</v>
      </c>
      <c r="D332" s="6">
        <v>1.0800000000000001E-2</v>
      </c>
      <c r="E332" t="s">
        <v>289</v>
      </c>
      <c r="F332" s="6">
        <v>0.1298</v>
      </c>
      <c r="G332" t="s">
        <v>748</v>
      </c>
      <c r="H332" t="s">
        <v>749</v>
      </c>
      <c r="I332">
        <v>272</v>
      </c>
      <c r="J332" t="str">
        <f>TRIM(_xlfn.TEXTBEFORE(Table2[[#This Row],[mem]],"/"))</f>
        <v>508.7MiB</v>
      </c>
      <c r="K332" t="str">
        <f t="shared" si="10"/>
        <v>508.7MiB</v>
      </c>
      <c r="L332">
        <f t="shared" si="11"/>
        <v>508.7</v>
      </c>
    </row>
    <row r="333" spans="1:12" x14ac:dyDescent="0.2">
      <c r="A333" t="s">
        <v>3</v>
      </c>
      <c r="B333">
        <v>1767074046</v>
      </c>
      <c r="C333" t="s">
        <v>346</v>
      </c>
      <c r="D333" s="6">
        <v>0.3659</v>
      </c>
      <c r="E333" t="s">
        <v>290</v>
      </c>
      <c r="F333" s="6">
        <v>0.25069999999999998</v>
      </c>
      <c r="G333" t="s">
        <v>750</v>
      </c>
      <c r="H333" t="s">
        <v>751</v>
      </c>
      <c r="I333">
        <v>213</v>
      </c>
      <c r="J333" t="str">
        <f>TRIM(_xlfn.TEXTBEFORE(Table2[[#This Row],[mem]],"/"))</f>
        <v>982.8MiB</v>
      </c>
      <c r="K333" t="str">
        <f t="shared" si="10"/>
        <v>982.8MiB</v>
      </c>
      <c r="L333">
        <f t="shared" si="11"/>
        <v>982.8</v>
      </c>
    </row>
    <row r="334" spans="1:12" x14ac:dyDescent="0.2">
      <c r="A334" t="s">
        <v>3</v>
      </c>
      <c r="B334">
        <v>1767074054</v>
      </c>
      <c r="C334" t="s">
        <v>337</v>
      </c>
      <c r="D334" s="6">
        <v>5.3999999999999999E-2</v>
      </c>
      <c r="E334" t="s">
        <v>291</v>
      </c>
      <c r="F334" s="6">
        <v>0.1812</v>
      </c>
      <c r="G334" t="s">
        <v>740</v>
      </c>
      <c r="H334" t="s">
        <v>746</v>
      </c>
      <c r="I334">
        <v>97</v>
      </c>
      <c r="J334" t="str">
        <f>TRIM(_xlfn.TEXTBEFORE(Table2[[#This Row],[mem]],"/"))</f>
        <v>710.3MiB</v>
      </c>
      <c r="K334" t="str">
        <f t="shared" si="10"/>
        <v>710.3MiB</v>
      </c>
      <c r="L334">
        <f t="shared" si="11"/>
        <v>710.3</v>
      </c>
    </row>
    <row r="335" spans="1:12" x14ac:dyDescent="0.2">
      <c r="A335" t="s">
        <v>3</v>
      </c>
      <c r="B335">
        <v>1767074054</v>
      </c>
      <c r="C335" t="s">
        <v>340</v>
      </c>
      <c r="D335" s="6">
        <v>1.8599999999999998E-2</v>
      </c>
      <c r="E335" t="s">
        <v>292</v>
      </c>
      <c r="F335" s="6">
        <v>8.6999999999999994E-2</v>
      </c>
      <c r="G335" t="s">
        <v>741</v>
      </c>
      <c r="H335" t="s">
        <v>752</v>
      </c>
      <c r="I335">
        <v>66</v>
      </c>
      <c r="J335" t="str">
        <f>TRIM(_xlfn.TEXTBEFORE(Table2[[#This Row],[mem]],"/"))</f>
        <v>340.9MiB</v>
      </c>
      <c r="K335" t="str">
        <f t="shared" si="10"/>
        <v>340.9MiB</v>
      </c>
      <c r="L335">
        <f t="shared" si="11"/>
        <v>340.9</v>
      </c>
    </row>
    <row r="336" spans="1:12" x14ac:dyDescent="0.2">
      <c r="A336" t="s">
        <v>3</v>
      </c>
      <c r="B336">
        <v>1767074054</v>
      </c>
      <c r="C336" t="s">
        <v>343</v>
      </c>
      <c r="D336" s="6">
        <v>1.3299999999999999E-2</v>
      </c>
      <c r="E336" t="s">
        <v>293</v>
      </c>
      <c r="F336" s="6">
        <v>0.1313</v>
      </c>
      <c r="G336" t="s">
        <v>753</v>
      </c>
      <c r="H336" t="s">
        <v>754</v>
      </c>
      <c r="I336">
        <v>278</v>
      </c>
      <c r="J336" t="str">
        <f>TRIM(_xlfn.TEXTBEFORE(Table2[[#This Row],[mem]],"/"))</f>
        <v>514.7MiB</v>
      </c>
      <c r="K336" t="str">
        <f t="shared" si="10"/>
        <v>514.7MiB</v>
      </c>
      <c r="L336">
        <f t="shared" si="11"/>
        <v>514.70000000000005</v>
      </c>
    </row>
    <row r="337" spans="1:12" x14ac:dyDescent="0.2">
      <c r="A337" t="s">
        <v>3</v>
      </c>
      <c r="B337">
        <v>1767074054</v>
      </c>
      <c r="C337" t="s">
        <v>346</v>
      </c>
      <c r="D337" s="6">
        <v>1.8584000000000001</v>
      </c>
      <c r="E337" t="s">
        <v>294</v>
      </c>
      <c r="F337" s="6">
        <v>0.2218</v>
      </c>
      <c r="G337" t="s">
        <v>750</v>
      </c>
      <c r="H337" t="s">
        <v>755</v>
      </c>
      <c r="I337">
        <v>159</v>
      </c>
      <c r="J337" t="str">
        <f>TRIM(_xlfn.TEXTBEFORE(Table2[[#This Row],[mem]],"/"))</f>
        <v>869.3MiB</v>
      </c>
      <c r="K337" t="str">
        <f t="shared" si="10"/>
        <v>869.3MiB</v>
      </c>
      <c r="L337">
        <f t="shared" si="11"/>
        <v>869.3</v>
      </c>
    </row>
    <row r="338" spans="1:12" x14ac:dyDescent="0.2">
      <c r="A338" t="s">
        <v>3</v>
      </c>
      <c r="B338">
        <v>1767074061</v>
      </c>
      <c r="C338" t="s">
        <v>337</v>
      </c>
      <c r="D338" s="6">
        <v>1.26E-2</v>
      </c>
      <c r="E338" t="s">
        <v>295</v>
      </c>
      <c r="F338" s="6">
        <v>0.18179999999999999</v>
      </c>
      <c r="G338" t="s">
        <v>740</v>
      </c>
      <c r="H338" t="s">
        <v>746</v>
      </c>
      <c r="I338">
        <v>94</v>
      </c>
      <c r="J338" t="str">
        <f>TRIM(_xlfn.TEXTBEFORE(Table2[[#This Row],[mem]],"/"))</f>
        <v>712.6MiB</v>
      </c>
      <c r="K338" t="str">
        <f t="shared" si="10"/>
        <v>712.6MiB</v>
      </c>
      <c r="L338">
        <f t="shared" si="11"/>
        <v>712.6</v>
      </c>
    </row>
    <row r="339" spans="1:12" x14ac:dyDescent="0.2">
      <c r="A339" t="s">
        <v>3</v>
      </c>
      <c r="B339">
        <v>1767074061</v>
      </c>
      <c r="C339" t="s">
        <v>340</v>
      </c>
      <c r="D339" s="6">
        <v>1.2999999999999999E-3</v>
      </c>
      <c r="E339" t="s">
        <v>214</v>
      </c>
      <c r="F339" s="6">
        <v>8.72E-2</v>
      </c>
      <c r="G339" t="s">
        <v>741</v>
      </c>
      <c r="H339" t="s">
        <v>752</v>
      </c>
      <c r="I339">
        <v>65</v>
      </c>
      <c r="J339" t="str">
        <f>TRIM(_xlfn.TEXTBEFORE(Table2[[#This Row],[mem]],"/"))</f>
        <v>342MiB</v>
      </c>
      <c r="K339" t="str">
        <f t="shared" si="10"/>
        <v>342MiB</v>
      </c>
      <c r="L339">
        <f t="shared" si="11"/>
        <v>342</v>
      </c>
    </row>
    <row r="340" spans="1:12" x14ac:dyDescent="0.2">
      <c r="A340" t="s">
        <v>3</v>
      </c>
      <c r="B340">
        <v>1767074061</v>
      </c>
      <c r="C340" t="s">
        <v>343</v>
      </c>
      <c r="D340" s="6">
        <v>7.9000000000000008E-3</v>
      </c>
      <c r="E340" t="s">
        <v>296</v>
      </c>
      <c r="F340" s="6">
        <v>0.13150000000000001</v>
      </c>
      <c r="G340" t="s">
        <v>756</v>
      </c>
      <c r="H340" t="s">
        <v>757</v>
      </c>
      <c r="I340">
        <v>276</v>
      </c>
      <c r="J340" t="str">
        <f>TRIM(_xlfn.TEXTBEFORE(Table2[[#This Row],[mem]],"/"))</f>
        <v>515.3MiB</v>
      </c>
      <c r="K340" t="str">
        <f t="shared" si="10"/>
        <v>515.3MiB</v>
      </c>
      <c r="L340">
        <f t="shared" si="11"/>
        <v>515.29999999999995</v>
      </c>
    </row>
    <row r="341" spans="1:12" x14ac:dyDescent="0.2">
      <c r="A341" t="s">
        <v>3</v>
      </c>
      <c r="B341">
        <v>1767074061</v>
      </c>
      <c r="C341" t="s">
        <v>346</v>
      </c>
      <c r="D341" s="6">
        <v>1.873</v>
      </c>
      <c r="E341" t="s">
        <v>297</v>
      </c>
      <c r="F341" s="6">
        <v>0.2868</v>
      </c>
      <c r="G341" t="s">
        <v>750</v>
      </c>
      <c r="H341" t="s">
        <v>758</v>
      </c>
      <c r="I341">
        <v>246</v>
      </c>
      <c r="J341" t="str">
        <f>TRIM(_xlfn.TEXTBEFORE(Table2[[#This Row],[mem]],"/"))</f>
        <v>1.098GiB</v>
      </c>
      <c r="K341" t="str">
        <f t="shared" si="10"/>
        <v>1.098GiB</v>
      </c>
      <c r="L341">
        <f t="shared" si="11"/>
        <v>1124.3520000000001</v>
      </c>
    </row>
    <row r="342" spans="1:12" x14ac:dyDescent="0.2">
      <c r="A342" t="s">
        <v>3</v>
      </c>
      <c r="B342">
        <v>1767074069</v>
      </c>
      <c r="C342" t="s">
        <v>337</v>
      </c>
      <c r="D342" s="6">
        <v>5.8000000000000003E-2</v>
      </c>
      <c r="E342" t="s">
        <v>298</v>
      </c>
      <c r="F342" s="6">
        <v>0.18240000000000001</v>
      </c>
      <c r="G342" t="s">
        <v>740</v>
      </c>
      <c r="H342" t="s">
        <v>746</v>
      </c>
      <c r="I342">
        <v>92</v>
      </c>
      <c r="J342" t="str">
        <f>TRIM(_xlfn.TEXTBEFORE(Table2[[#This Row],[mem]],"/"))</f>
        <v>715.1MiB</v>
      </c>
      <c r="K342" t="str">
        <f t="shared" si="10"/>
        <v>715.1MiB</v>
      </c>
      <c r="L342">
        <f t="shared" si="11"/>
        <v>715.1</v>
      </c>
    </row>
    <row r="343" spans="1:12" x14ac:dyDescent="0.2">
      <c r="A343" t="s">
        <v>3</v>
      </c>
      <c r="B343">
        <v>1767074069</v>
      </c>
      <c r="C343" t="s">
        <v>340</v>
      </c>
      <c r="D343" s="6">
        <v>1.4E-3</v>
      </c>
      <c r="E343" t="s">
        <v>299</v>
      </c>
      <c r="F343" s="6">
        <v>8.7900000000000006E-2</v>
      </c>
      <c r="G343" t="s">
        <v>759</v>
      </c>
      <c r="H343" t="s">
        <v>752</v>
      </c>
      <c r="I343">
        <v>67</v>
      </c>
      <c r="J343" t="str">
        <f>TRIM(_xlfn.TEXTBEFORE(Table2[[#This Row],[mem]],"/"))</f>
        <v>344.4MiB</v>
      </c>
      <c r="K343" t="str">
        <f t="shared" si="10"/>
        <v>344.4MiB</v>
      </c>
      <c r="L343">
        <f t="shared" si="11"/>
        <v>344.4</v>
      </c>
    </row>
    <row r="344" spans="1:12" x14ac:dyDescent="0.2">
      <c r="A344" t="s">
        <v>3</v>
      </c>
      <c r="B344">
        <v>1767074069</v>
      </c>
      <c r="C344" t="s">
        <v>343</v>
      </c>
      <c r="D344" s="6">
        <v>8.1199999999999994E-2</v>
      </c>
      <c r="E344" t="s">
        <v>300</v>
      </c>
      <c r="F344" s="6">
        <v>0.13170000000000001</v>
      </c>
      <c r="G344" t="s">
        <v>760</v>
      </c>
      <c r="H344" t="s">
        <v>761</v>
      </c>
      <c r="I344">
        <v>274</v>
      </c>
      <c r="J344" t="str">
        <f>TRIM(_xlfn.TEXTBEFORE(Table2[[#This Row],[mem]],"/"))</f>
        <v>516.2MiB</v>
      </c>
      <c r="K344" t="str">
        <f t="shared" si="10"/>
        <v>516.2MiB</v>
      </c>
      <c r="L344">
        <f t="shared" si="11"/>
        <v>516.20000000000005</v>
      </c>
    </row>
    <row r="345" spans="1:12" x14ac:dyDescent="0.2">
      <c r="A345" t="s">
        <v>3</v>
      </c>
      <c r="B345">
        <v>1767074069</v>
      </c>
      <c r="C345" t="s">
        <v>346</v>
      </c>
      <c r="D345" s="6">
        <v>1.0295000000000001</v>
      </c>
      <c r="E345" t="s">
        <v>66</v>
      </c>
      <c r="F345" s="6">
        <v>0.26029999999999998</v>
      </c>
      <c r="G345" t="s">
        <v>762</v>
      </c>
      <c r="H345" t="s">
        <v>763</v>
      </c>
      <c r="I345">
        <v>246</v>
      </c>
      <c r="J345" t="str">
        <f>TRIM(_xlfn.TEXTBEFORE(Table2[[#This Row],[mem]],"/"))</f>
        <v>1020MiB</v>
      </c>
      <c r="K345" t="str">
        <f t="shared" si="10"/>
        <v>1020MiB</v>
      </c>
      <c r="L345">
        <f t="shared" si="11"/>
        <v>1020</v>
      </c>
    </row>
    <row r="346" spans="1:12" x14ac:dyDescent="0.2">
      <c r="A346" t="s">
        <v>3</v>
      </c>
      <c r="B346">
        <v>1767074076</v>
      </c>
      <c r="C346" t="s">
        <v>337</v>
      </c>
      <c r="D346" s="6">
        <v>4.1799999999999997E-2</v>
      </c>
      <c r="E346" t="s">
        <v>301</v>
      </c>
      <c r="F346" s="6">
        <v>0.1832</v>
      </c>
      <c r="G346" t="s">
        <v>764</v>
      </c>
      <c r="H346" t="s">
        <v>746</v>
      </c>
      <c r="I346">
        <v>91</v>
      </c>
      <c r="J346" t="str">
        <f>TRIM(_xlfn.TEXTBEFORE(Table2[[#This Row],[mem]],"/"))</f>
        <v>717.9MiB</v>
      </c>
      <c r="K346" t="str">
        <f t="shared" si="10"/>
        <v>717.9MiB</v>
      </c>
      <c r="L346">
        <f t="shared" si="11"/>
        <v>717.9</v>
      </c>
    </row>
    <row r="347" spans="1:12" x14ac:dyDescent="0.2">
      <c r="A347" t="s">
        <v>3</v>
      </c>
      <c r="B347">
        <v>1767074076</v>
      </c>
      <c r="C347" t="s">
        <v>340</v>
      </c>
      <c r="D347" s="6">
        <v>1.04E-2</v>
      </c>
      <c r="E347" t="s">
        <v>302</v>
      </c>
      <c r="F347" s="6">
        <v>8.8900000000000007E-2</v>
      </c>
      <c r="G347" t="s">
        <v>759</v>
      </c>
      <c r="H347" t="s">
        <v>765</v>
      </c>
      <c r="I347">
        <v>66</v>
      </c>
      <c r="J347" t="str">
        <f>TRIM(_xlfn.TEXTBEFORE(Table2[[#This Row],[mem]],"/"))</f>
        <v>348.3MiB</v>
      </c>
      <c r="K347" t="str">
        <f t="shared" si="10"/>
        <v>348.3MiB</v>
      </c>
      <c r="L347">
        <f t="shared" si="11"/>
        <v>348.3</v>
      </c>
    </row>
    <row r="348" spans="1:12" x14ac:dyDescent="0.2">
      <c r="A348" t="s">
        <v>3</v>
      </c>
      <c r="B348">
        <v>1767074076</v>
      </c>
      <c r="C348" t="s">
        <v>343</v>
      </c>
      <c r="D348" s="6">
        <v>1.41E-2</v>
      </c>
      <c r="E348" t="s">
        <v>303</v>
      </c>
      <c r="F348" s="6">
        <v>0.13170000000000001</v>
      </c>
      <c r="G348" t="s">
        <v>766</v>
      </c>
      <c r="H348" t="s">
        <v>761</v>
      </c>
      <c r="I348">
        <v>274</v>
      </c>
      <c r="J348" t="str">
        <f>TRIM(_xlfn.TEXTBEFORE(Table2[[#This Row],[mem]],"/"))</f>
        <v>516.1MiB</v>
      </c>
      <c r="K348" t="str">
        <f t="shared" si="10"/>
        <v>516.1MiB</v>
      </c>
      <c r="L348">
        <f t="shared" si="11"/>
        <v>516.1</v>
      </c>
    </row>
    <row r="349" spans="1:12" x14ac:dyDescent="0.2">
      <c r="A349" t="s">
        <v>3</v>
      </c>
      <c r="B349">
        <v>1767074076</v>
      </c>
      <c r="C349" t="s">
        <v>346</v>
      </c>
      <c r="D349" s="6">
        <v>0.34770000000000001</v>
      </c>
      <c r="E349" t="s">
        <v>304</v>
      </c>
      <c r="F349" s="6">
        <v>0.25669999999999998</v>
      </c>
      <c r="G349" t="s">
        <v>762</v>
      </c>
      <c r="H349" t="s">
        <v>763</v>
      </c>
      <c r="I349">
        <v>173</v>
      </c>
      <c r="J349" t="str">
        <f>TRIM(_xlfn.TEXTBEFORE(Table2[[#This Row],[mem]],"/"))</f>
        <v>1006MiB</v>
      </c>
      <c r="K349" t="str">
        <f t="shared" si="10"/>
        <v>1006MiB</v>
      </c>
      <c r="L349">
        <f t="shared" si="11"/>
        <v>1006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71D6E-05DE-9D46-B338-ECB6E045E0F8}">
  <dimension ref="A1:K25"/>
  <sheetViews>
    <sheetView workbookViewId="0">
      <selection activeCell="K25" sqref="A1:K25"/>
    </sheetView>
  </sheetViews>
  <sheetFormatPr baseColWidth="10" defaultRowHeight="16" x14ac:dyDescent="0.2"/>
  <cols>
    <col min="1" max="1" width="39.5" customWidth="1"/>
    <col min="3" max="3" width="29.5" customWidth="1"/>
    <col min="4" max="4" width="21.5" customWidth="1"/>
    <col min="10" max="10" width="18.83203125" customWidth="1"/>
  </cols>
  <sheetData>
    <row r="1" spans="1:11" x14ac:dyDescent="0.2">
      <c r="A1" t="s">
        <v>768</v>
      </c>
      <c r="B1" t="s">
        <v>769</v>
      </c>
      <c r="C1" t="s">
        <v>770</v>
      </c>
      <c r="D1" t="s">
        <v>771</v>
      </c>
      <c r="E1" t="s">
        <v>772</v>
      </c>
      <c r="F1" t="s">
        <v>773</v>
      </c>
      <c r="G1" t="s">
        <v>774</v>
      </c>
      <c r="H1" t="s">
        <v>775</v>
      </c>
      <c r="I1" t="s">
        <v>776</v>
      </c>
      <c r="J1" t="s">
        <v>777</v>
      </c>
      <c r="K1" t="s">
        <v>778</v>
      </c>
    </row>
    <row r="2" spans="1:11" x14ac:dyDescent="0.2">
      <c r="A2" t="s">
        <v>0</v>
      </c>
      <c r="B2">
        <v>1767075374</v>
      </c>
      <c r="C2" t="s">
        <v>779</v>
      </c>
      <c r="D2" s="6">
        <v>2.1897000000000002</v>
      </c>
      <c r="E2" t="s">
        <v>780</v>
      </c>
      <c r="F2" s="6">
        <v>0.10199999999999999</v>
      </c>
      <c r="G2" t="s">
        <v>781</v>
      </c>
      <c r="H2" t="s">
        <v>782</v>
      </c>
      <c r="I2">
        <v>76</v>
      </c>
      <c r="J2" t="str">
        <f>TRIM(_xlfn.TEXTBEFORE(E2,"/"))</f>
        <v>399.8MiB</v>
      </c>
      <c r="K2">
        <f>_xlfn.LET(_xlpm.x,J2,_xlpm.v,VALUE(LEFT(_xlpm.x,LEN(_xlpm.x)-3)),_xlpm.u,RIGHT(_xlpm.x,3),IF(_xlpm.u="GiB",_xlpm.v*1024,IF(_xlpm.u="MiB",_xlpm.v,IF(_xlpm.u="KiB",_xlpm.v/1024,NA()))))</f>
        <v>399.8</v>
      </c>
    </row>
    <row r="3" spans="1:11" x14ac:dyDescent="0.2">
      <c r="A3" t="s">
        <v>0</v>
      </c>
      <c r="B3">
        <v>1767075374</v>
      </c>
      <c r="C3" t="s">
        <v>783</v>
      </c>
      <c r="D3" s="6">
        <v>1.1806000000000001</v>
      </c>
      <c r="E3" t="s">
        <v>784</v>
      </c>
      <c r="F3" s="6">
        <v>7.4300000000000005E-2</v>
      </c>
      <c r="G3" t="s">
        <v>785</v>
      </c>
      <c r="H3" t="s">
        <v>786</v>
      </c>
      <c r="I3">
        <v>74</v>
      </c>
      <c r="J3" t="str">
        <f t="shared" ref="J3:J25" si="0">TRIM(_xlfn.TEXTBEFORE(E3,"/"))</f>
        <v>291.1MiB</v>
      </c>
      <c r="K3">
        <f>_xlfn.LET(_xlpm.x,J3,_xlpm.v,VALUE(LEFT(_xlpm.x,LEN(_xlpm.x)-3)),_xlpm.u,RIGHT(_xlpm.x,3),IF(_xlpm.u="GiB",_xlpm.v*1024,IF(_xlpm.u="MiB",_xlpm.v,IF(_xlpm.u="KiB",_xlpm.v/1024,NA()))))</f>
        <v>291.10000000000002</v>
      </c>
    </row>
    <row r="4" spans="1:11" x14ac:dyDescent="0.2">
      <c r="A4" t="s">
        <v>1</v>
      </c>
      <c r="B4">
        <v>1767075378</v>
      </c>
      <c r="C4" t="s">
        <v>779</v>
      </c>
      <c r="D4" s="6">
        <v>2.4234</v>
      </c>
      <c r="E4" t="s">
        <v>787</v>
      </c>
      <c r="F4" s="6">
        <v>0.12330000000000001</v>
      </c>
      <c r="G4" t="s">
        <v>788</v>
      </c>
      <c r="H4" t="s">
        <v>789</v>
      </c>
      <c r="I4">
        <v>125</v>
      </c>
      <c r="J4" t="str">
        <f t="shared" si="0"/>
        <v>483.4MiB</v>
      </c>
      <c r="K4">
        <f t="shared" ref="K4:K25" si="1">_xlfn.LET(_xlpm.x,J4,_xlpm.v,VALUE(LEFT(_xlpm.x,LEN(_xlpm.x)-3)),_xlpm.u,RIGHT(_xlpm.x,3),IF(_xlpm.u="GiB",_xlpm.v*1024,IF(_xlpm.u="MiB",_xlpm.v,IF(_xlpm.u="KiB",_xlpm.v/1024,NA()))))</f>
        <v>483.4</v>
      </c>
    </row>
    <row r="5" spans="1:11" x14ac:dyDescent="0.2">
      <c r="A5" t="s">
        <v>1</v>
      </c>
      <c r="B5">
        <v>1767075378</v>
      </c>
      <c r="C5" t="s">
        <v>783</v>
      </c>
      <c r="D5" s="6">
        <v>5.0000000000000001E-4</v>
      </c>
      <c r="E5" t="s">
        <v>790</v>
      </c>
      <c r="F5" s="6">
        <v>5.0299999999999997E-2</v>
      </c>
      <c r="G5" t="s">
        <v>791</v>
      </c>
      <c r="H5" t="s">
        <v>792</v>
      </c>
      <c r="I5">
        <v>52</v>
      </c>
      <c r="J5" t="str">
        <f t="shared" si="0"/>
        <v>197.2MiB</v>
      </c>
      <c r="K5">
        <f t="shared" si="1"/>
        <v>197.2</v>
      </c>
    </row>
    <row r="6" spans="1:11" x14ac:dyDescent="0.2">
      <c r="A6" t="s">
        <v>1</v>
      </c>
      <c r="B6">
        <v>1767075386</v>
      </c>
      <c r="C6" t="s">
        <v>779</v>
      </c>
      <c r="D6" s="6">
        <v>7.6E-3</v>
      </c>
      <c r="E6" t="s">
        <v>793</v>
      </c>
      <c r="F6" s="6">
        <v>0.126</v>
      </c>
      <c r="G6" t="s">
        <v>794</v>
      </c>
      <c r="H6" t="s">
        <v>789</v>
      </c>
      <c r="I6">
        <v>127</v>
      </c>
      <c r="J6" t="str">
        <f t="shared" si="0"/>
        <v>494MiB</v>
      </c>
      <c r="K6">
        <f t="shared" si="1"/>
        <v>494</v>
      </c>
    </row>
    <row r="7" spans="1:11" x14ac:dyDescent="0.2">
      <c r="A7" t="s">
        <v>1</v>
      </c>
      <c r="B7">
        <v>1767075386</v>
      </c>
      <c r="C7" t="s">
        <v>783</v>
      </c>
      <c r="D7" s="6">
        <v>7.7034000000000002</v>
      </c>
      <c r="E7" t="s">
        <v>46</v>
      </c>
      <c r="F7" s="6">
        <v>0.36430000000000001</v>
      </c>
      <c r="G7" t="s">
        <v>795</v>
      </c>
      <c r="H7" t="s">
        <v>796</v>
      </c>
      <c r="I7">
        <v>116</v>
      </c>
      <c r="J7" t="str">
        <f t="shared" si="0"/>
        <v>1.394GiB</v>
      </c>
      <c r="K7">
        <f t="shared" si="1"/>
        <v>1427.4559999999999</v>
      </c>
    </row>
    <row r="8" spans="1:11" x14ac:dyDescent="0.2">
      <c r="A8" t="s">
        <v>1</v>
      </c>
      <c r="B8">
        <v>1767075393</v>
      </c>
      <c r="C8" t="s">
        <v>779</v>
      </c>
      <c r="D8" s="6">
        <v>1.1226</v>
      </c>
      <c r="E8" t="s">
        <v>797</v>
      </c>
      <c r="F8" s="6">
        <v>7.1999999999999995E-2</v>
      </c>
      <c r="G8" t="s">
        <v>798</v>
      </c>
      <c r="H8" t="s">
        <v>799</v>
      </c>
      <c r="I8">
        <v>68</v>
      </c>
      <c r="J8" t="str">
        <f t="shared" si="0"/>
        <v>282.4MiB</v>
      </c>
      <c r="K8">
        <f t="shared" si="1"/>
        <v>282.39999999999998</v>
      </c>
    </row>
    <row r="9" spans="1:11" x14ac:dyDescent="0.2">
      <c r="A9" t="s">
        <v>1</v>
      </c>
      <c r="B9">
        <v>1767075393</v>
      </c>
      <c r="C9" t="s">
        <v>783</v>
      </c>
      <c r="D9" s="6">
        <v>5.0000000000000001E-4</v>
      </c>
      <c r="E9" t="s">
        <v>800</v>
      </c>
      <c r="F9" s="6">
        <v>5.0999999999999997E-2</v>
      </c>
      <c r="G9" t="s">
        <v>801</v>
      </c>
      <c r="H9" t="s">
        <v>802</v>
      </c>
      <c r="I9">
        <v>53</v>
      </c>
      <c r="J9" t="str">
        <f t="shared" si="0"/>
        <v>199.8MiB</v>
      </c>
      <c r="K9">
        <f t="shared" si="1"/>
        <v>199.8</v>
      </c>
    </row>
    <row r="10" spans="1:11" x14ac:dyDescent="0.2">
      <c r="A10" t="s">
        <v>2</v>
      </c>
      <c r="B10">
        <v>1767075394</v>
      </c>
      <c r="C10" t="s">
        <v>779</v>
      </c>
      <c r="D10" s="6">
        <v>2.3647999999999998</v>
      </c>
      <c r="E10" t="s">
        <v>803</v>
      </c>
      <c r="F10" s="6">
        <v>0.1082</v>
      </c>
      <c r="G10" t="s">
        <v>798</v>
      </c>
      <c r="H10" t="s">
        <v>799</v>
      </c>
      <c r="I10">
        <v>112</v>
      </c>
      <c r="J10" t="str">
        <f t="shared" si="0"/>
        <v>424.2MiB</v>
      </c>
      <c r="K10">
        <f t="shared" si="1"/>
        <v>424.2</v>
      </c>
    </row>
    <row r="11" spans="1:11" x14ac:dyDescent="0.2">
      <c r="A11" t="s">
        <v>2</v>
      </c>
      <c r="B11">
        <v>1767075394</v>
      </c>
      <c r="C11" t="s">
        <v>783</v>
      </c>
      <c r="D11" s="6">
        <v>5.0000000000000001E-4</v>
      </c>
      <c r="E11" t="s">
        <v>800</v>
      </c>
      <c r="F11" s="6">
        <v>5.0999999999999997E-2</v>
      </c>
      <c r="G11" t="s">
        <v>801</v>
      </c>
      <c r="H11" t="s">
        <v>802</v>
      </c>
      <c r="I11">
        <v>53</v>
      </c>
      <c r="J11" t="str">
        <f t="shared" si="0"/>
        <v>199.8MiB</v>
      </c>
      <c r="K11">
        <f t="shared" si="1"/>
        <v>199.8</v>
      </c>
    </row>
    <row r="12" spans="1:11" x14ac:dyDescent="0.2">
      <c r="A12" t="s">
        <v>2</v>
      </c>
      <c r="B12">
        <v>1767075401</v>
      </c>
      <c r="C12" t="s">
        <v>779</v>
      </c>
      <c r="D12" s="6">
        <v>4.1000000000000003E-3</v>
      </c>
      <c r="E12" t="s">
        <v>804</v>
      </c>
      <c r="F12" s="6">
        <v>0.1246</v>
      </c>
      <c r="G12" t="s">
        <v>805</v>
      </c>
      <c r="H12" t="s">
        <v>799</v>
      </c>
      <c r="I12">
        <v>128</v>
      </c>
      <c r="J12" t="str">
        <f t="shared" si="0"/>
        <v>488.4MiB</v>
      </c>
      <c r="K12">
        <f t="shared" si="1"/>
        <v>488.4</v>
      </c>
    </row>
    <row r="13" spans="1:11" x14ac:dyDescent="0.2">
      <c r="A13" t="s">
        <v>2</v>
      </c>
      <c r="B13">
        <v>1767075401</v>
      </c>
      <c r="C13" t="s">
        <v>783</v>
      </c>
      <c r="D13" s="6">
        <v>7.8997999999999999</v>
      </c>
      <c r="E13" t="s">
        <v>806</v>
      </c>
      <c r="F13" s="6">
        <v>0.36159999999999998</v>
      </c>
      <c r="G13" t="s">
        <v>807</v>
      </c>
      <c r="H13" t="s">
        <v>802</v>
      </c>
      <c r="I13">
        <v>117</v>
      </c>
      <c r="J13" t="str">
        <f t="shared" si="0"/>
        <v>1.384GiB</v>
      </c>
      <c r="K13">
        <f t="shared" si="1"/>
        <v>1417.2159999999999</v>
      </c>
    </row>
    <row r="14" spans="1:11" x14ac:dyDescent="0.2">
      <c r="A14" t="s">
        <v>2</v>
      </c>
      <c r="B14">
        <v>1767075409</v>
      </c>
      <c r="C14" t="s">
        <v>779</v>
      </c>
      <c r="D14" s="6">
        <v>3.0099999999999998E-2</v>
      </c>
      <c r="E14" t="s">
        <v>808</v>
      </c>
      <c r="F14" s="6">
        <v>0.12509999999999999</v>
      </c>
      <c r="G14" t="s">
        <v>809</v>
      </c>
      <c r="H14" t="s">
        <v>810</v>
      </c>
      <c r="I14">
        <v>131</v>
      </c>
      <c r="J14" t="str">
        <f t="shared" si="0"/>
        <v>490.1MiB</v>
      </c>
      <c r="K14">
        <f t="shared" si="1"/>
        <v>490.1</v>
      </c>
    </row>
    <row r="15" spans="1:11" x14ac:dyDescent="0.2">
      <c r="A15" t="s">
        <v>2</v>
      </c>
      <c r="B15">
        <v>1767075409</v>
      </c>
      <c r="C15" t="s">
        <v>783</v>
      </c>
      <c r="D15" s="6">
        <v>7.7977999999999996</v>
      </c>
      <c r="E15" t="s">
        <v>131</v>
      </c>
      <c r="F15" s="6">
        <v>0.36870000000000003</v>
      </c>
      <c r="G15" t="s">
        <v>811</v>
      </c>
      <c r="H15" t="s">
        <v>802</v>
      </c>
      <c r="I15">
        <v>118</v>
      </c>
      <c r="J15" t="str">
        <f t="shared" si="0"/>
        <v>1.411GiB</v>
      </c>
      <c r="K15">
        <f t="shared" si="1"/>
        <v>1444.864</v>
      </c>
    </row>
    <row r="16" spans="1:11" x14ac:dyDescent="0.2">
      <c r="A16" t="s">
        <v>2</v>
      </c>
      <c r="B16">
        <v>1767075416</v>
      </c>
      <c r="C16" t="s">
        <v>779</v>
      </c>
      <c r="D16" s="6">
        <v>2.5999999999999999E-2</v>
      </c>
      <c r="E16" t="s">
        <v>812</v>
      </c>
      <c r="F16" s="6">
        <v>0.1255</v>
      </c>
      <c r="G16" t="s">
        <v>813</v>
      </c>
      <c r="H16" t="s">
        <v>810</v>
      </c>
      <c r="I16">
        <v>130</v>
      </c>
      <c r="J16" t="str">
        <f t="shared" si="0"/>
        <v>491.7MiB</v>
      </c>
      <c r="K16">
        <f t="shared" si="1"/>
        <v>491.7</v>
      </c>
    </row>
    <row r="17" spans="1:11" x14ac:dyDescent="0.2">
      <c r="A17" t="s">
        <v>2</v>
      </c>
      <c r="B17">
        <v>1767075416</v>
      </c>
      <c r="C17" t="s">
        <v>783</v>
      </c>
      <c r="D17" s="6">
        <v>7.8173000000000004</v>
      </c>
      <c r="E17" t="s">
        <v>38</v>
      </c>
      <c r="F17" s="6">
        <v>0.372</v>
      </c>
      <c r="G17" t="s">
        <v>814</v>
      </c>
      <c r="H17" t="s">
        <v>802</v>
      </c>
      <c r="I17">
        <v>118</v>
      </c>
      <c r="J17" t="str">
        <f t="shared" si="0"/>
        <v>1.424GiB</v>
      </c>
      <c r="K17">
        <f t="shared" si="1"/>
        <v>1458.1759999999999</v>
      </c>
    </row>
    <row r="18" spans="1:11" x14ac:dyDescent="0.2">
      <c r="A18" t="s">
        <v>2</v>
      </c>
      <c r="B18">
        <v>1767075424</v>
      </c>
      <c r="C18" t="s">
        <v>779</v>
      </c>
      <c r="D18" s="6">
        <v>0.23330000000000001</v>
      </c>
      <c r="E18" t="s">
        <v>815</v>
      </c>
      <c r="F18" s="6">
        <v>0.12620000000000001</v>
      </c>
      <c r="G18" t="s">
        <v>816</v>
      </c>
      <c r="H18" t="s">
        <v>817</v>
      </c>
      <c r="I18">
        <v>130</v>
      </c>
      <c r="J18" t="str">
        <f t="shared" si="0"/>
        <v>494.7MiB</v>
      </c>
      <c r="K18">
        <f t="shared" si="1"/>
        <v>494.7</v>
      </c>
    </row>
    <row r="19" spans="1:11" x14ac:dyDescent="0.2">
      <c r="A19" t="s">
        <v>2</v>
      </c>
      <c r="B19">
        <v>1767075424</v>
      </c>
      <c r="C19" t="s">
        <v>783</v>
      </c>
      <c r="D19" s="6">
        <v>4.6067999999999998</v>
      </c>
      <c r="E19" t="s">
        <v>818</v>
      </c>
      <c r="F19" s="6">
        <v>0.373</v>
      </c>
      <c r="G19" t="s">
        <v>819</v>
      </c>
      <c r="H19" t="s">
        <v>820</v>
      </c>
      <c r="I19">
        <v>118</v>
      </c>
      <c r="J19" t="str">
        <f t="shared" si="0"/>
        <v>1.428GiB</v>
      </c>
      <c r="K19">
        <f t="shared" si="1"/>
        <v>1462.2719999999999</v>
      </c>
    </row>
    <row r="20" spans="1:11" x14ac:dyDescent="0.2">
      <c r="A20" t="s">
        <v>3</v>
      </c>
      <c r="B20">
        <v>1767075431</v>
      </c>
      <c r="C20" t="s">
        <v>779</v>
      </c>
      <c r="D20" s="6">
        <v>2.1484000000000001</v>
      </c>
      <c r="E20" t="s">
        <v>821</v>
      </c>
      <c r="F20" s="6">
        <v>9.69E-2</v>
      </c>
      <c r="G20" t="s">
        <v>822</v>
      </c>
      <c r="H20" t="s">
        <v>823</v>
      </c>
      <c r="I20">
        <v>78</v>
      </c>
      <c r="J20" t="str">
        <f t="shared" si="0"/>
        <v>379.6MiB</v>
      </c>
      <c r="K20">
        <f t="shared" si="1"/>
        <v>379.6</v>
      </c>
    </row>
    <row r="21" spans="1:11" x14ac:dyDescent="0.2">
      <c r="A21" t="s">
        <v>3</v>
      </c>
      <c r="B21">
        <v>1767075431</v>
      </c>
      <c r="C21" t="s">
        <v>783</v>
      </c>
      <c r="D21" s="6">
        <v>5.0000000000000001E-4</v>
      </c>
      <c r="E21" t="s">
        <v>824</v>
      </c>
      <c r="F21" s="6">
        <v>5.1700000000000003E-2</v>
      </c>
      <c r="G21" t="s">
        <v>825</v>
      </c>
      <c r="H21" t="s">
        <v>826</v>
      </c>
      <c r="I21">
        <v>52</v>
      </c>
      <c r="J21" t="str">
        <f t="shared" si="0"/>
        <v>202.7MiB</v>
      </c>
      <c r="K21">
        <f t="shared" si="1"/>
        <v>202.7</v>
      </c>
    </row>
    <row r="22" spans="1:11" x14ac:dyDescent="0.2">
      <c r="A22" t="s">
        <v>3</v>
      </c>
      <c r="B22">
        <v>1767075437</v>
      </c>
      <c r="C22" t="s">
        <v>779</v>
      </c>
      <c r="D22" s="6">
        <v>1.29E-2</v>
      </c>
      <c r="E22" t="s">
        <v>827</v>
      </c>
      <c r="F22" s="6">
        <v>0.12429999999999999</v>
      </c>
      <c r="G22" t="s">
        <v>828</v>
      </c>
      <c r="H22" t="s">
        <v>829</v>
      </c>
      <c r="I22">
        <v>128</v>
      </c>
      <c r="J22" t="str">
        <f t="shared" si="0"/>
        <v>487.2MiB</v>
      </c>
      <c r="K22">
        <f t="shared" si="1"/>
        <v>487.2</v>
      </c>
    </row>
    <row r="23" spans="1:11" x14ac:dyDescent="0.2">
      <c r="A23" t="s">
        <v>3</v>
      </c>
      <c r="B23">
        <v>1767075437</v>
      </c>
      <c r="C23" t="s">
        <v>783</v>
      </c>
      <c r="D23" s="6">
        <v>7.7638999999999996</v>
      </c>
      <c r="E23" t="s">
        <v>112</v>
      </c>
      <c r="F23" s="6">
        <v>0.36120000000000002</v>
      </c>
      <c r="G23" t="s">
        <v>830</v>
      </c>
      <c r="H23" t="s">
        <v>826</v>
      </c>
      <c r="I23">
        <v>115</v>
      </c>
      <c r="J23" t="str">
        <f t="shared" si="0"/>
        <v>1.383GiB</v>
      </c>
      <c r="K23">
        <f t="shared" si="1"/>
        <v>1416.192</v>
      </c>
    </row>
    <row r="24" spans="1:11" x14ac:dyDescent="0.2">
      <c r="A24" t="s">
        <v>3</v>
      </c>
      <c r="B24">
        <v>1767075445</v>
      </c>
      <c r="C24" t="s">
        <v>779</v>
      </c>
      <c r="D24" s="6">
        <v>1.7100000000000001E-2</v>
      </c>
      <c r="E24" t="s">
        <v>831</v>
      </c>
      <c r="F24" s="6">
        <v>0.1249</v>
      </c>
      <c r="G24" t="s">
        <v>832</v>
      </c>
      <c r="H24" t="s">
        <v>829</v>
      </c>
      <c r="I24">
        <v>132</v>
      </c>
      <c r="J24" t="str">
        <f t="shared" si="0"/>
        <v>489.7MiB</v>
      </c>
      <c r="K24">
        <f t="shared" si="1"/>
        <v>489.7</v>
      </c>
    </row>
    <row r="25" spans="1:11" x14ac:dyDescent="0.2">
      <c r="A25" t="s">
        <v>3</v>
      </c>
      <c r="B25">
        <v>1767075445</v>
      </c>
      <c r="C25" t="s">
        <v>783</v>
      </c>
      <c r="D25" s="6">
        <v>3.8321999999999998</v>
      </c>
      <c r="E25" t="s">
        <v>833</v>
      </c>
      <c r="F25" s="6">
        <v>0.36049999999999999</v>
      </c>
      <c r="G25" t="s">
        <v>834</v>
      </c>
      <c r="H25" t="s">
        <v>835</v>
      </c>
      <c r="I25">
        <v>117</v>
      </c>
      <c r="J25" t="str">
        <f t="shared" si="0"/>
        <v>1.38GiB</v>
      </c>
      <c r="K25">
        <f t="shared" si="1"/>
        <v>1413.12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096B-C56D-7942-87BB-85AD6F41678C}">
  <dimension ref="A1:E5"/>
  <sheetViews>
    <sheetView workbookViewId="0">
      <selection activeCell="E5" sqref="A1:XFD1048576"/>
    </sheetView>
  </sheetViews>
  <sheetFormatPr baseColWidth="10" defaultRowHeight="16" x14ac:dyDescent="0.2"/>
  <cols>
    <col min="1" max="1" width="27.1640625" customWidth="1"/>
    <col min="4" max="4" width="14.6640625" customWidth="1"/>
    <col min="5" max="5" width="16" customWidth="1"/>
  </cols>
  <sheetData>
    <row r="1" spans="1:5" x14ac:dyDescent="0.2">
      <c r="A1" s="19" t="s">
        <v>4</v>
      </c>
      <c r="B1" s="20" t="s">
        <v>337</v>
      </c>
      <c r="C1" s="20" t="s">
        <v>340</v>
      </c>
      <c r="D1" s="20" t="s">
        <v>343</v>
      </c>
      <c r="E1" s="20" t="s">
        <v>346</v>
      </c>
    </row>
    <row r="2" spans="1:5" x14ac:dyDescent="0.2">
      <c r="A2" s="18" t="s">
        <v>0</v>
      </c>
      <c r="B2" s="17">
        <f>_xlfn.MAXIFS('hadoop memoery'!$L:$L,'hadoop memoery'!$A:$A,$A2,'hadoop memoery'!$C:$C,B$1)</f>
        <v>698.1</v>
      </c>
      <c r="C2" s="17">
        <f>_xlfn.MAXIFS('hadoop memoery'!$L:$L,'hadoop memoery'!$A:$A,$A2,'hadoop memoery'!$C:$C,C$1)</f>
        <v>364.3</v>
      </c>
      <c r="D2" s="17">
        <f>_xlfn.MAXIFS('hadoop memoery'!$L:$L,'hadoop memoery'!$A:$A,$A2,'hadoop memoery'!$C:$C,D$1)</f>
        <v>455.9</v>
      </c>
      <c r="E2" s="17">
        <f>_xlfn.MAXIFS('hadoop memoery'!$L:$L,'hadoop memoery'!$A:$A,$A2,'hadoop memoery'!$C:$C,E$1)</f>
        <v>1158.144</v>
      </c>
    </row>
    <row r="3" spans="1:5" x14ac:dyDescent="0.2">
      <c r="A3" s="3" t="s">
        <v>1</v>
      </c>
      <c r="B3" s="17">
        <f>_xlfn.MAXIFS('hadoop memoery'!$L:$L,'hadoop memoery'!$A:$A,$A3,'hadoop memoery'!$C:$C,B$1)</f>
        <v>718.9</v>
      </c>
      <c r="C3" s="17">
        <f>_xlfn.MAXIFS('hadoop memoery'!$L:$L,'hadoop memoery'!$A:$A,$A3,'hadoop memoery'!$C:$C,C$1)</f>
        <v>383.8</v>
      </c>
      <c r="D3" s="17">
        <f>_xlfn.MAXIFS('hadoop memoery'!$L:$L,'hadoop memoery'!$A:$A,$A3,'hadoop memoery'!$C:$C,D$1)</f>
        <v>464.9</v>
      </c>
      <c r="E3" s="17">
        <f>_xlfn.MAXIFS('hadoop memoery'!$L:$L,'hadoop memoery'!$A:$A,$A3,'hadoop memoery'!$C:$C,E$1)</f>
        <v>1458.1759999999999</v>
      </c>
    </row>
    <row r="4" spans="1:5" x14ac:dyDescent="0.2">
      <c r="A4" s="3" t="s">
        <v>2</v>
      </c>
      <c r="B4" s="17">
        <f>_xlfn.MAXIFS('hadoop memoery'!$L:$L,'hadoop memoery'!$A:$A,$A4,'hadoop memoery'!$C:$C,B$1)</f>
        <v>715.4</v>
      </c>
      <c r="C4" s="17">
        <f>_xlfn.MAXIFS('hadoop memoery'!$L:$L,'hadoop memoery'!$A:$A,$A4,'hadoop memoery'!$C:$C,C$1)</f>
        <v>348.5</v>
      </c>
      <c r="D4" s="17">
        <f>_xlfn.MAXIFS('hadoop memoery'!$L:$L,'hadoop memoery'!$A:$A,$A4,'hadoop memoery'!$C:$C,D$1)</f>
        <v>470.2</v>
      </c>
      <c r="E4" s="17">
        <f>_xlfn.MAXIFS('hadoop memoery'!$L:$L,'hadoop memoery'!$A:$A,$A4,'hadoop memoery'!$C:$C,E$1)</f>
        <v>1445.8879999999999</v>
      </c>
    </row>
    <row r="5" spans="1:5" x14ac:dyDescent="0.2">
      <c r="A5" s="3" t="s">
        <v>3</v>
      </c>
      <c r="B5" s="17">
        <f>_xlfn.MAXIFS('hadoop memoery'!$L:$L,'hadoop memoery'!$A:$A,$A5,'hadoop memoery'!$C:$C,B$1)</f>
        <v>717.9</v>
      </c>
      <c r="C5" s="17">
        <f>_xlfn.MAXIFS('hadoop memoery'!$L:$L,'hadoop memoery'!$A:$A,$A5,'hadoop memoery'!$C:$C,C$1)</f>
        <v>371.1</v>
      </c>
      <c r="D5" s="17">
        <f>_xlfn.MAXIFS('hadoop memoery'!$L:$L,'hadoop memoery'!$A:$A,$A5,'hadoop memoery'!$C:$C,D$1)</f>
        <v>516.20000000000005</v>
      </c>
      <c r="E5" s="17">
        <f>_xlfn.MAXIFS('hadoop memoery'!$L:$L,'hadoop memoery'!$A:$A,$A5,'hadoop memoery'!$C:$C,E$1)</f>
        <v>1395.712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E7C7-DBEC-B74C-B882-607DC860F8B1}">
  <dimension ref="B3:F15"/>
  <sheetViews>
    <sheetView workbookViewId="0">
      <selection activeCell="B3" sqref="B3:F15"/>
    </sheetView>
  </sheetViews>
  <sheetFormatPr baseColWidth="10" defaultRowHeight="16" x14ac:dyDescent="0.2"/>
  <sheetData>
    <row r="3" spans="2:6" x14ac:dyDescent="0.2">
      <c r="B3" s="5" t="s">
        <v>4</v>
      </c>
      <c r="C3" s="12" t="s">
        <v>337</v>
      </c>
      <c r="D3" s="13" t="s">
        <v>340</v>
      </c>
      <c r="E3" s="12" t="s">
        <v>343</v>
      </c>
      <c r="F3" s="13" t="s">
        <v>346</v>
      </c>
    </row>
    <row r="4" spans="2:6" x14ac:dyDescent="0.2">
      <c r="B4" s="14" t="s">
        <v>0</v>
      </c>
      <c r="C4" s="5">
        <v>698.1</v>
      </c>
      <c r="D4" s="5">
        <v>364.3</v>
      </c>
      <c r="E4" s="5">
        <v>455.9</v>
      </c>
      <c r="F4" s="5">
        <v>1158.144</v>
      </c>
    </row>
    <row r="5" spans="2:6" x14ac:dyDescent="0.2">
      <c r="B5" s="15" t="s">
        <v>1</v>
      </c>
      <c r="C5" s="5">
        <v>718.9</v>
      </c>
      <c r="D5" s="5">
        <v>383.8</v>
      </c>
      <c r="E5" s="5">
        <v>464.9</v>
      </c>
      <c r="F5" s="5">
        <v>1458.1759999999999</v>
      </c>
    </row>
    <row r="6" spans="2:6" x14ac:dyDescent="0.2">
      <c r="B6" s="15" t="s">
        <v>2</v>
      </c>
      <c r="C6" s="5">
        <v>715.4</v>
      </c>
      <c r="D6" s="5">
        <v>348.5</v>
      </c>
      <c r="E6" s="5">
        <v>470.2</v>
      </c>
      <c r="F6" s="5">
        <v>1445.8879999999999</v>
      </c>
    </row>
    <row r="7" spans="2:6" x14ac:dyDescent="0.2">
      <c r="B7" s="15" t="s">
        <v>3</v>
      </c>
      <c r="C7" s="5">
        <v>717.9</v>
      </c>
      <c r="D7" s="5">
        <v>371.1</v>
      </c>
      <c r="E7" s="5">
        <v>516.20000000000005</v>
      </c>
      <c r="F7" s="5">
        <v>1395.712</v>
      </c>
    </row>
    <row r="11" spans="2:6" x14ac:dyDescent="0.2">
      <c r="B11" t="s">
        <v>4</v>
      </c>
      <c r="C11" t="s">
        <v>779</v>
      </c>
      <c r="D11" t="s">
        <v>783</v>
      </c>
    </row>
    <row r="12" spans="2:6" x14ac:dyDescent="0.2">
      <c r="B12" t="s">
        <v>0</v>
      </c>
      <c r="C12">
        <v>399.8</v>
      </c>
      <c r="D12">
        <v>291.10000000000002</v>
      </c>
    </row>
    <row r="13" spans="2:6" x14ac:dyDescent="0.2">
      <c r="B13" t="s">
        <v>1</v>
      </c>
      <c r="C13">
        <v>494</v>
      </c>
      <c r="D13">
        <v>1427.4559999999999</v>
      </c>
    </row>
    <row r="14" spans="2:6" x14ac:dyDescent="0.2">
      <c r="B14" t="s">
        <v>2</v>
      </c>
      <c r="C14">
        <v>494.7</v>
      </c>
      <c r="D14">
        <v>1462.2719999999999</v>
      </c>
    </row>
    <row r="15" spans="2:6" x14ac:dyDescent="0.2">
      <c r="B15" t="s">
        <v>3</v>
      </c>
      <c r="C15">
        <v>489.7</v>
      </c>
      <c r="D15">
        <v>1416.192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04AB7-1F46-0E4B-B942-A6956DDEEA17}">
  <dimension ref="A1:C25"/>
  <sheetViews>
    <sheetView workbookViewId="0">
      <selection activeCell="C2" sqref="C2:C25"/>
    </sheetView>
  </sheetViews>
  <sheetFormatPr baseColWidth="10" defaultRowHeight="16" x14ac:dyDescent="0.2"/>
  <cols>
    <col min="1" max="1" width="24.83203125" customWidth="1"/>
    <col min="3" max="3" width="20.83203125" style="11" customWidth="1"/>
  </cols>
  <sheetData>
    <row r="1" spans="1:3" x14ac:dyDescent="0.2">
      <c r="A1" s="1" t="s">
        <v>4</v>
      </c>
      <c r="B1" s="1" t="s">
        <v>848</v>
      </c>
      <c r="C1" s="1" t="s">
        <v>778</v>
      </c>
    </row>
    <row r="2" spans="1:3" x14ac:dyDescent="0.2">
      <c r="A2" t="s">
        <v>0</v>
      </c>
      <c r="B2" t="s">
        <v>779</v>
      </c>
      <c r="C2" s="11">
        <v>399.8</v>
      </c>
    </row>
    <row r="3" spans="1:3" x14ac:dyDescent="0.2">
      <c r="A3" t="s">
        <v>0</v>
      </c>
      <c r="B3" t="s">
        <v>783</v>
      </c>
      <c r="C3" s="11">
        <v>291.10000000000002</v>
      </c>
    </row>
    <row r="4" spans="1:3" x14ac:dyDescent="0.2">
      <c r="A4" t="s">
        <v>1</v>
      </c>
      <c r="B4" t="s">
        <v>779</v>
      </c>
      <c r="C4" s="11">
        <v>483.4</v>
      </c>
    </row>
    <row r="5" spans="1:3" x14ac:dyDescent="0.2">
      <c r="A5" t="s">
        <v>1</v>
      </c>
      <c r="B5" t="s">
        <v>783</v>
      </c>
      <c r="C5" s="11">
        <v>197.2</v>
      </c>
    </row>
    <row r="6" spans="1:3" x14ac:dyDescent="0.2">
      <c r="A6" t="s">
        <v>1</v>
      </c>
      <c r="B6" t="s">
        <v>779</v>
      </c>
      <c r="C6" s="11">
        <v>494</v>
      </c>
    </row>
    <row r="7" spans="1:3" x14ac:dyDescent="0.2">
      <c r="A7" t="s">
        <v>1</v>
      </c>
      <c r="B7" t="s">
        <v>783</v>
      </c>
      <c r="C7" s="11">
        <v>1427.4559999999999</v>
      </c>
    </row>
    <row r="8" spans="1:3" x14ac:dyDescent="0.2">
      <c r="A8" t="s">
        <v>1</v>
      </c>
      <c r="B8" t="s">
        <v>779</v>
      </c>
      <c r="C8" s="11">
        <v>282.39999999999998</v>
      </c>
    </row>
    <row r="9" spans="1:3" x14ac:dyDescent="0.2">
      <c r="A9" t="s">
        <v>1</v>
      </c>
      <c r="B9" t="s">
        <v>783</v>
      </c>
      <c r="C9" s="11">
        <v>199.8</v>
      </c>
    </row>
    <row r="10" spans="1:3" x14ac:dyDescent="0.2">
      <c r="A10" t="s">
        <v>2</v>
      </c>
      <c r="B10" t="s">
        <v>779</v>
      </c>
      <c r="C10" s="11">
        <v>424.2</v>
      </c>
    </row>
    <row r="11" spans="1:3" x14ac:dyDescent="0.2">
      <c r="A11" t="s">
        <v>2</v>
      </c>
      <c r="B11" t="s">
        <v>783</v>
      </c>
      <c r="C11" s="11">
        <v>199.8</v>
      </c>
    </row>
    <row r="12" spans="1:3" x14ac:dyDescent="0.2">
      <c r="A12" t="s">
        <v>2</v>
      </c>
      <c r="B12" t="s">
        <v>779</v>
      </c>
      <c r="C12" s="11">
        <v>488.4</v>
      </c>
    </row>
    <row r="13" spans="1:3" x14ac:dyDescent="0.2">
      <c r="A13" t="s">
        <v>2</v>
      </c>
      <c r="B13" t="s">
        <v>783</v>
      </c>
      <c r="C13" s="11">
        <v>1417.2159999999999</v>
      </c>
    </row>
    <row r="14" spans="1:3" x14ac:dyDescent="0.2">
      <c r="A14" t="s">
        <v>2</v>
      </c>
      <c r="B14" t="s">
        <v>779</v>
      </c>
      <c r="C14" s="11">
        <v>490.1</v>
      </c>
    </row>
    <row r="15" spans="1:3" x14ac:dyDescent="0.2">
      <c r="A15" t="s">
        <v>2</v>
      </c>
      <c r="B15" t="s">
        <v>783</v>
      </c>
      <c r="C15" s="11">
        <v>1444.864</v>
      </c>
    </row>
    <row r="16" spans="1:3" x14ac:dyDescent="0.2">
      <c r="A16" t="s">
        <v>2</v>
      </c>
      <c r="B16" t="s">
        <v>779</v>
      </c>
      <c r="C16" s="11">
        <v>491.7</v>
      </c>
    </row>
    <row r="17" spans="1:3" x14ac:dyDescent="0.2">
      <c r="A17" t="s">
        <v>2</v>
      </c>
      <c r="B17" t="s">
        <v>783</v>
      </c>
      <c r="C17" s="11">
        <v>1458.1759999999999</v>
      </c>
    </row>
    <row r="18" spans="1:3" x14ac:dyDescent="0.2">
      <c r="A18" t="s">
        <v>2</v>
      </c>
      <c r="B18" t="s">
        <v>779</v>
      </c>
      <c r="C18" s="11">
        <v>494.7</v>
      </c>
    </row>
    <row r="19" spans="1:3" x14ac:dyDescent="0.2">
      <c r="A19" t="s">
        <v>2</v>
      </c>
      <c r="B19" t="s">
        <v>783</v>
      </c>
      <c r="C19" s="11">
        <v>1462.2719999999999</v>
      </c>
    </row>
    <row r="20" spans="1:3" x14ac:dyDescent="0.2">
      <c r="A20" t="s">
        <v>3</v>
      </c>
      <c r="B20" t="s">
        <v>779</v>
      </c>
      <c r="C20" s="11">
        <v>379.6</v>
      </c>
    </row>
    <row r="21" spans="1:3" x14ac:dyDescent="0.2">
      <c r="A21" t="s">
        <v>3</v>
      </c>
      <c r="B21" t="s">
        <v>783</v>
      </c>
      <c r="C21" s="11">
        <v>202.7</v>
      </c>
    </row>
    <row r="22" spans="1:3" x14ac:dyDescent="0.2">
      <c r="A22" t="s">
        <v>3</v>
      </c>
      <c r="B22" t="s">
        <v>779</v>
      </c>
      <c r="C22" s="11">
        <v>487.2</v>
      </c>
    </row>
    <row r="23" spans="1:3" x14ac:dyDescent="0.2">
      <c r="A23" t="s">
        <v>3</v>
      </c>
      <c r="B23" t="s">
        <v>783</v>
      </c>
      <c r="C23" s="11">
        <v>1416.192</v>
      </c>
    </row>
    <row r="24" spans="1:3" x14ac:dyDescent="0.2">
      <c r="A24" t="s">
        <v>3</v>
      </c>
      <c r="B24" t="s">
        <v>779</v>
      </c>
      <c r="C24" s="11">
        <v>489.7</v>
      </c>
    </row>
    <row r="25" spans="1:3" x14ac:dyDescent="0.2">
      <c r="A25" t="s">
        <v>3</v>
      </c>
      <c r="B25" t="s">
        <v>783</v>
      </c>
      <c r="C25" s="11">
        <v>1413.12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7D53-59BA-6842-8BC5-BAE2F03239ED}">
  <dimension ref="A1:C5"/>
  <sheetViews>
    <sheetView tabSelected="1" workbookViewId="0">
      <selection activeCell="L25" sqref="L25"/>
    </sheetView>
  </sheetViews>
  <sheetFormatPr baseColWidth="10" defaultRowHeight="16" x14ac:dyDescent="0.2"/>
  <cols>
    <col min="1" max="1" width="20.33203125" customWidth="1"/>
    <col min="2" max="2" width="17.5" customWidth="1"/>
    <col min="3" max="3" width="21.33203125" customWidth="1"/>
    <col min="4" max="4" width="10.83203125" customWidth="1"/>
  </cols>
  <sheetData>
    <row r="1" spans="1:3" x14ac:dyDescent="0.2">
      <c r="A1" s="4" t="s">
        <v>4</v>
      </c>
      <c r="B1" s="4" t="s">
        <v>779</v>
      </c>
      <c r="C1" s="4" t="s">
        <v>783</v>
      </c>
    </row>
    <row r="2" spans="1:3" x14ac:dyDescent="0.2">
      <c r="A2" s="16" t="s">
        <v>0</v>
      </c>
      <c r="B2" s="21">
        <v>399.8</v>
      </c>
      <c r="C2" s="21">
        <v>291.10000000000002</v>
      </c>
    </row>
    <row r="3" spans="1:3" x14ac:dyDescent="0.2">
      <c r="A3" s="16" t="s">
        <v>1</v>
      </c>
      <c r="B3" s="21">
        <v>494</v>
      </c>
      <c r="C3" s="21">
        <v>1427.4559999999999</v>
      </c>
    </row>
    <row r="4" spans="1:3" x14ac:dyDescent="0.2">
      <c r="A4" s="16" t="s">
        <v>2</v>
      </c>
      <c r="B4" s="21">
        <v>494.7</v>
      </c>
      <c r="C4" s="21">
        <v>1462.2719999999999</v>
      </c>
    </row>
    <row r="5" spans="1:3" x14ac:dyDescent="0.2">
      <c r="A5" s="16" t="s">
        <v>3</v>
      </c>
      <c r="B5" s="21">
        <v>489.7</v>
      </c>
      <c r="C5" s="21">
        <v>1416.192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Duration</vt:lpstr>
      <vt:lpstr>hadoop memoery</vt:lpstr>
      <vt:lpstr>Spark</vt:lpstr>
      <vt:lpstr>mem_peak</vt:lpstr>
      <vt:lpstr>mem_peak_comparison</vt:lpstr>
      <vt:lpstr>spark_mem_peak</vt:lpstr>
      <vt:lpstr>spark_peak_table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WEERASINGHE P D L L</dc:creator>
  <cp:lastModifiedBy>WEERASINGHE P D L L</cp:lastModifiedBy>
  <dcterms:created xsi:type="dcterms:W3CDTF">2025-12-30T06:11:26Z</dcterms:created>
  <dcterms:modified xsi:type="dcterms:W3CDTF">2025-12-31T15:01:25Z</dcterms:modified>
</cp:coreProperties>
</file>