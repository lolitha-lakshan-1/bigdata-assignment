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litha/Documents/MSC/BigData/Assignment/Final2/Task_4/Flink Results/"/>
    </mc:Choice>
  </mc:AlternateContent>
  <xr:revisionPtr revIDLastSave="0" documentId="13_ncr:1_{EDD322C5-8686-9B4B-9088-59D658EFB237}" xr6:coauthVersionLast="47" xr6:coauthVersionMax="47" xr10:uidLastSave="{00000000-0000-0000-0000-000000000000}"/>
  <bookViews>
    <workbookView xWindow="1040" yWindow="620" windowWidth="27640" windowHeight="15740" activeTab="4" xr2:uid="{34793903-0807-B04F-8960-8E127F085667}"/>
  </bookViews>
  <sheets>
    <sheet name="Sheet1" sheetId="1" r:id="rId1"/>
    <sheet name="Sheet3" sheetId="3" r:id="rId2"/>
    <sheet name="Sheet3 (2)" sheetId="4" r:id="rId3"/>
    <sheet name="Sheet6" sheetId="6" r:id="rId4"/>
    <sheet name="Sheet7" sheetId="7" r:id="rId5"/>
  </sheets>
  <calcPr calcId="181029"/>
  <pivotCaches>
    <pivotCache cacheId="5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39" i="1"/>
  <c r="G40" i="1"/>
  <c r="G41" i="1"/>
  <c r="G42" i="1"/>
  <c r="G43" i="1"/>
  <c r="G44" i="1"/>
  <c r="G45" i="1"/>
  <c r="G46" i="1"/>
  <c r="F30" i="1" l="1"/>
  <c r="F31" i="1"/>
  <c r="G31" i="1" s="1"/>
  <c r="F32" i="1"/>
  <c r="F33" i="1"/>
  <c r="G33" i="1" s="1"/>
  <c r="F34" i="1"/>
  <c r="F35" i="1"/>
  <c r="F36" i="1"/>
  <c r="F37" i="1"/>
  <c r="G37" i="1" s="1"/>
  <c r="F38" i="1"/>
  <c r="F39" i="1"/>
  <c r="F40" i="1"/>
  <c r="F41" i="1"/>
  <c r="F42" i="1"/>
  <c r="F43" i="1"/>
  <c r="F44" i="1"/>
  <c r="F45" i="1"/>
  <c r="F46" i="1"/>
  <c r="F3" i="1"/>
  <c r="F4" i="1"/>
  <c r="F5" i="1"/>
  <c r="G5" i="1" s="1"/>
  <c r="F6" i="1"/>
  <c r="G6" i="1" s="1"/>
  <c r="F7" i="1"/>
  <c r="G7" i="1" s="1"/>
  <c r="F8" i="1"/>
  <c r="F9" i="1"/>
  <c r="G9" i="1" s="1"/>
  <c r="F10" i="1"/>
  <c r="G10" i="1" s="1"/>
  <c r="F11" i="1"/>
  <c r="F12" i="1"/>
  <c r="F13" i="1"/>
  <c r="G13" i="1" s="1"/>
  <c r="F14" i="1"/>
  <c r="G14" i="1" s="1"/>
  <c r="F15" i="1"/>
  <c r="G15" i="1" s="1"/>
  <c r="F16" i="1"/>
  <c r="F17" i="1"/>
  <c r="G17" i="1" s="1"/>
  <c r="F18" i="1"/>
  <c r="G18" i="1" s="1"/>
  <c r="F19" i="1"/>
  <c r="G19" i="1" s="1"/>
  <c r="F20" i="1"/>
  <c r="F21" i="1"/>
  <c r="G21" i="1" s="1"/>
  <c r="F22" i="1"/>
  <c r="F23" i="1"/>
  <c r="G23" i="1" s="1"/>
  <c r="F24" i="1"/>
  <c r="F25" i="1"/>
  <c r="G25" i="1" s="1"/>
  <c r="F26" i="1"/>
  <c r="G26" i="1" s="1"/>
  <c r="F27" i="1"/>
  <c r="G27" i="1" s="1"/>
  <c r="F28" i="1"/>
  <c r="F29" i="1"/>
  <c r="G29" i="1" s="1"/>
  <c r="F2" i="1"/>
  <c r="G3" i="1" l="1"/>
  <c r="G24" i="1"/>
  <c r="G16" i="1"/>
  <c r="G8" i="1"/>
  <c r="G35" i="1"/>
  <c r="G34" i="1"/>
  <c r="G28" i="1"/>
  <c r="G20" i="1"/>
  <c r="G12" i="1"/>
  <c r="G4" i="1"/>
  <c r="G32" i="1"/>
  <c r="G30" i="1"/>
</calcChain>
</file>

<file path=xl/sharedStrings.xml><?xml version="1.0" encoding="utf-8"?>
<sst xmlns="http://schemas.openxmlformats.org/spreadsheetml/2006/main" count="115" uniqueCount="52">
  <si>
    <t>TikTok-Partition-2</t>
  </si>
  <si>
    <t>timestamp</t>
  </si>
  <si>
    <t>cpu_perc</t>
  </si>
  <si>
    <t>mem_usage</t>
  </si>
  <si>
    <t>mem_perc</t>
  </si>
  <si>
    <t>835.9MiB / 5.787GiB</t>
  </si>
  <si>
    <t>836.2MiB / 5.787GiB</t>
  </si>
  <si>
    <t>838.4MiB / 5.787GiB</t>
  </si>
  <si>
    <t>857.4MiB / 5.787GiB</t>
  </si>
  <si>
    <t>873.5MiB / 5.787GiB</t>
  </si>
  <si>
    <t>873.9MiB / 5.787GiB</t>
  </si>
  <si>
    <t>873.6MiB / 5.787GiB</t>
  </si>
  <si>
    <t>Dataset</t>
  </si>
  <si>
    <t>TikTok</t>
  </si>
  <si>
    <t>842.3MiB / 5.787GiB</t>
  </si>
  <si>
    <t>842.4MiB / 5.787GiB</t>
  </si>
  <si>
    <t>826MiB / 5.787GiB</t>
  </si>
  <si>
    <t>826.6MiB / 5.787GiB</t>
  </si>
  <si>
    <t>826.5MiB / 5.787GiB</t>
  </si>
  <si>
    <t>892.4MiB / 5.787GiB</t>
  </si>
  <si>
    <t>892.5MiB / 5.787GiB</t>
  </si>
  <si>
    <t>892.2MiB / 5.787GiB</t>
  </si>
  <si>
    <t>892.7MiB / 5.787GiB</t>
  </si>
  <si>
    <t>892.8MiB / 5.787GiB</t>
  </si>
  <si>
    <t>Twitter</t>
  </si>
  <si>
    <t>805.9MiB / 5.787GiB</t>
  </si>
  <si>
    <t>805.7MiB / 5.787GiB</t>
  </si>
  <si>
    <t>805.8MiB / 5.787GiB</t>
  </si>
  <si>
    <t>805.6MiB / 5.787GiB</t>
  </si>
  <si>
    <t>806MiB / 5.787GiB</t>
  </si>
  <si>
    <t>815.6MiB / 5.787GiB</t>
  </si>
  <si>
    <t>797.9MiB / 5.787GiB</t>
  </si>
  <si>
    <t>798.4MiB / 5.787GiB</t>
  </si>
  <si>
    <t>798.2MiB / 5.787GiB</t>
  </si>
  <si>
    <t>798.3MiB / 5.787GiB</t>
  </si>
  <si>
    <t>798.5MiB / 5.787GiB</t>
  </si>
  <si>
    <t>815.5MiB / 5.787GiB</t>
  </si>
  <si>
    <t>815.8MiB / 5.787GiB</t>
  </si>
  <si>
    <t>815.9MiB / 5.787GiB</t>
  </si>
  <si>
    <t>816MiB / 5.787GiB</t>
  </si>
  <si>
    <t>816.2MiB / 5.787GiB</t>
  </si>
  <si>
    <t>841.8MiB / 5.787GiB</t>
  </si>
  <si>
    <t>841.9MiB / 5.787GiB</t>
  </si>
  <si>
    <t>844.2MiB / 5.787GiB</t>
  </si>
  <si>
    <t>Twitter-Partition-2</t>
  </si>
  <si>
    <t>mem_used</t>
  </si>
  <si>
    <t>meme_delta</t>
  </si>
  <si>
    <t>Column Labels</t>
  </si>
  <si>
    <t>Grand Total</t>
  </si>
  <si>
    <t>Row Labels</t>
  </si>
  <si>
    <t>Sum of cpu_perc</t>
  </si>
  <si>
    <t>Sum of mem_used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</si>
</sst>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Menlo"/>
      <family val="2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0" xfId="0" applyNumberFormat="1" applyFont="1"/>
    <xf numFmtId="0" fontId="2" fillId="0" borderId="0" xfId="0" applyFont="1"/>
    <xf numFmtId="10" fontId="0" fillId="0" borderId="0" xfId="0" applyNumberFormat="1"/>
    <xf numFmtId="10" fontId="2" fillId="0" borderId="0" xfId="0" applyNumberFormat="1" applyFont="1"/>
    <xf numFmtId="0" fontId="4" fillId="0" borderId="0" xfId="0" applyFont="1"/>
    <xf numFmtId="10" fontId="4" fillId="0" borderId="0" xfId="0" applyNumberFormat="1" applyFont="1"/>
    <xf numFmtId="1" fontId="5" fillId="0" borderId="0" xfId="0" applyNumberFormat="1" applyFont="1"/>
    <xf numFmtId="0" fontId="6" fillId="0" borderId="0" xfId="0" applyFont="1"/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-webkit-standard"/>
        <scheme val="none"/>
      </font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enl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[All_stats.xlsx]Sheet3!PivotTable7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TikTok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Sheet3!$B$5:$B$19</c:f>
              <c:numCache>
                <c:formatCode>0.00%</c:formatCode>
                <c:ptCount val="14"/>
                <c:pt idx="0">
                  <c:v>0.24729999999999999</c:v>
                </c:pt>
                <c:pt idx="1">
                  <c:v>3.78E-2</c:v>
                </c:pt>
                <c:pt idx="2">
                  <c:v>4.8000000000000001E-2</c:v>
                </c:pt>
                <c:pt idx="3">
                  <c:v>5.16E-2</c:v>
                </c:pt>
                <c:pt idx="4">
                  <c:v>5.4800000000000001E-2</c:v>
                </c:pt>
                <c:pt idx="5">
                  <c:v>0.56930000000000003</c:v>
                </c:pt>
                <c:pt idx="6">
                  <c:v>0.14249999999999999</c:v>
                </c:pt>
                <c:pt idx="7">
                  <c:v>4.02E-2</c:v>
                </c:pt>
                <c:pt idx="8">
                  <c:v>4.0300000000000002E-2</c:v>
                </c:pt>
                <c:pt idx="9">
                  <c:v>5.74E-2</c:v>
                </c:pt>
                <c:pt idx="10">
                  <c:v>5.6399999999999999E-2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5-A64F-983E-0A1FB500FFB7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TikTok-Partition-2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Sheet3!$C$5:$C$19</c:f>
              <c:numCache>
                <c:formatCode>0.00%</c:formatCode>
                <c:ptCount val="14"/>
                <c:pt idx="0">
                  <c:v>7.4999999999999997E-2</c:v>
                </c:pt>
                <c:pt idx="1">
                  <c:v>6.6900000000000001E-2</c:v>
                </c:pt>
                <c:pt idx="2">
                  <c:v>9.8599999999999993E-2</c:v>
                </c:pt>
                <c:pt idx="3">
                  <c:v>0.71830000000000005</c:v>
                </c:pt>
                <c:pt idx="4">
                  <c:v>0.77780000000000005</c:v>
                </c:pt>
                <c:pt idx="5">
                  <c:v>0.1229</c:v>
                </c:pt>
                <c:pt idx="6">
                  <c:v>4.4900000000000002E-2</c:v>
                </c:pt>
                <c:pt idx="7">
                  <c:v>3.9800000000000002E-2</c:v>
                </c:pt>
                <c:pt idx="8">
                  <c:v>3.5999999999999997E-2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F5-A64F-983E-0A1FB500FFB7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Sheet3!$A$5:$A$19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Sheet3!$D$5:$D$19</c:f>
              <c:numCache>
                <c:formatCode>0.00%</c:formatCode>
                <c:ptCount val="14"/>
                <c:pt idx="0">
                  <c:v>0.27579999999999999</c:v>
                </c:pt>
                <c:pt idx="1">
                  <c:v>3.27E-2</c:v>
                </c:pt>
                <c:pt idx="2">
                  <c:v>2.52E-2</c:v>
                </c:pt>
                <c:pt idx="3">
                  <c:v>5.9900000000000002E-2</c:v>
                </c:pt>
                <c:pt idx="4">
                  <c:v>0.1137</c:v>
                </c:pt>
                <c:pt idx="5">
                  <c:v>3.7999999999999999E-2</c:v>
                </c:pt>
                <c:pt idx="6">
                  <c:v>1.1523000000000001</c:v>
                </c:pt>
                <c:pt idx="7">
                  <c:v>2.7400000000000001E-2</c:v>
                </c:pt>
                <c:pt idx="8">
                  <c:v>3.1300000000000001E-2</c:v>
                </c:pt>
                <c:pt idx="9">
                  <c:v>2.4299999999999999E-2</c:v>
                </c:pt>
                <c:pt idx="10">
                  <c:v>3.9800000000000002E-2</c:v>
                </c:pt>
                <c:pt idx="11">
                  <c:v>4.8000000000000001E-2</c:v>
                </c:pt>
                <c:pt idx="12">
                  <c:v>3.6900000000000002E-2</c:v>
                </c:pt>
                <c:pt idx="13">
                  <c:v>2.8799999999999999E-2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F5-A64F-983E-0A1FB500FFB7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Twitter-Partition-2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Sheet3!$A$5:$A$19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Sheet3!$E$5:$E$19</c:f>
              <c:numCache>
                <c:formatCode>0.00%</c:formatCode>
                <c:ptCount val="14"/>
                <c:pt idx="0">
                  <c:v>9.4799999999999995E-2</c:v>
                </c:pt>
                <c:pt idx="1">
                  <c:v>4.6899999999999997E-2</c:v>
                </c:pt>
                <c:pt idx="2">
                  <c:v>9.8599999999999993E-2</c:v>
                </c:pt>
                <c:pt idx="3">
                  <c:v>4.5499999999999999E-2</c:v>
                </c:pt>
                <c:pt idx="4">
                  <c:v>3.6400000000000002E-2</c:v>
                </c:pt>
                <c:pt idx="5">
                  <c:v>4.7699999999999999E-2</c:v>
                </c:pt>
                <c:pt idx="6">
                  <c:v>9.5100000000000004E-2</c:v>
                </c:pt>
                <c:pt idx="7">
                  <c:v>5.7200000000000001E-2</c:v>
                </c:pt>
                <c:pt idx="8">
                  <c:v>4.8300000000000003E-2</c:v>
                </c:pt>
                <c:pt idx="9">
                  <c:v>0.1057</c:v>
                </c:pt>
                <c:pt idx="10">
                  <c:v>3.5000000000000003E-2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F5-A64F-983E-0A1FB500F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715455"/>
        <c:axId val="610435967"/>
      </c:lineChart>
      <c:catAx>
        <c:axId val="613715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435967"/>
        <c:crosses val="autoZero"/>
        <c:auto val="1"/>
        <c:lblAlgn val="ctr"/>
        <c:lblOffset val="100"/>
        <c:noMultiLvlLbl val="0"/>
      </c:catAx>
      <c:valAx>
        <c:axId val="61043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71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[All_stats.xlsx]Sheet3 (2)!PivotTable7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'Sheet3 (2)'!$B$3:$B$4</c:f>
              <c:strCache>
                <c:ptCount val="1"/>
                <c:pt idx="0">
                  <c:v>TikTok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'Sheet3 (2)'!$A$5:$A$19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'Sheet3 (2)'!$B$5:$B$19</c:f>
              <c:numCache>
                <c:formatCode>General</c:formatCode>
                <c:ptCount val="14"/>
                <c:pt idx="0">
                  <c:v>842.3</c:v>
                </c:pt>
                <c:pt idx="1">
                  <c:v>842.4</c:v>
                </c:pt>
                <c:pt idx="2">
                  <c:v>826</c:v>
                </c:pt>
                <c:pt idx="3">
                  <c:v>826.6</c:v>
                </c:pt>
                <c:pt idx="4">
                  <c:v>826.5</c:v>
                </c:pt>
                <c:pt idx="5">
                  <c:v>892.4</c:v>
                </c:pt>
                <c:pt idx="6">
                  <c:v>892.5</c:v>
                </c:pt>
                <c:pt idx="7">
                  <c:v>892.5</c:v>
                </c:pt>
                <c:pt idx="8">
                  <c:v>892.2</c:v>
                </c:pt>
                <c:pt idx="9">
                  <c:v>892.7</c:v>
                </c:pt>
                <c:pt idx="10">
                  <c:v>892.8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470-9241-9449-D3C691532949}"/>
            </c:ext>
          </c:extLst>
        </c:ser>
        <c:ser>
          <c:idx val="1"/>
          <c:order val="1"/>
          <c:tx>
            <c:strRef>
              <c:f>'Sheet3 (2)'!$C$3:$C$4</c:f>
              <c:strCache>
                <c:ptCount val="1"/>
                <c:pt idx="0">
                  <c:v>TikTok-Partition-2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'Sheet3 (2)'!$A$5:$A$19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'Sheet3 (2)'!$C$5:$C$19</c:f>
              <c:numCache>
                <c:formatCode>General</c:formatCode>
                <c:ptCount val="14"/>
                <c:pt idx="0">
                  <c:v>835.9</c:v>
                </c:pt>
                <c:pt idx="1">
                  <c:v>836.2</c:v>
                </c:pt>
                <c:pt idx="2">
                  <c:v>838.4</c:v>
                </c:pt>
                <c:pt idx="3">
                  <c:v>857.4</c:v>
                </c:pt>
                <c:pt idx="4">
                  <c:v>873.5</c:v>
                </c:pt>
                <c:pt idx="5">
                  <c:v>873.9</c:v>
                </c:pt>
                <c:pt idx="6">
                  <c:v>873.5</c:v>
                </c:pt>
                <c:pt idx="7">
                  <c:v>873.6</c:v>
                </c:pt>
                <c:pt idx="8">
                  <c:v>873.6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470-9241-9449-D3C691532949}"/>
            </c:ext>
          </c:extLst>
        </c:ser>
        <c:ser>
          <c:idx val="2"/>
          <c:order val="2"/>
          <c:tx>
            <c:strRef>
              <c:f>'Sheet3 (2)'!$D$3:$D$4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'Sheet3 (2)'!$A$5:$A$19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'Sheet3 (2)'!$D$5:$D$19</c:f>
              <c:numCache>
                <c:formatCode>General</c:formatCode>
                <c:ptCount val="14"/>
                <c:pt idx="0">
                  <c:v>805.9</c:v>
                </c:pt>
                <c:pt idx="1">
                  <c:v>805.7</c:v>
                </c:pt>
                <c:pt idx="2">
                  <c:v>805.8</c:v>
                </c:pt>
                <c:pt idx="3">
                  <c:v>805.8</c:v>
                </c:pt>
                <c:pt idx="4">
                  <c:v>805.6</c:v>
                </c:pt>
                <c:pt idx="5">
                  <c:v>806</c:v>
                </c:pt>
                <c:pt idx="6">
                  <c:v>815.6</c:v>
                </c:pt>
                <c:pt idx="7">
                  <c:v>797.9</c:v>
                </c:pt>
                <c:pt idx="8">
                  <c:v>797.9</c:v>
                </c:pt>
                <c:pt idx="9">
                  <c:v>798.4</c:v>
                </c:pt>
                <c:pt idx="10">
                  <c:v>798.4</c:v>
                </c:pt>
                <c:pt idx="11">
                  <c:v>798.2</c:v>
                </c:pt>
                <c:pt idx="12">
                  <c:v>798.3</c:v>
                </c:pt>
                <c:pt idx="13">
                  <c:v>798.5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470-9241-9449-D3C691532949}"/>
            </c:ext>
          </c:extLst>
        </c:ser>
        <c:ser>
          <c:idx val="3"/>
          <c:order val="3"/>
          <c:tx>
            <c:strRef>
              <c:f>'Sheet3 (2)'!$E$3:$E$4</c:f>
              <c:strCache>
                <c:ptCount val="1"/>
                <c:pt idx="0">
                  <c:v>Twitter-Partition-2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'Sheet3 (2)'!$A$5:$A$19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'Sheet3 (2)'!$E$5:$E$19</c:f>
              <c:numCache>
                <c:formatCode>General</c:formatCode>
                <c:ptCount val="14"/>
                <c:pt idx="0">
                  <c:v>815.6</c:v>
                </c:pt>
                <c:pt idx="1">
                  <c:v>815.5</c:v>
                </c:pt>
                <c:pt idx="2">
                  <c:v>815.8</c:v>
                </c:pt>
                <c:pt idx="3">
                  <c:v>815.8</c:v>
                </c:pt>
                <c:pt idx="4">
                  <c:v>815.9</c:v>
                </c:pt>
                <c:pt idx="5">
                  <c:v>816</c:v>
                </c:pt>
                <c:pt idx="6">
                  <c:v>816.2</c:v>
                </c:pt>
                <c:pt idx="7">
                  <c:v>841.8</c:v>
                </c:pt>
                <c:pt idx="8">
                  <c:v>841.9</c:v>
                </c:pt>
                <c:pt idx="9">
                  <c:v>842.4</c:v>
                </c:pt>
                <c:pt idx="10">
                  <c:v>844.2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470-9241-9449-D3C691532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715455"/>
        <c:axId val="610435967"/>
      </c:lineChart>
      <c:catAx>
        <c:axId val="613715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435967"/>
        <c:crosses val="autoZero"/>
        <c:auto val="1"/>
        <c:lblAlgn val="ctr"/>
        <c:lblOffset val="100"/>
        <c:noMultiLvlLbl val="0"/>
      </c:catAx>
      <c:valAx>
        <c:axId val="61043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71545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[All_stats.xlsx]Sheet3 (2)!PivotTable7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3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7"/>
        <c:spPr>
          <a:ln w="28575" cap="rnd">
            <a:solidFill>
              <a:schemeClr val="accent4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"/>
        <c:spPr>
          <a:ln w="28575" cap="rnd">
            <a:solidFill>
              <a:schemeClr val="accent3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1"/>
        <c:spPr>
          <a:ln w="28575" cap="rnd">
            <a:solidFill>
              <a:schemeClr val="accent4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'Sheet3 (2)'!$B$3:$B$4</c:f>
              <c:strCache>
                <c:ptCount val="1"/>
                <c:pt idx="0">
                  <c:v>TikTok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'Sheet3 (2)'!$A$5:$A$19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'Sheet3 (2)'!$B$5:$B$19</c:f>
              <c:numCache>
                <c:formatCode>General</c:formatCode>
                <c:ptCount val="14"/>
                <c:pt idx="0">
                  <c:v>842.3</c:v>
                </c:pt>
                <c:pt idx="1">
                  <c:v>842.4</c:v>
                </c:pt>
                <c:pt idx="2">
                  <c:v>826</c:v>
                </c:pt>
                <c:pt idx="3">
                  <c:v>826.6</c:v>
                </c:pt>
                <c:pt idx="4">
                  <c:v>826.5</c:v>
                </c:pt>
                <c:pt idx="5">
                  <c:v>892.4</c:v>
                </c:pt>
                <c:pt idx="6">
                  <c:v>892.5</c:v>
                </c:pt>
                <c:pt idx="7">
                  <c:v>892.5</c:v>
                </c:pt>
                <c:pt idx="8">
                  <c:v>892.2</c:v>
                </c:pt>
                <c:pt idx="9">
                  <c:v>892.7</c:v>
                </c:pt>
                <c:pt idx="10">
                  <c:v>892.8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6-4741-9EDC-F592591E1780}"/>
            </c:ext>
          </c:extLst>
        </c:ser>
        <c:ser>
          <c:idx val="1"/>
          <c:order val="1"/>
          <c:tx>
            <c:strRef>
              <c:f>'Sheet3 (2)'!$C$3:$C$4</c:f>
              <c:strCache>
                <c:ptCount val="1"/>
                <c:pt idx="0">
                  <c:v>TikTok-Partition-2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'Sheet3 (2)'!$A$5:$A$19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'Sheet3 (2)'!$C$5:$C$19</c:f>
              <c:numCache>
                <c:formatCode>General</c:formatCode>
                <c:ptCount val="14"/>
                <c:pt idx="0">
                  <c:v>835.9</c:v>
                </c:pt>
                <c:pt idx="1">
                  <c:v>836.2</c:v>
                </c:pt>
                <c:pt idx="2">
                  <c:v>838.4</c:v>
                </c:pt>
                <c:pt idx="3">
                  <c:v>857.4</c:v>
                </c:pt>
                <c:pt idx="4">
                  <c:v>873.5</c:v>
                </c:pt>
                <c:pt idx="5">
                  <c:v>873.9</c:v>
                </c:pt>
                <c:pt idx="6">
                  <c:v>873.5</c:v>
                </c:pt>
                <c:pt idx="7">
                  <c:v>873.6</c:v>
                </c:pt>
                <c:pt idx="8">
                  <c:v>873.6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26-4741-9EDC-F592591E1780}"/>
            </c:ext>
          </c:extLst>
        </c:ser>
        <c:ser>
          <c:idx val="2"/>
          <c:order val="2"/>
          <c:tx>
            <c:strRef>
              <c:f>'Sheet3 (2)'!$D$3:$D$4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'Sheet3 (2)'!$A$5:$A$19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'Sheet3 (2)'!$D$5:$D$19</c:f>
              <c:numCache>
                <c:formatCode>General</c:formatCode>
                <c:ptCount val="14"/>
                <c:pt idx="0">
                  <c:v>805.9</c:v>
                </c:pt>
                <c:pt idx="1">
                  <c:v>805.7</c:v>
                </c:pt>
                <c:pt idx="2">
                  <c:v>805.8</c:v>
                </c:pt>
                <c:pt idx="3">
                  <c:v>805.8</c:v>
                </c:pt>
                <c:pt idx="4">
                  <c:v>805.6</c:v>
                </c:pt>
                <c:pt idx="5">
                  <c:v>806</c:v>
                </c:pt>
                <c:pt idx="6">
                  <c:v>815.6</c:v>
                </c:pt>
                <c:pt idx="7">
                  <c:v>797.9</c:v>
                </c:pt>
                <c:pt idx="8">
                  <c:v>797.9</c:v>
                </c:pt>
                <c:pt idx="9">
                  <c:v>798.4</c:v>
                </c:pt>
                <c:pt idx="10">
                  <c:v>798.4</c:v>
                </c:pt>
                <c:pt idx="11">
                  <c:v>798.2</c:v>
                </c:pt>
                <c:pt idx="12">
                  <c:v>798.3</c:v>
                </c:pt>
                <c:pt idx="13">
                  <c:v>798.5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26-4741-9EDC-F592591E1780}"/>
            </c:ext>
          </c:extLst>
        </c:ser>
        <c:ser>
          <c:idx val="3"/>
          <c:order val="3"/>
          <c:tx>
            <c:strRef>
              <c:f>'Sheet3 (2)'!$E$3:$E$4</c:f>
              <c:strCache>
                <c:ptCount val="1"/>
                <c:pt idx="0">
                  <c:v>Twitter-Partition-2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'Sheet3 (2)'!$A$5:$A$19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'Sheet3 (2)'!$E$5:$E$19</c:f>
              <c:numCache>
                <c:formatCode>General</c:formatCode>
                <c:ptCount val="14"/>
                <c:pt idx="0">
                  <c:v>815.6</c:v>
                </c:pt>
                <c:pt idx="1">
                  <c:v>815.5</c:v>
                </c:pt>
                <c:pt idx="2">
                  <c:v>815.8</c:v>
                </c:pt>
                <c:pt idx="3">
                  <c:v>815.8</c:v>
                </c:pt>
                <c:pt idx="4">
                  <c:v>815.9</c:v>
                </c:pt>
                <c:pt idx="5">
                  <c:v>816</c:v>
                </c:pt>
                <c:pt idx="6">
                  <c:v>816.2</c:v>
                </c:pt>
                <c:pt idx="7">
                  <c:v>841.8</c:v>
                </c:pt>
                <c:pt idx="8">
                  <c:v>841.9</c:v>
                </c:pt>
                <c:pt idx="9">
                  <c:v>842.4</c:v>
                </c:pt>
                <c:pt idx="10">
                  <c:v>844.2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26-4741-9EDC-F592591E1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715455"/>
        <c:axId val="610435967"/>
      </c:lineChart>
      <c:catAx>
        <c:axId val="613715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435967"/>
        <c:crosses val="autoZero"/>
        <c:auto val="1"/>
        <c:lblAlgn val="ctr"/>
        <c:lblOffset val="100"/>
        <c:noMultiLvlLbl val="0"/>
      </c:catAx>
      <c:valAx>
        <c:axId val="61043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71545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[All_stats.xlsx]Sheet3 (2)!PivotTable7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3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7"/>
        <c:spPr>
          <a:ln w="28575" cap="rnd">
            <a:solidFill>
              <a:schemeClr val="accent4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"/>
        <c:spPr>
          <a:ln w="28575" cap="rnd">
            <a:solidFill>
              <a:schemeClr val="accent3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1"/>
        <c:spPr>
          <a:ln w="28575" cap="rnd">
            <a:solidFill>
              <a:schemeClr val="accent4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'Sheet3 (2)'!$B$3:$B$4</c:f>
              <c:strCache>
                <c:ptCount val="1"/>
                <c:pt idx="0">
                  <c:v>TikTok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'Sheet3 (2)'!$A$5:$A$19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'Sheet3 (2)'!$B$5:$B$19</c:f>
              <c:numCache>
                <c:formatCode>General</c:formatCode>
                <c:ptCount val="14"/>
                <c:pt idx="0">
                  <c:v>842.3</c:v>
                </c:pt>
                <c:pt idx="1">
                  <c:v>842.4</c:v>
                </c:pt>
                <c:pt idx="2">
                  <c:v>826</c:v>
                </c:pt>
                <c:pt idx="3">
                  <c:v>826.6</c:v>
                </c:pt>
                <c:pt idx="4">
                  <c:v>826.5</c:v>
                </c:pt>
                <c:pt idx="5">
                  <c:v>892.4</c:v>
                </c:pt>
                <c:pt idx="6">
                  <c:v>892.5</c:v>
                </c:pt>
                <c:pt idx="7">
                  <c:v>892.5</c:v>
                </c:pt>
                <c:pt idx="8">
                  <c:v>892.2</c:v>
                </c:pt>
                <c:pt idx="9">
                  <c:v>892.7</c:v>
                </c:pt>
                <c:pt idx="10">
                  <c:v>892.8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8-1044-A6DB-F8F6973CF681}"/>
            </c:ext>
          </c:extLst>
        </c:ser>
        <c:ser>
          <c:idx val="1"/>
          <c:order val="1"/>
          <c:tx>
            <c:strRef>
              <c:f>'Sheet3 (2)'!$C$3:$C$4</c:f>
              <c:strCache>
                <c:ptCount val="1"/>
                <c:pt idx="0">
                  <c:v>TikTok-Partition-2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'Sheet3 (2)'!$A$5:$A$19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'Sheet3 (2)'!$C$5:$C$19</c:f>
              <c:numCache>
                <c:formatCode>General</c:formatCode>
                <c:ptCount val="14"/>
                <c:pt idx="0">
                  <c:v>835.9</c:v>
                </c:pt>
                <c:pt idx="1">
                  <c:v>836.2</c:v>
                </c:pt>
                <c:pt idx="2">
                  <c:v>838.4</c:v>
                </c:pt>
                <c:pt idx="3">
                  <c:v>857.4</c:v>
                </c:pt>
                <c:pt idx="4">
                  <c:v>873.5</c:v>
                </c:pt>
                <c:pt idx="5">
                  <c:v>873.9</c:v>
                </c:pt>
                <c:pt idx="6">
                  <c:v>873.5</c:v>
                </c:pt>
                <c:pt idx="7">
                  <c:v>873.6</c:v>
                </c:pt>
                <c:pt idx="8">
                  <c:v>873.6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E8-1044-A6DB-F8F6973CF681}"/>
            </c:ext>
          </c:extLst>
        </c:ser>
        <c:ser>
          <c:idx val="2"/>
          <c:order val="2"/>
          <c:tx>
            <c:strRef>
              <c:f>'Sheet3 (2)'!$D$3:$D$4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'Sheet3 (2)'!$A$5:$A$19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'Sheet3 (2)'!$D$5:$D$19</c:f>
              <c:numCache>
                <c:formatCode>General</c:formatCode>
                <c:ptCount val="14"/>
                <c:pt idx="0">
                  <c:v>805.9</c:v>
                </c:pt>
                <c:pt idx="1">
                  <c:v>805.7</c:v>
                </c:pt>
                <c:pt idx="2">
                  <c:v>805.8</c:v>
                </c:pt>
                <c:pt idx="3">
                  <c:v>805.8</c:v>
                </c:pt>
                <c:pt idx="4">
                  <c:v>805.6</c:v>
                </c:pt>
                <c:pt idx="5">
                  <c:v>806</c:v>
                </c:pt>
                <c:pt idx="6">
                  <c:v>815.6</c:v>
                </c:pt>
                <c:pt idx="7">
                  <c:v>797.9</c:v>
                </c:pt>
                <c:pt idx="8">
                  <c:v>797.9</c:v>
                </c:pt>
                <c:pt idx="9">
                  <c:v>798.4</c:v>
                </c:pt>
                <c:pt idx="10">
                  <c:v>798.4</c:v>
                </c:pt>
                <c:pt idx="11">
                  <c:v>798.2</c:v>
                </c:pt>
                <c:pt idx="12">
                  <c:v>798.3</c:v>
                </c:pt>
                <c:pt idx="13">
                  <c:v>798.5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E8-1044-A6DB-F8F6973CF681}"/>
            </c:ext>
          </c:extLst>
        </c:ser>
        <c:ser>
          <c:idx val="3"/>
          <c:order val="3"/>
          <c:tx>
            <c:strRef>
              <c:f>'Sheet3 (2)'!$E$3:$E$4</c:f>
              <c:strCache>
                <c:ptCount val="1"/>
                <c:pt idx="0">
                  <c:v>Twitter-Partition-2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'Sheet3 (2)'!$A$5:$A$19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'Sheet3 (2)'!$E$5:$E$19</c:f>
              <c:numCache>
                <c:formatCode>General</c:formatCode>
                <c:ptCount val="14"/>
                <c:pt idx="0">
                  <c:v>815.6</c:v>
                </c:pt>
                <c:pt idx="1">
                  <c:v>815.5</c:v>
                </c:pt>
                <c:pt idx="2">
                  <c:v>815.8</c:v>
                </c:pt>
                <c:pt idx="3">
                  <c:v>815.8</c:v>
                </c:pt>
                <c:pt idx="4">
                  <c:v>815.9</c:v>
                </c:pt>
                <c:pt idx="5">
                  <c:v>816</c:v>
                </c:pt>
                <c:pt idx="6">
                  <c:v>816.2</c:v>
                </c:pt>
                <c:pt idx="7">
                  <c:v>841.8</c:v>
                </c:pt>
                <c:pt idx="8">
                  <c:v>841.9</c:v>
                </c:pt>
                <c:pt idx="9">
                  <c:v>842.4</c:v>
                </c:pt>
                <c:pt idx="10">
                  <c:v>844.2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E8-1044-A6DB-F8F6973CF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715455"/>
        <c:axId val="610435967"/>
      </c:lineChart>
      <c:catAx>
        <c:axId val="613715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435967"/>
        <c:crosses val="autoZero"/>
        <c:auto val="1"/>
        <c:lblAlgn val="ctr"/>
        <c:lblOffset val="100"/>
        <c:noMultiLvlLbl val="0"/>
      </c:catAx>
      <c:valAx>
        <c:axId val="61043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71545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[All_stats.xlsx]Sheet3!PivotTable7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TikTok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Sheet3!$B$5:$B$19</c:f>
              <c:numCache>
                <c:formatCode>0.00%</c:formatCode>
                <c:ptCount val="14"/>
                <c:pt idx="0">
                  <c:v>0.24729999999999999</c:v>
                </c:pt>
                <c:pt idx="1">
                  <c:v>3.78E-2</c:v>
                </c:pt>
                <c:pt idx="2">
                  <c:v>4.8000000000000001E-2</c:v>
                </c:pt>
                <c:pt idx="3">
                  <c:v>5.16E-2</c:v>
                </c:pt>
                <c:pt idx="4">
                  <c:v>5.4800000000000001E-2</c:v>
                </c:pt>
                <c:pt idx="5">
                  <c:v>0.56930000000000003</c:v>
                </c:pt>
                <c:pt idx="6">
                  <c:v>0.14249999999999999</c:v>
                </c:pt>
                <c:pt idx="7">
                  <c:v>4.02E-2</c:v>
                </c:pt>
                <c:pt idx="8">
                  <c:v>4.0300000000000002E-2</c:v>
                </c:pt>
                <c:pt idx="9">
                  <c:v>5.74E-2</c:v>
                </c:pt>
                <c:pt idx="10">
                  <c:v>5.6399999999999999E-2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63-5D47-AC6A-9A733560F3F4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TikTok-Partition-2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Sheet3!$C$5:$C$19</c:f>
              <c:numCache>
                <c:formatCode>0.00%</c:formatCode>
                <c:ptCount val="14"/>
                <c:pt idx="0">
                  <c:v>7.4999999999999997E-2</c:v>
                </c:pt>
                <c:pt idx="1">
                  <c:v>6.6900000000000001E-2</c:v>
                </c:pt>
                <c:pt idx="2">
                  <c:v>9.8599999999999993E-2</c:v>
                </c:pt>
                <c:pt idx="3">
                  <c:v>0.71830000000000005</c:v>
                </c:pt>
                <c:pt idx="4">
                  <c:v>0.77780000000000005</c:v>
                </c:pt>
                <c:pt idx="5">
                  <c:v>0.1229</c:v>
                </c:pt>
                <c:pt idx="6">
                  <c:v>4.4900000000000002E-2</c:v>
                </c:pt>
                <c:pt idx="7">
                  <c:v>3.9800000000000002E-2</c:v>
                </c:pt>
                <c:pt idx="8">
                  <c:v>3.5999999999999997E-2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63-5D47-AC6A-9A733560F3F4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Sheet3!$A$5:$A$19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Sheet3!$D$5:$D$19</c:f>
              <c:numCache>
                <c:formatCode>0.00%</c:formatCode>
                <c:ptCount val="14"/>
                <c:pt idx="0">
                  <c:v>0.27579999999999999</c:v>
                </c:pt>
                <c:pt idx="1">
                  <c:v>3.27E-2</c:v>
                </c:pt>
                <c:pt idx="2">
                  <c:v>2.52E-2</c:v>
                </c:pt>
                <c:pt idx="3">
                  <c:v>5.9900000000000002E-2</c:v>
                </c:pt>
                <c:pt idx="4">
                  <c:v>0.1137</c:v>
                </c:pt>
                <c:pt idx="5">
                  <c:v>3.7999999999999999E-2</c:v>
                </c:pt>
                <c:pt idx="6">
                  <c:v>1.1523000000000001</c:v>
                </c:pt>
                <c:pt idx="7">
                  <c:v>2.7400000000000001E-2</c:v>
                </c:pt>
                <c:pt idx="8">
                  <c:v>3.1300000000000001E-2</c:v>
                </c:pt>
                <c:pt idx="9">
                  <c:v>2.4299999999999999E-2</c:v>
                </c:pt>
                <c:pt idx="10">
                  <c:v>3.9800000000000002E-2</c:v>
                </c:pt>
                <c:pt idx="11">
                  <c:v>4.8000000000000001E-2</c:v>
                </c:pt>
                <c:pt idx="12">
                  <c:v>3.6900000000000002E-2</c:v>
                </c:pt>
                <c:pt idx="13">
                  <c:v>2.8799999999999999E-2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63-5D47-AC6A-9A733560F3F4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Twitter-Partition-2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Sheet3!$A$5:$A$19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Sheet3!$E$5:$E$19</c:f>
              <c:numCache>
                <c:formatCode>0.00%</c:formatCode>
                <c:ptCount val="14"/>
                <c:pt idx="0">
                  <c:v>9.4799999999999995E-2</c:v>
                </c:pt>
                <c:pt idx="1">
                  <c:v>4.6899999999999997E-2</c:v>
                </c:pt>
                <c:pt idx="2">
                  <c:v>9.8599999999999993E-2</c:v>
                </c:pt>
                <c:pt idx="3">
                  <c:v>4.5499999999999999E-2</c:v>
                </c:pt>
                <c:pt idx="4">
                  <c:v>3.6400000000000002E-2</c:v>
                </c:pt>
                <c:pt idx="5">
                  <c:v>4.7699999999999999E-2</c:v>
                </c:pt>
                <c:pt idx="6">
                  <c:v>9.5100000000000004E-2</c:v>
                </c:pt>
                <c:pt idx="7">
                  <c:v>5.7200000000000001E-2</c:v>
                </c:pt>
                <c:pt idx="8">
                  <c:v>4.8300000000000003E-2</c:v>
                </c:pt>
                <c:pt idx="9">
                  <c:v>0.1057</c:v>
                </c:pt>
                <c:pt idx="10">
                  <c:v>3.5000000000000003E-2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63-5D47-AC6A-9A733560F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715455"/>
        <c:axId val="610435967"/>
      </c:lineChart>
      <c:catAx>
        <c:axId val="613715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435967"/>
        <c:crosses val="autoZero"/>
        <c:auto val="1"/>
        <c:lblAlgn val="ctr"/>
        <c:lblOffset val="100"/>
        <c:noMultiLvlLbl val="0"/>
      </c:catAx>
      <c:valAx>
        <c:axId val="61043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71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6</xdr:row>
      <xdr:rowOff>107950</xdr:rowOff>
    </xdr:from>
    <xdr:to>
      <xdr:col>11</xdr:col>
      <xdr:colOff>393700</xdr:colOff>
      <xdr:row>21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194B25-FCA5-8743-C11D-2E4B1E43B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177800</xdr:colOff>
      <xdr:row>0</xdr:row>
      <xdr:rowOff>171450</xdr:rowOff>
    </xdr:from>
    <xdr:to>
      <xdr:col>11</xdr:col>
      <xdr:colOff>546100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4CB25A-921F-8F40-93A6-5DA246518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1</xdr:row>
      <xdr:rowOff>190500</xdr:rowOff>
    </xdr:from>
    <xdr:to>
      <xdr:col>11</xdr:col>
      <xdr:colOff>635000</xdr:colOff>
      <xdr:row>16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451457-64FC-4342-AEF3-5B566AA35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685800</xdr:colOff>
      <xdr:row>29</xdr:row>
      <xdr:rowOff>196850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D4772E5-E8F7-7828-6386-6B7E6B83E4A0}"/>
            </a:ext>
          </a:extLst>
        </xdr:cNvPr>
        <xdr:cNvGrpSpPr/>
      </xdr:nvGrpSpPr>
      <xdr:grpSpPr>
        <a:xfrm>
          <a:off x="0" y="0"/>
          <a:ext cx="6464300" cy="6089650"/>
          <a:chOff x="0" y="0"/>
          <a:chExt cx="6464300" cy="608965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CBBCC02E-67AB-0C41-A0C5-7EBFD166380B}"/>
              </a:ext>
            </a:extLst>
          </xdr:cNvPr>
          <xdr:cNvGraphicFramePr>
            <a:graphicFrameLocks/>
          </xdr:cNvGraphicFramePr>
        </xdr:nvGraphicFramePr>
        <xdr:xfrm>
          <a:off x="0" y="0"/>
          <a:ext cx="6464300" cy="30861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EDEEBA23-CF13-4049-9F45-CAE45EDC4EE4}"/>
              </a:ext>
            </a:extLst>
          </xdr:cNvPr>
          <xdr:cNvGraphicFramePr>
            <a:graphicFrameLocks/>
          </xdr:cNvGraphicFramePr>
        </xdr:nvGraphicFramePr>
        <xdr:xfrm>
          <a:off x="38100" y="3048000"/>
          <a:ext cx="6400800" cy="30416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litha Lakshan" refreshedDate="46024.604685532409" createdVersion="8" refreshedVersion="8" minRefreshableVersion="3" recordCount="45" xr:uid="{89D9A2F7-58B4-5840-B628-3B8133896CEB}">
  <cacheSource type="worksheet">
    <worksheetSource name="Table1"/>
  </cacheSource>
  <cacheFields count="7">
    <cacheField name="Dataset" numFmtId="0">
      <sharedItems count="22">
        <s v="TikTok-Partition-2"/>
        <s v="TikTok"/>
        <s v="Twitter"/>
        <s v="Twitter-Partition-2"/>
        <s v="TikTok-Partition-3" u="1"/>
        <s v="TikTok-Partition-4" u="1"/>
        <s v="TikTok-Partition-5" u="1"/>
        <s v="TikTok-Partition-6" u="1"/>
        <s v="TikTok-Partition-7" u="1"/>
        <s v="TikTok-Partition-8" u="1"/>
        <s v="TikTok-Partition-9" u="1"/>
        <s v="TikTok-Partition-10" u="1"/>
        <s v="Twitter-Partition-3" u="1"/>
        <s v="Twitter-Partition-4" u="1"/>
        <s v="Twitter-Partition-5" u="1"/>
        <s v="Twitter-Partition-6" u="1"/>
        <s v="Twitter-Partition-7" u="1"/>
        <s v="Twitter-Partition-8" u="1"/>
        <s v="Twitter-Partition-9" u="1"/>
        <s v="Twitter-Partition-10" u="1"/>
        <s v="Twitter-Partition-11" u="1"/>
        <s v="Twitter-Partition-12" u="1"/>
      </sharedItems>
    </cacheField>
    <cacheField name="timestamp" numFmtId="1">
      <sharedItems containsSemiMixedTypes="0" containsString="0" containsNumber="1" containsInteger="1" minValue="0" maxValue="13" count="1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cpu_perc" numFmtId="10">
      <sharedItems containsSemiMixedTypes="0" containsString="0" containsNumber="1" minValue="2.4299999999999999E-2" maxValue="1.1523000000000001"/>
    </cacheField>
    <cacheField name="mem_usage" numFmtId="0">
      <sharedItems/>
    </cacheField>
    <cacheField name="mem_perc" numFmtId="10">
      <sharedItems containsSemiMixedTypes="0" containsString="0" containsNumber="1" minValue="0.13469999999999999" maxValue="0.1507"/>
    </cacheField>
    <cacheField name="mem_used" numFmtId="0">
      <sharedItems containsSemiMixedTypes="0" containsString="0" containsNumber="1" minValue="797.9" maxValue="892.8"/>
    </cacheField>
    <cacheField name="meme_delta" numFmtId="0">
      <sharedItems containsSemiMixedTypes="0" containsString="0" containsNumber="1" minValue="-17.700000000000045" maxValue="65.8999999999999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n v="7.4999999999999997E-2"/>
    <s v="835.9MiB / 5.787GiB"/>
    <n v="0.1411"/>
    <n v="835.9"/>
    <n v="0"/>
  </r>
  <r>
    <x v="0"/>
    <x v="1"/>
    <n v="6.6900000000000001E-2"/>
    <s v="836.2MiB / 5.787GiB"/>
    <n v="0.1411"/>
    <n v="836.2"/>
    <n v="0.30000000000006821"/>
  </r>
  <r>
    <x v="0"/>
    <x v="2"/>
    <n v="9.8599999999999993E-2"/>
    <s v="838.4MiB / 5.787GiB"/>
    <n v="0.14149999999999999"/>
    <n v="838.4"/>
    <n v="2.1999999999999318"/>
  </r>
  <r>
    <x v="0"/>
    <x v="3"/>
    <n v="0.71830000000000005"/>
    <s v="857.4MiB / 5.787GiB"/>
    <n v="0.1447"/>
    <n v="857.4"/>
    <n v="19"/>
  </r>
  <r>
    <x v="0"/>
    <x v="4"/>
    <n v="0.77780000000000005"/>
    <s v="873.5MiB / 5.787GiB"/>
    <n v="0.1474"/>
    <n v="873.5"/>
    <n v="16.100000000000023"/>
  </r>
  <r>
    <x v="0"/>
    <x v="5"/>
    <n v="0.1229"/>
    <s v="873.9MiB / 5.787GiB"/>
    <n v="0.14749999999999999"/>
    <n v="873.9"/>
    <n v="0.39999999999997726"/>
  </r>
  <r>
    <x v="0"/>
    <x v="6"/>
    <n v="4.4900000000000002E-2"/>
    <s v="873.5MiB / 5.787GiB"/>
    <n v="0.1474"/>
    <n v="873.5"/>
    <n v="-0.39999999999997726"/>
  </r>
  <r>
    <x v="0"/>
    <x v="7"/>
    <n v="3.9800000000000002E-2"/>
    <s v="873.6MiB / 5.787GiB"/>
    <n v="0.1474"/>
    <n v="873.6"/>
    <n v="0.10000000000002274"/>
  </r>
  <r>
    <x v="0"/>
    <x v="8"/>
    <n v="3.5999999999999997E-2"/>
    <s v="873.6MiB / 5.787GiB"/>
    <n v="0.1474"/>
    <n v="873.6"/>
    <n v="0"/>
  </r>
  <r>
    <x v="1"/>
    <x v="0"/>
    <n v="0.24729999999999999"/>
    <s v="842.3MiB / 5.787GiB"/>
    <n v="0.14219999999999999"/>
    <n v="842.3"/>
    <n v="0"/>
  </r>
  <r>
    <x v="1"/>
    <x v="1"/>
    <n v="3.78E-2"/>
    <s v="842.4MiB / 5.787GiB"/>
    <n v="0.14219999999999999"/>
    <n v="842.4"/>
    <n v="0.10000000000002274"/>
  </r>
  <r>
    <x v="1"/>
    <x v="2"/>
    <n v="4.8000000000000001E-2"/>
    <s v="826MiB / 5.787GiB"/>
    <n v="0.1394"/>
    <n v="826"/>
    <n v="-16.399999999999977"/>
  </r>
  <r>
    <x v="1"/>
    <x v="3"/>
    <n v="5.16E-2"/>
    <s v="826.6MiB / 5.787GiB"/>
    <n v="0.13950000000000001"/>
    <n v="826.6"/>
    <n v="0.60000000000002274"/>
  </r>
  <r>
    <x v="1"/>
    <x v="4"/>
    <n v="5.4800000000000001E-2"/>
    <s v="826.5MiB / 5.787GiB"/>
    <n v="0.13950000000000001"/>
    <n v="826.5"/>
    <n v="-0.10000000000002274"/>
  </r>
  <r>
    <x v="1"/>
    <x v="5"/>
    <n v="0.56930000000000003"/>
    <s v="892.4MiB / 5.787GiB"/>
    <n v="0.15060000000000001"/>
    <n v="892.4"/>
    <n v="65.899999999999977"/>
  </r>
  <r>
    <x v="1"/>
    <x v="6"/>
    <n v="0.14249999999999999"/>
    <s v="892.5MiB / 5.787GiB"/>
    <n v="0.15060000000000001"/>
    <n v="892.5"/>
    <n v="0.10000000000002274"/>
  </r>
  <r>
    <x v="1"/>
    <x v="7"/>
    <n v="4.02E-2"/>
    <s v="892.5MiB / 5.787GiB"/>
    <n v="0.15060000000000001"/>
    <n v="892.5"/>
    <n v="0"/>
  </r>
  <r>
    <x v="1"/>
    <x v="8"/>
    <n v="4.0300000000000002E-2"/>
    <s v="892.2MiB / 5.787GiB"/>
    <n v="0.15060000000000001"/>
    <n v="892.2"/>
    <n v="-0.29999999999995453"/>
  </r>
  <r>
    <x v="1"/>
    <x v="9"/>
    <n v="5.74E-2"/>
    <s v="892.7MiB / 5.787GiB"/>
    <n v="0.1507"/>
    <n v="892.7"/>
    <n v="0.5"/>
  </r>
  <r>
    <x v="1"/>
    <x v="10"/>
    <n v="5.6399999999999999E-2"/>
    <s v="892.8MiB / 5.787GiB"/>
    <n v="0.1507"/>
    <n v="892.8"/>
    <n v="9.9999999999909051E-2"/>
  </r>
  <r>
    <x v="2"/>
    <x v="0"/>
    <n v="0.27579999999999999"/>
    <s v="805.9MiB / 5.787GiB"/>
    <n v="0.13600000000000001"/>
    <n v="805.9"/>
    <n v="0"/>
  </r>
  <r>
    <x v="2"/>
    <x v="1"/>
    <n v="3.27E-2"/>
    <s v="805.7MiB / 5.787GiB"/>
    <n v="0.13600000000000001"/>
    <n v="805.7"/>
    <n v="-0.19999999999993179"/>
  </r>
  <r>
    <x v="2"/>
    <x v="2"/>
    <n v="2.52E-2"/>
    <s v="805.8MiB / 5.787GiB"/>
    <n v="0.13600000000000001"/>
    <n v="805.8"/>
    <n v="9.9999999999909051E-2"/>
  </r>
  <r>
    <x v="2"/>
    <x v="3"/>
    <n v="5.9900000000000002E-2"/>
    <s v="805.8MiB / 5.787GiB"/>
    <n v="0.13600000000000001"/>
    <n v="805.8"/>
    <n v="0"/>
  </r>
  <r>
    <x v="2"/>
    <x v="4"/>
    <n v="0.1137"/>
    <s v="805.6MiB / 5.787GiB"/>
    <n v="0.13600000000000001"/>
    <n v="805.6"/>
    <n v="-0.19999999999993179"/>
  </r>
  <r>
    <x v="2"/>
    <x v="5"/>
    <n v="3.7999999999999999E-2"/>
    <s v="806MiB / 5.787GiB"/>
    <n v="0.13600000000000001"/>
    <n v="806"/>
    <n v="0.39999999999997726"/>
  </r>
  <r>
    <x v="2"/>
    <x v="6"/>
    <n v="1.1523000000000001"/>
    <s v="815.6MiB / 5.787GiB"/>
    <n v="0.1376"/>
    <n v="815.6"/>
    <n v="9.6000000000000227"/>
  </r>
  <r>
    <x v="2"/>
    <x v="7"/>
    <n v="2.7400000000000001E-2"/>
    <s v="797.9MiB / 5.787GiB"/>
    <n v="0.13469999999999999"/>
    <n v="797.9"/>
    <n v="-17.700000000000045"/>
  </r>
  <r>
    <x v="2"/>
    <x v="8"/>
    <n v="3.1300000000000001E-2"/>
    <s v="797.9MiB / 5.787GiB"/>
    <n v="0.13469999999999999"/>
    <n v="797.9"/>
    <n v="0"/>
  </r>
  <r>
    <x v="2"/>
    <x v="9"/>
    <n v="2.4299999999999999E-2"/>
    <s v="798.4MiB / 5.787GiB"/>
    <n v="0.1348"/>
    <n v="798.4"/>
    <n v="0.5"/>
  </r>
  <r>
    <x v="2"/>
    <x v="10"/>
    <n v="3.9800000000000002E-2"/>
    <s v="798.4MiB / 5.787GiB"/>
    <n v="0.13469999999999999"/>
    <n v="798.4"/>
    <n v="0"/>
  </r>
  <r>
    <x v="2"/>
    <x v="11"/>
    <n v="4.8000000000000001E-2"/>
    <s v="798.2MiB / 5.787GiB"/>
    <n v="0.13469999999999999"/>
    <n v="798.2"/>
    <n v="-0.19999999999993179"/>
  </r>
  <r>
    <x v="2"/>
    <x v="12"/>
    <n v="3.6900000000000002E-2"/>
    <s v="798.3MiB / 5.787GiB"/>
    <n v="0.13469999999999999"/>
    <n v="798.3"/>
    <n v="9.9999999999909051E-2"/>
  </r>
  <r>
    <x v="2"/>
    <x v="13"/>
    <n v="2.8799999999999999E-2"/>
    <s v="798.5MiB / 5.787GiB"/>
    <n v="0.1348"/>
    <n v="798.5"/>
    <n v="0.20000000000004547"/>
  </r>
  <r>
    <x v="3"/>
    <x v="0"/>
    <n v="9.4799999999999995E-2"/>
    <s v="815.6MiB / 5.787GiB"/>
    <n v="0.13769999999999999"/>
    <n v="815.6"/>
    <n v="0"/>
  </r>
  <r>
    <x v="3"/>
    <x v="1"/>
    <n v="4.6899999999999997E-2"/>
    <s v="815.5MiB / 5.787GiB"/>
    <n v="0.1376"/>
    <n v="815.5"/>
    <n v="-0.10000000000002274"/>
  </r>
  <r>
    <x v="3"/>
    <x v="2"/>
    <n v="9.8599999999999993E-2"/>
    <s v="815.8MiB / 5.787GiB"/>
    <n v="0.13769999999999999"/>
    <n v="815.8"/>
    <n v="0.29999999999995453"/>
  </r>
  <r>
    <x v="3"/>
    <x v="3"/>
    <n v="4.5499999999999999E-2"/>
    <s v="815.8MiB / 5.787GiB"/>
    <n v="0.13769999999999999"/>
    <n v="815.8"/>
    <n v="0"/>
  </r>
  <r>
    <x v="3"/>
    <x v="4"/>
    <n v="3.6400000000000002E-2"/>
    <s v="815.9MiB / 5.787GiB"/>
    <n v="0.13769999999999999"/>
    <n v="815.9"/>
    <n v="0.10000000000002274"/>
  </r>
  <r>
    <x v="3"/>
    <x v="5"/>
    <n v="4.7699999999999999E-2"/>
    <s v="816MiB / 5.787GiB"/>
    <n v="0.13769999999999999"/>
    <n v="816"/>
    <n v="0.10000000000002274"/>
  </r>
  <r>
    <x v="3"/>
    <x v="6"/>
    <n v="9.5100000000000004E-2"/>
    <s v="816.2MiB / 5.787GiB"/>
    <n v="0.13769999999999999"/>
    <n v="816.2"/>
    <n v="0.20000000000004547"/>
  </r>
  <r>
    <x v="3"/>
    <x v="7"/>
    <n v="5.7200000000000001E-2"/>
    <s v="841.8MiB / 5.787GiB"/>
    <n v="0.1421"/>
    <n v="841.8"/>
    <n v="25.599999999999909"/>
  </r>
  <r>
    <x v="3"/>
    <x v="8"/>
    <n v="4.8300000000000003E-2"/>
    <s v="841.9MiB / 5.787GiB"/>
    <n v="0.1421"/>
    <n v="841.9"/>
    <n v="0.10000000000002274"/>
  </r>
  <r>
    <x v="3"/>
    <x v="9"/>
    <n v="0.1057"/>
    <s v="842.4MiB / 5.787GiB"/>
    <n v="0.14219999999999999"/>
    <n v="842.4"/>
    <n v="0.5"/>
  </r>
  <r>
    <x v="3"/>
    <x v="10"/>
    <n v="3.5000000000000003E-2"/>
    <s v="844.2MiB / 5.787GiB"/>
    <n v="0.14249999999999999"/>
    <n v="844.2"/>
    <n v="1.80000000000006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7E21BD-6300-524C-8F4D-4BCAD55BD93F}" name="PivotTable7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F19" firstHeaderRow="1" firstDataRow="2" firstDataCol="1"/>
  <pivotFields count="7">
    <pivotField axis="axisCol" showAll="0">
      <items count="23">
        <item x="1"/>
        <item m="1" x="11"/>
        <item x="0"/>
        <item m="1" x="4"/>
        <item m="1" x="5"/>
        <item m="1" x="6"/>
        <item m="1" x="7"/>
        <item m="1" x="8"/>
        <item m="1" x="9"/>
        <item m="1" x="10"/>
        <item x="2"/>
        <item m="1" x="19"/>
        <item m="1" x="20"/>
        <item m="1" x="21"/>
        <item x="3"/>
        <item m="1" x="12"/>
        <item m="1" x="13"/>
        <item m="1" x="14"/>
        <item m="1" x="15"/>
        <item m="1" x="16"/>
        <item m="1" x="17"/>
        <item m="1" x="18"/>
        <item t="default"/>
      </items>
    </pivotField>
    <pivotField axis="axisRow" numFmtI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0" showAll="0"/>
    <pivotField showAll="0"/>
    <pivotField numFmtId="10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0"/>
  </colFields>
  <colItems count="5">
    <i>
      <x/>
    </i>
    <i>
      <x v="2"/>
    </i>
    <i>
      <x v="10"/>
    </i>
    <i>
      <x v="14"/>
    </i>
    <i t="grand">
      <x/>
    </i>
  </colItems>
  <dataFields count="1">
    <dataField name="Sum of cpu_perc" fld="2" baseField="0" baseItem="0" numFmtId="1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E46B8-D70C-8546-A7A1-37081C6F5CD6}" name="PivotTable7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F19" firstHeaderRow="1" firstDataRow="2" firstDataCol="1"/>
  <pivotFields count="7">
    <pivotField axis="axisCol" showAll="0">
      <items count="23">
        <item x="1"/>
        <item m="1" x="11"/>
        <item x="0"/>
        <item m="1" x="4"/>
        <item m="1" x="5"/>
        <item m="1" x="6"/>
        <item m="1" x="7"/>
        <item m="1" x="8"/>
        <item m="1" x="9"/>
        <item m="1" x="10"/>
        <item x="2"/>
        <item m="1" x="19"/>
        <item m="1" x="20"/>
        <item m="1" x="21"/>
        <item x="3"/>
        <item m="1" x="12"/>
        <item m="1" x="13"/>
        <item m="1" x="14"/>
        <item m="1" x="15"/>
        <item m="1" x="16"/>
        <item m="1" x="17"/>
        <item m="1" x="18"/>
        <item t="default"/>
      </items>
    </pivotField>
    <pivotField axis="axisRow" numFmtI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0" showAll="0"/>
    <pivotField showAll="0"/>
    <pivotField numFmtId="10" showAll="0"/>
    <pivotField dataField="1"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0"/>
  </colFields>
  <colItems count="5">
    <i>
      <x/>
    </i>
    <i>
      <x v="2"/>
    </i>
    <i>
      <x v="10"/>
    </i>
    <i>
      <x v="14"/>
    </i>
    <i t="grand">
      <x/>
    </i>
  </colItems>
  <dataFields count="1">
    <dataField name="Sum of mem_used" fld="5" baseField="0" baseItem="0"/>
  </dataFields>
  <chartFormats count="28">
    <chartFormat chart="7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7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8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0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0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1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1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9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9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9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9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1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1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500630-8266-C54B-BF0E-FA819BD3D44A}" name="Table1" displayName="Table1" ref="A1:G46" totalsRowShown="0" headerRowDxfId="0">
  <autoFilter ref="A1:G46" xr:uid="{23500630-8266-C54B-BF0E-FA819BD3D44A}"/>
  <tableColumns count="7">
    <tableColumn id="1" xr3:uid="{9D72755C-8C78-2C4B-9A2D-0268EE13C9B9}" name="Dataset" dataDxfId="5"/>
    <tableColumn id="2" xr3:uid="{6859B1F1-9918-8543-8CA2-54D5A94BA8B6}" name="timestamp" dataDxfId="4"/>
    <tableColumn id="3" xr3:uid="{18717496-55A7-5A41-B529-915DD872DB71}" name="cpu_perc" dataDxfId="3"/>
    <tableColumn id="4" xr3:uid="{A1BD0A1B-2217-EA48-B1FA-8BBFD2A25451}" name="mem_usage"/>
    <tableColumn id="5" xr3:uid="{99AC5F24-120C-9740-A7FB-ED1235DAFA59}" name="mem_perc" dataDxfId="2"/>
    <tableColumn id="6" xr3:uid="{9A8DE11C-6E88-9C46-915E-3A0252596D5E}" name="mem_used">
      <calculatedColumnFormula>VALUE(_xlfn.TEXTBEFORE(D2,"MiB"))</calculatedColumnFormula>
    </tableColumn>
    <tableColumn id="7" xr3:uid="{039894A7-3859-4E4B-973A-E0B13CE308E8}" name="meme_delta" dataDxfId="1">
      <calculatedColumnFormula>F2-F1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4015-744D-AA45-9488-A15965ABB5AC}">
  <dimension ref="A1:G46"/>
  <sheetViews>
    <sheetView workbookViewId="0">
      <selection activeCell="A46" sqref="A46"/>
    </sheetView>
  </sheetViews>
  <sheetFormatPr baseColWidth="10" defaultRowHeight="16"/>
  <cols>
    <col min="1" max="1" width="17" customWidth="1"/>
    <col min="2" max="2" width="14" bestFit="1" customWidth="1"/>
    <col min="3" max="3" width="11" customWidth="1"/>
    <col min="4" max="4" width="13.6640625" customWidth="1"/>
    <col min="5" max="5" width="12.33203125" customWidth="1"/>
    <col min="6" max="6" width="24.33203125" customWidth="1"/>
    <col min="7" max="7" width="13.83203125" customWidth="1"/>
  </cols>
  <sheetData>
    <row r="1" spans="1:7">
      <c r="A1" t="s">
        <v>12</v>
      </c>
      <c r="B1" s="1" t="s">
        <v>1</v>
      </c>
      <c r="C1" s="2" t="s">
        <v>2</v>
      </c>
      <c r="D1" s="2" t="s">
        <v>3</v>
      </c>
      <c r="E1" s="2" t="s">
        <v>4</v>
      </c>
      <c r="F1" t="s">
        <v>45</v>
      </c>
      <c r="G1" s="2" t="s">
        <v>46</v>
      </c>
    </row>
    <row r="2" spans="1:7" ht="18">
      <c r="A2" t="s">
        <v>0</v>
      </c>
      <c r="B2" s="1">
        <v>0</v>
      </c>
      <c r="C2" s="4">
        <v>7.4999999999999997E-2</v>
      </c>
      <c r="D2" s="2" t="s">
        <v>5</v>
      </c>
      <c r="E2" s="4">
        <v>0.1411</v>
      </c>
      <c r="F2">
        <f>VALUE(_xlfn.TEXTBEFORE(D2,"MiB"))</f>
        <v>835.9</v>
      </c>
      <c r="G2" s="8">
        <v>0</v>
      </c>
    </row>
    <row r="3" spans="1:7" ht="18">
      <c r="A3" t="s">
        <v>0</v>
      </c>
      <c r="B3" s="1">
        <v>1</v>
      </c>
      <c r="C3" s="4">
        <v>6.6900000000000001E-2</v>
      </c>
      <c r="D3" s="2" t="s">
        <v>6</v>
      </c>
      <c r="E3" s="4">
        <v>0.1411</v>
      </c>
      <c r="F3">
        <f t="shared" ref="F3:F46" si="0">VALUE(_xlfn.TEXTBEFORE(D3,"MiB"))</f>
        <v>836.2</v>
      </c>
      <c r="G3" s="8">
        <f>F3-F2</f>
        <v>0.30000000000006821</v>
      </c>
    </row>
    <row r="4" spans="1:7" ht="18">
      <c r="A4" t="s">
        <v>0</v>
      </c>
      <c r="B4" s="1">
        <v>2</v>
      </c>
      <c r="C4" s="4">
        <v>9.8599999999999993E-2</v>
      </c>
      <c r="D4" s="2" t="s">
        <v>7</v>
      </c>
      <c r="E4" s="4">
        <v>0.14149999999999999</v>
      </c>
      <c r="F4">
        <f t="shared" si="0"/>
        <v>838.4</v>
      </c>
      <c r="G4" s="8">
        <f t="shared" ref="G4:G10" si="1">F4-F3</f>
        <v>2.1999999999999318</v>
      </c>
    </row>
    <row r="5" spans="1:7" ht="18">
      <c r="A5" t="s">
        <v>0</v>
      </c>
      <c r="B5" s="1">
        <v>3</v>
      </c>
      <c r="C5" s="4">
        <v>0.71830000000000005</v>
      </c>
      <c r="D5" s="2" t="s">
        <v>8</v>
      </c>
      <c r="E5" s="4">
        <v>0.1447</v>
      </c>
      <c r="F5">
        <f t="shared" si="0"/>
        <v>857.4</v>
      </c>
      <c r="G5" s="8">
        <f t="shared" si="1"/>
        <v>19</v>
      </c>
    </row>
    <row r="6" spans="1:7" ht="18">
      <c r="A6" t="s">
        <v>0</v>
      </c>
      <c r="B6" s="1">
        <v>4</v>
      </c>
      <c r="C6" s="4">
        <v>0.77780000000000005</v>
      </c>
      <c r="D6" s="2" t="s">
        <v>9</v>
      </c>
      <c r="E6" s="4">
        <v>0.1474</v>
      </c>
      <c r="F6">
        <f t="shared" si="0"/>
        <v>873.5</v>
      </c>
      <c r="G6" s="8">
        <f t="shared" si="1"/>
        <v>16.100000000000023</v>
      </c>
    </row>
    <row r="7" spans="1:7" ht="18">
      <c r="A7" t="s">
        <v>0</v>
      </c>
      <c r="B7" s="1">
        <v>5</v>
      </c>
      <c r="C7" s="4">
        <v>0.1229</v>
      </c>
      <c r="D7" s="2" t="s">
        <v>10</v>
      </c>
      <c r="E7" s="4">
        <v>0.14749999999999999</v>
      </c>
      <c r="F7">
        <f t="shared" si="0"/>
        <v>873.9</v>
      </c>
      <c r="G7" s="8">
        <f t="shared" si="1"/>
        <v>0.39999999999997726</v>
      </c>
    </row>
    <row r="8" spans="1:7" ht="18">
      <c r="A8" t="s">
        <v>0</v>
      </c>
      <c r="B8" s="1">
        <v>6</v>
      </c>
      <c r="C8" s="4">
        <v>4.4900000000000002E-2</v>
      </c>
      <c r="D8" s="2" t="s">
        <v>9</v>
      </c>
      <c r="E8" s="4">
        <v>0.1474</v>
      </c>
      <c r="F8">
        <f t="shared" si="0"/>
        <v>873.5</v>
      </c>
      <c r="G8" s="8">
        <f t="shared" si="1"/>
        <v>-0.39999999999997726</v>
      </c>
    </row>
    <row r="9" spans="1:7" ht="18">
      <c r="A9" t="s">
        <v>0</v>
      </c>
      <c r="B9" s="1">
        <v>7</v>
      </c>
      <c r="C9" s="4">
        <v>3.9800000000000002E-2</v>
      </c>
      <c r="D9" s="2" t="s">
        <v>11</v>
      </c>
      <c r="E9" s="4">
        <v>0.1474</v>
      </c>
      <c r="F9">
        <f t="shared" si="0"/>
        <v>873.6</v>
      </c>
      <c r="G9" s="8">
        <f t="shared" si="1"/>
        <v>0.10000000000002274</v>
      </c>
    </row>
    <row r="10" spans="1:7" ht="18">
      <c r="A10" t="s">
        <v>0</v>
      </c>
      <c r="B10" s="1">
        <v>8</v>
      </c>
      <c r="C10" s="4">
        <v>3.5999999999999997E-2</v>
      </c>
      <c r="D10" s="2" t="s">
        <v>11</v>
      </c>
      <c r="E10" s="4">
        <v>0.1474</v>
      </c>
      <c r="F10">
        <f t="shared" si="0"/>
        <v>873.6</v>
      </c>
      <c r="G10" s="8">
        <f t="shared" si="1"/>
        <v>0</v>
      </c>
    </row>
    <row r="11" spans="1:7" ht="18">
      <c r="A11" t="s">
        <v>13</v>
      </c>
      <c r="B11" s="1">
        <v>0</v>
      </c>
      <c r="C11" s="3">
        <v>0.24729999999999999</v>
      </c>
      <c r="D11" t="s">
        <v>14</v>
      </c>
      <c r="E11" s="3">
        <v>0.14219999999999999</v>
      </c>
      <c r="F11">
        <f t="shared" si="0"/>
        <v>842.3</v>
      </c>
      <c r="G11" s="8">
        <v>0</v>
      </c>
    </row>
    <row r="12" spans="1:7" ht="18">
      <c r="A12" t="s">
        <v>13</v>
      </c>
      <c r="B12" s="1">
        <v>1</v>
      </c>
      <c r="C12" s="3">
        <v>3.78E-2</v>
      </c>
      <c r="D12" t="s">
        <v>15</v>
      </c>
      <c r="E12" s="3">
        <v>0.14219999999999999</v>
      </c>
      <c r="F12">
        <f t="shared" si="0"/>
        <v>842.4</v>
      </c>
      <c r="G12" s="8">
        <f>F12-F11</f>
        <v>0.10000000000002274</v>
      </c>
    </row>
    <row r="13" spans="1:7" ht="18">
      <c r="A13" t="s">
        <v>13</v>
      </c>
      <c r="B13" s="1">
        <v>2</v>
      </c>
      <c r="C13" s="3">
        <v>4.8000000000000001E-2</v>
      </c>
      <c r="D13" t="s">
        <v>16</v>
      </c>
      <c r="E13" s="3">
        <v>0.1394</v>
      </c>
      <c r="F13">
        <f t="shared" si="0"/>
        <v>826</v>
      </c>
      <c r="G13" s="8">
        <f t="shared" ref="G13:G21" si="2">F13-F12</f>
        <v>-16.399999999999977</v>
      </c>
    </row>
    <row r="14" spans="1:7" ht="18">
      <c r="A14" t="s">
        <v>13</v>
      </c>
      <c r="B14" s="1">
        <v>3</v>
      </c>
      <c r="C14" s="3">
        <v>5.16E-2</v>
      </c>
      <c r="D14" t="s">
        <v>17</v>
      </c>
      <c r="E14" s="3">
        <v>0.13950000000000001</v>
      </c>
      <c r="F14">
        <f t="shared" si="0"/>
        <v>826.6</v>
      </c>
      <c r="G14" s="8">
        <f t="shared" si="2"/>
        <v>0.60000000000002274</v>
      </c>
    </row>
    <row r="15" spans="1:7" ht="18">
      <c r="A15" t="s">
        <v>13</v>
      </c>
      <c r="B15" s="1">
        <v>4</v>
      </c>
      <c r="C15" s="3">
        <v>5.4800000000000001E-2</v>
      </c>
      <c r="D15" t="s">
        <v>18</v>
      </c>
      <c r="E15" s="3">
        <v>0.13950000000000001</v>
      </c>
      <c r="F15">
        <f t="shared" si="0"/>
        <v>826.5</v>
      </c>
      <c r="G15" s="8">
        <f t="shared" si="2"/>
        <v>-0.10000000000002274</v>
      </c>
    </row>
    <row r="16" spans="1:7" ht="18">
      <c r="A16" t="s">
        <v>13</v>
      </c>
      <c r="B16" s="1">
        <v>5</v>
      </c>
      <c r="C16" s="3">
        <v>0.56930000000000003</v>
      </c>
      <c r="D16" t="s">
        <v>19</v>
      </c>
      <c r="E16" s="3">
        <v>0.15060000000000001</v>
      </c>
      <c r="F16">
        <f t="shared" si="0"/>
        <v>892.4</v>
      </c>
      <c r="G16" s="8">
        <f t="shared" si="2"/>
        <v>65.899999999999977</v>
      </c>
    </row>
    <row r="17" spans="1:7" ht="18">
      <c r="A17" t="s">
        <v>13</v>
      </c>
      <c r="B17" s="1">
        <v>6</v>
      </c>
      <c r="C17" s="3">
        <v>0.14249999999999999</v>
      </c>
      <c r="D17" t="s">
        <v>20</v>
      </c>
      <c r="E17" s="3">
        <v>0.15060000000000001</v>
      </c>
      <c r="F17">
        <f t="shared" si="0"/>
        <v>892.5</v>
      </c>
      <c r="G17" s="8">
        <f t="shared" si="2"/>
        <v>0.10000000000002274</v>
      </c>
    </row>
    <row r="18" spans="1:7" ht="18">
      <c r="A18" t="s">
        <v>13</v>
      </c>
      <c r="B18" s="1">
        <v>7</v>
      </c>
      <c r="C18" s="3">
        <v>4.02E-2</v>
      </c>
      <c r="D18" t="s">
        <v>20</v>
      </c>
      <c r="E18" s="3">
        <v>0.15060000000000001</v>
      </c>
      <c r="F18">
        <f t="shared" si="0"/>
        <v>892.5</v>
      </c>
      <c r="G18" s="8">
        <f t="shared" si="2"/>
        <v>0</v>
      </c>
    </row>
    <row r="19" spans="1:7" ht="18">
      <c r="A19" t="s">
        <v>13</v>
      </c>
      <c r="B19" s="1">
        <v>8</v>
      </c>
      <c r="C19" s="3">
        <v>4.0300000000000002E-2</v>
      </c>
      <c r="D19" t="s">
        <v>21</v>
      </c>
      <c r="E19" s="3">
        <v>0.15060000000000001</v>
      </c>
      <c r="F19">
        <f t="shared" si="0"/>
        <v>892.2</v>
      </c>
      <c r="G19" s="8">
        <f t="shared" si="2"/>
        <v>-0.29999999999995453</v>
      </c>
    </row>
    <row r="20" spans="1:7" ht="18">
      <c r="A20" t="s">
        <v>13</v>
      </c>
      <c r="B20" s="1">
        <v>9</v>
      </c>
      <c r="C20" s="3">
        <v>5.74E-2</v>
      </c>
      <c r="D20" t="s">
        <v>22</v>
      </c>
      <c r="E20" s="3">
        <v>0.1507</v>
      </c>
      <c r="F20">
        <f t="shared" si="0"/>
        <v>892.7</v>
      </c>
      <c r="G20" s="8">
        <f t="shared" si="2"/>
        <v>0.5</v>
      </c>
    </row>
    <row r="21" spans="1:7" ht="18">
      <c r="A21" t="s">
        <v>13</v>
      </c>
      <c r="B21" s="1">
        <v>10</v>
      </c>
      <c r="C21" s="3">
        <v>5.6399999999999999E-2</v>
      </c>
      <c r="D21" t="s">
        <v>23</v>
      </c>
      <c r="E21" s="3">
        <v>0.1507</v>
      </c>
      <c r="F21">
        <f t="shared" si="0"/>
        <v>892.8</v>
      </c>
      <c r="G21" s="8">
        <f t="shared" si="2"/>
        <v>9.9999999999909051E-2</v>
      </c>
    </row>
    <row r="22" spans="1:7">
      <c r="A22" s="5" t="s">
        <v>24</v>
      </c>
      <c r="B22" s="7">
        <v>0</v>
      </c>
      <c r="C22" s="6">
        <v>0.27579999999999999</v>
      </c>
      <c r="D22" s="5" t="s">
        <v>25</v>
      </c>
      <c r="E22" s="6">
        <v>0.13600000000000001</v>
      </c>
      <c r="F22">
        <f t="shared" si="0"/>
        <v>805.9</v>
      </c>
      <c r="G22">
        <v>0</v>
      </c>
    </row>
    <row r="23" spans="1:7" ht="18">
      <c r="A23" s="5" t="s">
        <v>24</v>
      </c>
      <c r="B23" s="7">
        <v>1</v>
      </c>
      <c r="C23" s="6">
        <v>3.27E-2</v>
      </c>
      <c r="D23" s="5" t="s">
        <v>26</v>
      </c>
      <c r="E23" s="6">
        <v>0.13600000000000001</v>
      </c>
      <c r="F23">
        <f t="shared" si="0"/>
        <v>805.7</v>
      </c>
      <c r="G23" s="8">
        <f>F23-F22</f>
        <v>-0.19999999999993179</v>
      </c>
    </row>
    <row r="24" spans="1:7" ht="18">
      <c r="A24" s="5" t="s">
        <v>24</v>
      </c>
      <c r="B24" s="7">
        <v>2</v>
      </c>
      <c r="C24" s="6">
        <v>2.52E-2</v>
      </c>
      <c r="D24" s="5" t="s">
        <v>27</v>
      </c>
      <c r="E24" s="6">
        <v>0.13600000000000001</v>
      </c>
      <c r="F24">
        <f t="shared" si="0"/>
        <v>805.8</v>
      </c>
      <c r="G24" s="8">
        <f t="shared" ref="G24:G35" si="3">F24-F23</f>
        <v>9.9999999999909051E-2</v>
      </c>
    </row>
    <row r="25" spans="1:7" ht="18">
      <c r="A25" s="5" t="s">
        <v>24</v>
      </c>
      <c r="B25" s="7">
        <v>3</v>
      </c>
      <c r="C25" s="6">
        <v>5.9900000000000002E-2</v>
      </c>
      <c r="D25" s="5" t="s">
        <v>27</v>
      </c>
      <c r="E25" s="6">
        <v>0.13600000000000001</v>
      </c>
      <c r="F25">
        <f t="shared" si="0"/>
        <v>805.8</v>
      </c>
      <c r="G25" s="8">
        <f t="shared" si="3"/>
        <v>0</v>
      </c>
    </row>
    <row r="26" spans="1:7" ht="18">
      <c r="A26" s="5" t="s">
        <v>24</v>
      </c>
      <c r="B26" s="7">
        <v>4</v>
      </c>
      <c r="C26" s="6">
        <v>0.1137</v>
      </c>
      <c r="D26" s="5" t="s">
        <v>28</v>
      </c>
      <c r="E26" s="6">
        <v>0.13600000000000001</v>
      </c>
      <c r="F26">
        <f t="shared" si="0"/>
        <v>805.6</v>
      </c>
      <c r="G26" s="8">
        <f t="shared" si="3"/>
        <v>-0.19999999999993179</v>
      </c>
    </row>
    <row r="27" spans="1:7" ht="18">
      <c r="A27" s="5" t="s">
        <v>24</v>
      </c>
      <c r="B27" s="7">
        <v>5</v>
      </c>
      <c r="C27" s="6">
        <v>3.7999999999999999E-2</v>
      </c>
      <c r="D27" s="5" t="s">
        <v>29</v>
      </c>
      <c r="E27" s="6">
        <v>0.13600000000000001</v>
      </c>
      <c r="F27">
        <f t="shared" si="0"/>
        <v>806</v>
      </c>
      <c r="G27" s="8">
        <f t="shared" si="3"/>
        <v>0.39999999999997726</v>
      </c>
    </row>
    <row r="28" spans="1:7" ht="18">
      <c r="A28" s="5" t="s">
        <v>24</v>
      </c>
      <c r="B28" s="7">
        <v>6</v>
      </c>
      <c r="C28" s="6">
        <v>1.1523000000000001</v>
      </c>
      <c r="D28" s="5" t="s">
        <v>30</v>
      </c>
      <c r="E28" s="6">
        <v>0.1376</v>
      </c>
      <c r="F28">
        <f t="shared" si="0"/>
        <v>815.6</v>
      </c>
      <c r="G28" s="8">
        <f t="shared" si="3"/>
        <v>9.6000000000000227</v>
      </c>
    </row>
    <row r="29" spans="1:7" ht="18">
      <c r="A29" s="5" t="s">
        <v>24</v>
      </c>
      <c r="B29" s="7">
        <v>7</v>
      </c>
      <c r="C29" s="6">
        <v>2.7400000000000001E-2</v>
      </c>
      <c r="D29" s="5" t="s">
        <v>31</v>
      </c>
      <c r="E29" s="6">
        <v>0.13469999999999999</v>
      </c>
      <c r="F29">
        <f t="shared" si="0"/>
        <v>797.9</v>
      </c>
      <c r="G29" s="8">
        <f t="shared" si="3"/>
        <v>-17.700000000000045</v>
      </c>
    </row>
    <row r="30" spans="1:7" ht="18">
      <c r="A30" s="5" t="s">
        <v>24</v>
      </c>
      <c r="B30" s="7">
        <v>8</v>
      </c>
      <c r="C30" s="6">
        <v>3.1300000000000001E-2</v>
      </c>
      <c r="D30" s="5" t="s">
        <v>31</v>
      </c>
      <c r="E30" s="6">
        <v>0.13469999999999999</v>
      </c>
      <c r="F30">
        <f>VALUE(_xlfn.TEXTBEFORE(D30,"MiB"))</f>
        <v>797.9</v>
      </c>
      <c r="G30" s="8">
        <f t="shared" si="3"/>
        <v>0</v>
      </c>
    </row>
    <row r="31" spans="1:7" ht="18">
      <c r="A31" s="5" t="s">
        <v>24</v>
      </c>
      <c r="B31" s="7">
        <v>9</v>
      </c>
      <c r="C31" s="6">
        <v>2.4299999999999999E-2</v>
      </c>
      <c r="D31" s="5" t="s">
        <v>32</v>
      </c>
      <c r="E31" s="6">
        <v>0.1348</v>
      </c>
      <c r="F31">
        <f t="shared" si="0"/>
        <v>798.4</v>
      </c>
      <c r="G31" s="8">
        <f t="shared" si="3"/>
        <v>0.5</v>
      </c>
    </row>
    <row r="32" spans="1:7" ht="18">
      <c r="A32" s="5" t="s">
        <v>24</v>
      </c>
      <c r="B32" s="7">
        <v>10</v>
      </c>
      <c r="C32" s="6">
        <v>3.9800000000000002E-2</v>
      </c>
      <c r="D32" s="5" t="s">
        <v>32</v>
      </c>
      <c r="E32" s="6">
        <v>0.13469999999999999</v>
      </c>
      <c r="F32">
        <f t="shared" si="0"/>
        <v>798.4</v>
      </c>
      <c r="G32" s="8">
        <f t="shared" si="3"/>
        <v>0</v>
      </c>
    </row>
    <row r="33" spans="1:7" ht="18">
      <c r="A33" s="5" t="s">
        <v>24</v>
      </c>
      <c r="B33" s="7">
        <v>11</v>
      </c>
      <c r="C33" s="6">
        <v>4.8000000000000001E-2</v>
      </c>
      <c r="D33" s="5" t="s">
        <v>33</v>
      </c>
      <c r="E33" s="6">
        <v>0.13469999999999999</v>
      </c>
      <c r="F33">
        <f t="shared" si="0"/>
        <v>798.2</v>
      </c>
      <c r="G33" s="8">
        <f t="shared" si="3"/>
        <v>-0.19999999999993179</v>
      </c>
    </row>
    <row r="34" spans="1:7" ht="18">
      <c r="A34" s="5" t="s">
        <v>24</v>
      </c>
      <c r="B34" s="7">
        <v>12</v>
      </c>
      <c r="C34" s="6">
        <v>3.6900000000000002E-2</v>
      </c>
      <c r="D34" s="5" t="s">
        <v>34</v>
      </c>
      <c r="E34" s="6">
        <v>0.13469999999999999</v>
      </c>
      <c r="F34">
        <f t="shared" si="0"/>
        <v>798.3</v>
      </c>
      <c r="G34" s="8">
        <f t="shared" si="3"/>
        <v>9.9999999999909051E-2</v>
      </c>
    </row>
    <row r="35" spans="1:7" ht="18">
      <c r="A35" s="5" t="s">
        <v>24</v>
      </c>
      <c r="B35" s="7">
        <v>13</v>
      </c>
      <c r="C35" s="6">
        <v>2.8799999999999999E-2</v>
      </c>
      <c r="D35" s="5" t="s">
        <v>35</v>
      </c>
      <c r="E35" s="6">
        <v>0.1348</v>
      </c>
      <c r="F35">
        <f t="shared" si="0"/>
        <v>798.5</v>
      </c>
      <c r="G35" s="8">
        <f t="shared" si="3"/>
        <v>0.20000000000004547</v>
      </c>
    </row>
    <row r="36" spans="1:7">
      <c r="A36" s="5" t="s">
        <v>44</v>
      </c>
      <c r="B36" s="1">
        <v>0</v>
      </c>
      <c r="C36" s="3">
        <v>9.4799999999999995E-2</v>
      </c>
      <c r="D36" t="s">
        <v>30</v>
      </c>
      <c r="E36" s="3">
        <v>0.13769999999999999</v>
      </c>
      <c r="F36">
        <f t="shared" si="0"/>
        <v>815.6</v>
      </c>
      <c r="G36">
        <v>0</v>
      </c>
    </row>
    <row r="37" spans="1:7" ht="18">
      <c r="A37" s="5" t="s">
        <v>44</v>
      </c>
      <c r="B37" s="1">
        <v>1</v>
      </c>
      <c r="C37" s="3">
        <v>4.6899999999999997E-2</v>
      </c>
      <c r="D37" t="s">
        <v>36</v>
      </c>
      <c r="E37" s="3">
        <v>0.1376</v>
      </c>
      <c r="F37">
        <f t="shared" si="0"/>
        <v>815.5</v>
      </c>
      <c r="G37" s="8">
        <f>F37-F36</f>
        <v>-0.10000000000002274</v>
      </c>
    </row>
    <row r="38" spans="1:7" ht="18">
      <c r="A38" s="5" t="s">
        <v>44</v>
      </c>
      <c r="B38" s="1">
        <v>2</v>
      </c>
      <c r="C38" s="3">
        <v>9.8599999999999993E-2</v>
      </c>
      <c r="D38" t="s">
        <v>37</v>
      </c>
      <c r="E38" s="3">
        <v>0.13769999999999999</v>
      </c>
      <c r="F38">
        <f t="shared" si="0"/>
        <v>815.8</v>
      </c>
      <c r="G38" s="8">
        <f t="shared" ref="G38:G46" si="4">F38-F37</f>
        <v>0.29999999999995453</v>
      </c>
    </row>
    <row r="39" spans="1:7" ht="18">
      <c r="A39" s="5" t="s">
        <v>44</v>
      </c>
      <c r="B39" s="1">
        <v>3</v>
      </c>
      <c r="C39" s="3">
        <v>4.5499999999999999E-2</v>
      </c>
      <c r="D39" t="s">
        <v>37</v>
      </c>
      <c r="E39" s="3">
        <v>0.13769999999999999</v>
      </c>
      <c r="F39">
        <f t="shared" si="0"/>
        <v>815.8</v>
      </c>
      <c r="G39" s="8">
        <f t="shared" si="4"/>
        <v>0</v>
      </c>
    </row>
    <row r="40" spans="1:7" ht="18">
      <c r="A40" s="5" t="s">
        <v>44</v>
      </c>
      <c r="B40" s="1">
        <v>4</v>
      </c>
      <c r="C40" s="3">
        <v>3.6400000000000002E-2</v>
      </c>
      <c r="D40" t="s">
        <v>38</v>
      </c>
      <c r="E40" s="3">
        <v>0.13769999999999999</v>
      </c>
      <c r="F40">
        <f t="shared" si="0"/>
        <v>815.9</v>
      </c>
      <c r="G40" s="8">
        <f t="shared" si="4"/>
        <v>0.10000000000002274</v>
      </c>
    </row>
    <row r="41" spans="1:7" ht="18">
      <c r="A41" s="5" t="s">
        <v>44</v>
      </c>
      <c r="B41" s="1">
        <v>5</v>
      </c>
      <c r="C41" s="3">
        <v>4.7699999999999999E-2</v>
      </c>
      <c r="D41" t="s">
        <v>39</v>
      </c>
      <c r="E41" s="3">
        <v>0.13769999999999999</v>
      </c>
      <c r="F41">
        <f t="shared" si="0"/>
        <v>816</v>
      </c>
      <c r="G41" s="8">
        <f t="shared" si="4"/>
        <v>0.10000000000002274</v>
      </c>
    </row>
    <row r="42" spans="1:7" ht="18">
      <c r="A42" s="5" t="s">
        <v>44</v>
      </c>
      <c r="B42" s="1">
        <v>6</v>
      </c>
      <c r="C42" s="3">
        <v>9.5100000000000004E-2</v>
      </c>
      <c r="D42" t="s">
        <v>40</v>
      </c>
      <c r="E42" s="3">
        <v>0.13769999999999999</v>
      </c>
      <c r="F42">
        <f t="shared" si="0"/>
        <v>816.2</v>
      </c>
      <c r="G42" s="8">
        <f t="shared" si="4"/>
        <v>0.20000000000004547</v>
      </c>
    </row>
    <row r="43" spans="1:7" ht="18">
      <c r="A43" s="5" t="s">
        <v>44</v>
      </c>
      <c r="B43" s="1">
        <v>7</v>
      </c>
      <c r="C43" s="3">
        <v>5.7200000000000001E-2</v>
      </c>
      <c r="D43" t="s">
        <v>41</v>
      </c>
      <c r="E43" s="3">
        <v>0.1421</v>
      </c>
      <c r="F43">
        <f t="shared" si="0"/>
        <v>841.8</v>
      </c>
      <c r="G43" s="8">
        <f t="shared" si="4"/>
        <v>25.599999999999909</v>
      </c>
    </row>
    <row r="44" spans="1:7" ht="18">
      <c r="A44" s="5" t="s">
        <v>44</v>
      </c>
      <c r="B44" s="1">
        <v>8</v>
      </c>
      <c r="C44" s="3">
        <v>4.8300000000000003E-2</v>
      </c>
      <c r="D44" t="s">
        <v>42</v>
      </c>
      <c r="E44" s="3">
        <v>0.1421</v>
      </c>
      <c r="F44">
        <f t="shared" si="0"/>
        <v>841.9</v>
      </c>
      <c r="G44" s="8">
        <f t="shared" si="4"/>
        <v>0.10000000000002274</v>
      </c>
    </row>
    <row r="45" spans="1:7" ht="18">
      <c r="A45" s="5" t="s">
        <v>44</v>
      </c>
      <c r="B45" s="1">
        <v>9</v>
      </c>
      <c r="C45" s="3">
        <v>0.1057</v>
      </c>
      <c r="D45" t="s">
        <v>15</v>
      </c>
      <c r="E45" s="3">
        <v>0.14219999999999999</v>
      </c>
      <c r="F45">
        <f t="shared" si="0"/>
        <v>842.4</v>
      </c>
      <c r="G45" s="8">
        <f t="shared" si="4"/>
        <v>0.5</v>
      </c>
    </row>
    <row r="46" spans="1:7" ht="18">
      <c r="A46" s="5" t="s">
        <v>44</v>
      </c>
      <c r="B46" s="1">
        <v>10</v>
      </c>
      <c r="C46" s="3">
        <v>3.5000000000000003E-2</v>
      </c>
      <c r="D46" t="s">
        <v>43</v>
      </c>
      <c r="E46" s="3">
        <v>0.14249999999999999</v>
      </c>
      <c r="F46">
        <f t="shared" si="0"/>
        <v>844.2</v>
      </c>
      <c r="G46" s="8">
        <f t="shared" si="4"/>
        <v>1.8000000000000682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FDCE-6027-F24A-9D63-385E1E9BB478}">
  <dimension ref="A3:F19"/>
  <sheetViews>
    <sheetView workbookViewId="0">
      <selection activeCell="I23" sqref="I23"/>
    </sheetView>
  </sheetViews>
  <sheetFormatPr baseColWidth="10" defaultRowHeight="16"/>
  <cols>
    <col min="1" max="1" width="14.6640625" bestFit="1" customWidth="1"/>
    <col min="2" max="2" width="16" bestFit="1" customWidth="1"/>
    <col min="3" max="3" width="15.83203125" bestFit="1" customWidth="1"/>
    <col min="4" max="4" width="8.1640625" bestFit="1" customWidth="1"/>
    <col min="5" max="5" width="16.5" bestFit="1" customWidth="1"/>
    <col min="6" max="6" width="10.5" bestFit="1" customWidth="1"/>
    <col min="7" max="11" width="15.83203125" bestFit="1" customWidth="1"/>
    <col min="12" max="12" width="8.1640625" bestFit="1" customWidth="1"/>
    <col min="13" max="15" width="17.5" bestFit="1" customWidth="1"/>
    <col min="16" max="23" width="16.5" bestFit="1" customWidth="1"/>
    <col min="24" max="24" width="10.5" bestFit="1" customWidth="1"/>
  </cols>
  <sheetData>
    <row r="3" spans="1:6">
      <c r="A3" s="9" t="s">
        <v>50</v>
      </c>
      <c r="B3" s="9" t="s">
        <v>47</v>
      </c>
    </row>
    <row r="4" spans="1:6">
      <c r="A4" s="9" t="s">
        <v>49</v>
      </c>
      <c r="B4" t="s">
        <v>13</v>
      </c>
      <c r="C4" t="s">
        <v>0</v>
      </c>
      <c r="D4" t="s">
        <v>24</v>
      </c>
      <c r="E4" t="s">
        <v>44</v>
      </c>
      <c r="F4" t="s">
        <v>48</v>
      </c>
    </row>
    <row r="5" spans="1:6">
      <c r="A5" s="10">
        <v>0</v>
      </c>
      <c r="B5" s="3">
        <v>0.24729999999999999</v>
      </c>
      <c r="C5" s="3">
        <v>7.4999999999999997E-2</v>
      </c>
      <c r="D5" s="3">
        <v>0.27579999999999999</v>
      </c>
      <c r="E5" s="3">
        <v>9.4799999999999995E-2</v>
      </c>
      <c r="F5" s="3">
        <v>0.69289999999999996</v>
      </c>
    </row>
    <row r="6" spans="1:6">
      <c r="A6" s="10">
        <v>1</v>
      </c>
      <c r="B6" s="3">
        <v>3.78E-2</v>
      </c>
      <c r="C6" s="3">
        <v>6.6900000000000001E-2</v>
      </c>
      <c r="D6" s="3">
        <v>3.27E-2</v>
      </c>
      <c r="E6" s="3">
        <v>4.6899999999999997E-2</v>
      </c>
      <c r="F6" s="3">
        <v>0.18429999999999999</v>
      </c>
    </row>
    <row r="7" spans="1:6">
      <c r="A7" s="10">
        <v>2</v>
      </c>
      <c r="B7" s="3">
        <v>4.8000000000000001E-2</v>
      </c>
      <c r="C7" s="3">
        <v>9.8599999999999993E-2</v>
      </c>
      <c r="D7" s="3">
        <v>2.52E-2</v>
      </c>
      <c r="E7" s="3">
        <v>9.8599999999999993E-2</v>
      </c>
      <c r="F7" s="3">
        <v>0.27039999999999997</v>
      </c>
    </row>
    <row r="8" spans="1:6">
      <c r="A8" s="10">
        <v>3</v>
      </c>
      <c r="B8" s="3">
        <v>5.16E-2</v>
      </c>
      <c r="C8" s="3">
        <v>0.71830000000000005</v>
      </c>
      <c r="D8" s="3">
        <v>5.9900000000000002E-2</v>
      </c>
      <c r="E8" s="3">
        <v>4.5499999999999999E-2</v>
      </c>
      <c r="F8" s="3">
        <v>0.87529999999999997</v>
      </c>
    </row>
    <row r="9" spans="1:6">
      <c r="A9" s="10">
        <v>4</v>
      </c>
      <c r="B9" s="3">
        <v>5.4800000000000001E-2</v>
      </c>
      <c r="C9" s="3">
        <v>0.77780000000000005</v>
      </c>
      <c r="D9" s="3">
        <v>0.1137</v>
      </c>
      <c r="E9" s="3">
        <v>3.6400000000000002E-2</v>
      </c>
      <c r="F9" s="3">
        <v>0.98270000000000002</v>
      </c>
    </row>
    <row r="10" spans="1:6">
      <c r="A10" s="10">
        <v>5</v>
      </c>
      <c r="B10" s="3">
        <v>0.56930000000000003</v>
      </c>
      <c r="C10" s="3">
        <v>0.1229</v>
      </c>
      <c r="D10" s="3">
        <v>3.7999999999999999E-2</v>
      </c>
      <c r="E10" s="3">
        <v>4.7699999999999999E-2</v>
      </c>
      <c r="F10" s="3">
        <v>0.77790000000000004</v>
      </c>
    </row>
    <row r="11" spans="1:6">
      <c r="A11" s="10">
        <v>6</v>
      </c>
      <c r="B11" s="3">
        <v>0.14249999999999999</v>
      </c>
      <c r="C11" s="3">
        <v>4.4900000000000002E-2</v>
      </c>
      <c r="D11" s="3">
        <v>1.1523000000000001</v>
      </c>
      <c r="E11" s="3">
        <v>9.5100000000000004E-2</v>
      </c>
      <c r="F11" s="3">
        <v>1.4348000000000001</v>
      </c>
    </row>
    <row r="12" spans="1:6">
      <c r="A12" s="10">
        <v>7</v>
      </c>
      <c r="B12" s="3">
        <v>4.02E-2</v>
      </c>
      <c r="C12" s="3">
        <v>3.9800000000000002E-2</v>
      </c>
      <c r="D12" s="3">
        <v>2.7400000000000001E-2</v>
      </c>
      <c r="E12" s="3">
        <v>5.7200000000000001E-2</v>
      </c>
      <c r="F12" s="3">
        <v>0.1646</v>
      </c>
    </row>
    <row r="13" spans="1:6">
      <c r="A13" s="10">
        <v>8</v>
      </c>
      <c r="B13" s="3">
        <v>4.0300000000000002E-2</v>
      </c>
      <c r="C13" s="3">
        <v>3.5999999999999997E-2</v>
      </c>
      <c r="D13" s="3">
        <v>3.1300000000000001E-2</v>
      </c>
      <c r="E13" s="3">
        <v>4.8300000000000003E-2</v>
      </c>
      <c r="F13" s="3">
        <v>0.15590000000000001</v>
      </c>
    </row>
    <row r="14" spans="1:6">
      <c r="A14" s="10">
        <v>9</v>
      </c>
      <c r="B14" s="3">
        <v>5.74E-2</v>
      </c>
      <c r="C14" s="3"/>
      <c r="D14" s="3">
        <v>2.4299999999999999E-2</v>
      </c>
      <c r="E14" s="3">
        <v>0.1057</v>
      </c>
      <c r="F14" s="3">
        <v>0.18740000000000001</v>
      </c>
    </row>
    <row r="15" spans="1:6">
      <c r="A15" s="10">
        <v>10</v>
      </c>
      <c r="B15" s="3">
        <v>5.6399999999999999E-2</v>
      </c>
      <c r="C15" s="3"/>
      <c r="D15" s="3">
        <v>3.9800000000000002E-2</v>
      </c>
      <c r="E15" s="3">
        <v>3.5000000000000003E-2</v>
      </c>
      <c r="F15" s="3">
        <v>0.13120000000000001</v>
      </c>
    </row>
    <row r="16" spans="1:6">
      <c r="A16" s="10">
        <v>11</v>
      </c>
      <c r="B16" s="3"/>
      <c r="C16" s="3"/>
      <c r="D16" s="3">
        <v>4.8000000000000001E-2</v>
      </c>
      <c r="E16" s="3"/>
      <c r="F16" s="3">
        <v>4.8000000000000001E-2</v>
      </c>
    </row>
    <row r="17" spans="1:6">
      <c r="A17" s="10">
        <v>12</v>
      </c>
      <c r="B17" s="3"/>
      <c r="C17" s="3"/>
      <c r="D17" s="3">
        <v>3.6900000000000002E-2</v>
      </c>
      <c r="E17" s="3"/>
      <c r="F17" s="3">
        <v>3.6900000000000002E-2</v>
      </c>
    </row>
    <row r="18" spans="1:6">
      <c r="A18" s="10">
        <v>13</v>
      </c>
      <c r="B18" s="3"/>
      <c r="C18" s="3"/>
      <c r="D18" s="3">
        <v>2.8799999999999999E-2</v>
      </c>
      <c r="E18" s="3"/>
      <c r="F18" s="3">
        <v>2.8799999999999999E-2</v>
      </c>
    </row>
    <row r="19" spans="1:6">
      <c r="A19" s="10" t="s">
        <v>48</v>
      </c>
      <c r="B19" s="3">
        <v>1.3455999999999999</v>
      </c>
      <c r="C19" s="3">
        <v>1.9802000000000002</v>
      </c>
      <c r="D19" s="3">
        <v>1.9341000000000002</v>
      </c>
      <c r="E19" s="3">
        <v>0.71120000000000005</v>
      </c>
      <c r="F19" s="3">
        <v>5.9711000000000007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F8741-D33B-F64F-9DAC-CBEA08268810}">
  <dimension ref="A3:F19"/>
  <sheetViews>
    <sheetView workbookViewId="0">
      <selection activeCell="I23" sqref="I23"/>
    </sheetView>
  </sheetViews>
  <sheetFormatPr baseColWidth="10" defaultRowHeight="16"/>
  <cols>
    <col min="1" max="1" width="16.5" bestFit="1" customWidth="1"/>
    <col min="2" max="2" width="16" bestFit="1" customWidth="1"/>
    <col min="3" max="3" width="15.83203125" bestFit="1" customWidth="1"/>
    <col min="4" max="4" width="6.83203125" bestFit="1" customWidth="1"/>
    <col min="5" max="5" width="16.5" bestFit="1" customWidth="1"/>
    <col min="6" max="6" width="10.5" bestFit="1" customWidth="1"/>
    <col min="7" max="9" width="16.5" bestFit="1" customWidth="1"/>
    <col min="10" max="10" width="19.1640625" bestFit="1" customWidth="1"/>
    <col min="11" max="11" width="20.83203125" bestFit="1" customWidth="1"/>
    <col min="12" max="12" width="8.1640625" bestFit="1" customWidth="1"/>
    <col min="13" max="15" width="17.5" bestFit="1" customWidth="1"/>
    <col min="16" max="23" width="16.5" bestFit="1" customWidth="1"/>
    <col min="24" max="24" width="10.5" bestFit="1" customWidth="1"/>
  </cols>
  <sheetData>
    <row r="3" spans="1:6">
      <c r="A3" s="9" t="s">
        <v>51</v>
      </c>
      <c r="B3" s="9" t="s">
        <v>47</v>
      </c>
    </row>
    <row r="4" spans="1:6">
      <c r="A4" s="9" t="s">
        <v>49</v>
      </c>
      <c r="B4" t="s">
        <v>13</v>
      </c>
      <c r="C4" t="s">
        <v>0</v>
      </c>
      <c r="D4" t="s">
        <v>24</v>
      </c>
      <c r="E4" t="s">
        <v>44</v>
      </c>
      <c r="F4" t="s">
        <v>48</v>
      </c>
    </row>
    <row r="5" spans="1:6">
      <c r="A5" s="10">
        <v>0</v>
      </c>
      <c r="B5" s="11">
        <v>842.3</v>
      </c>
      <c r="C5" s="11">
        <v>835.9</v>
      </c>
      <c r="D5" s="11">
        <v>805.9</v>
      </c>
      <c r="E5" s="11">
        <v>815.6</v>
      </c>
      <c r="F5" s="11">
        <v>3299.7</v>
      </c>
    </row>
    <row r="6" spans="1:6">
      <c r="A6" s="10">
        <v>1</v>
      </c>
      <c r="B6" s="11">
        <v>842.4</v>
      </c>
      <c r="C6" s="11">
        <v>836.2</v>
      </c>
      <c r="D6" s="11">
        <v>805.7</v>
      </c>
      <c r="E6" s="11">
        <v>815.5</v>
      </c>
      <c r="F6" s="11">
        <v>3299.8</v>
      </c>
    </row>
    <row r="7" spans="1:6">
      <c r="A7" s="10">
        <v>2</v>
      </c>
      <c r="B7" s="11">
        <v>826</v>
      </c>
      <c r="C7" s="11">
        <v>838.4</v>
      </c>
      <c r="D7" s="11">
        <v>805.8</v>
      </c>
      <c r="E7" s="11">
        <v>815.8</v>
      </c>
      <c r="F7" s="11">
        <v>3286</v>
      </c>
    </row>
    <row r="8" spans="1:6">
      <c r="A8" s="10">
        <v>3</v>
      </c>
      <c r="B8" s="11">
        <v>826.6</v>
      </c>
      <c r="C8" s="11">
        <v>857.4</v>
      </c>
      <c r="D8" s="11">
        <v>805.8</v>
      </c>
      <c r="E8" s="11">
        <v>815.8</v>
      </c>
      <c r="F8" s="11">
        <v>3305.6000000000004</v>
      </c>
    </row>
    <row r="9" spans="1:6">
      <c r="A9" s="10">
        <v>4</v>
      </c>
      <c r="B9" s="11">
        <v>826.5</v>
      </c>
      <c r="C9" s="11">
        <v>873.5</v>
      </c>
      <c r="D9" s="11">
        <v>805.6</v>
      </c>
      <c r="E9" s="11">
        <v>815.9</v>
      </c>
      <c r="F9" s="11">
        <v>3321.5</v>
      </c>
    </row>
    <row r="10" spans="1:6">
      <c r="A10" s="10">
        <v>5</v>
      </c>
      <c r="B10" s="11">
        <v>892.4</v>
      </c>
      <c r="C10" s="11">
        <v>873.9</v>
      </c>
      <c r="D10" s="11">
        <v>806</v>
      </c>
      <c r="E10" s="11">
        <v>816</v>
      </c>
      <c r="F10" s="11">
        <v>3388.3</v>
      </c>
    </row>
    <row r="11" spans="1:6">
      <c r="A11" s="10">
        <v>6</v>
      </c>
      <c r="B11" s="11">
        <v>892.5</v>
      </c>
      <c r="C11" s="11">
        <v>873.5</v>
      </c>
      <c r="D11" s="11">
        <v>815.6</v>
      </c>
      <c r="E11" s="11">
        <v>816.2</v>
      </c>
      <c r="F11" s="11">
        <v>3397.8</v>
      </c>
    </row>
    <row r="12" spans="1:6">
      <c r="A12" s="10">
        <v>7</v>
      </c>
      <c r="B12" s="11">
        <v>892.5</v>
      </c>
      <c r="C12" s="11">
        <v>873.6</v>
      </c>
      <c r="D12" s="11">
        <v>797.9</v>
      </c>
      <c r="E12" s="11">
        <v>841.8</v>
      </c>
      <c r="F12" s="11">
        <v>3405.8</v>
      </c>
    </row>
    <row r="13" spans="1:6">
      <c r="A13" s="10">
        <v>8</v>
      </c>
      <c r="B13" s="11">
        <v>892.2</v>
      </c>
      <c r="C13" s="11">
        <v>873.6</v>
      </c>
      <c r="D13" s="11">
        <v>797.9</v>
      </c>
      <c r="E13" s="11">
        <v>841.9</v>
      </c>
      <c r="F13" s="11">
        <v>3405.6000000000004</v>
      </c>
    </row>
    <row r="14" spans="1:6">
      <c r="A14" s="10">
        <v>9</v>
      </c>
      <c r="B14" s="11">
        <v>892.7</v>
      </c>
      <c r="C14" s="11"/>
      <c r="D14" s="11">
        <v>798.4</v>
      </c>
      <c r="E14" s="11">
        <v>842.4</v>
      </c>
      <c r="F14" s="11">
        <v>2533.5</v>
      </c>
    </row>
    <row r="15" spans="1:6">
      <c r="A15" s="10">
        <v>10</v>
      </c>
      <c r="B15" s="11">
        <v>892.8</v>
      </c>
      <c r="C15" s="11"/>
      <c r="D15" s="11">
        <v>798.4</v>
      </c>
      <c r="E15" s="11">
        <v>844.2</v>
      </c>
      <c r="F15" s="11">
        <v>2535.3999999999996</v>
      </c>
    </row>
    <row r="16" spans="1:6">
      <c r="A16" s="10">
        <v>11</v>
      </c>
      <c r="B16" s="11"/>
      <c r="C16" s="11"/>
      <c r="D16" s="11">
        <v>798.2</v>
      </c>
      <c r="E16" s="11"/>
      <c r="F16" s="11">
        <v>798.2</v>
      </c>
    </row>
    <row r="17" spans="1:6">
      <c r="A17" s="10">
        <v>12</v>
      </c>
      <c r="B17" s="11"/>
      <c r="C17" s="11"/>
      <c r="D17" s="11">
        <v>798.3</v>
      </c>
      <c r="E17" s="11"/>
      <c r="F17" s="11">
        <v>798.3</v>
      </c>
    </row>
    <row r="18" spans="1:6">
      <c r="A18" s="10">
        <v>13</v>
      </c>
      <c r="B18" s="11"/>
      <c r="C18" s="11"/>
      <c r="D18" s="11">
        <v>798.5</v>
      </c>
      <c r="E18" s="11"/>
      <c r="F18" s="11">
        <v>798.5</v>
      </c>
    </row>
    <row r="19" spans="1:6">
      <c r="A19" s="10" t="s">
        <v>48</v>
      </c>
      <c r="B19" s="11">
        <v>9518.8999999999978</v>
      </c>
      <c r="C19" s="11">
        <v>7736</v>
      </c>
      <c r="D19" s="11">
        <v>11237.999999999998</v>
      </c>
      <c r="E19" s="11">
        <v>9081.1</v>
      </c>
      <c r="F19" s="11">
        <v>37574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DD2C0-7666-4340-90E9-F4F2608EA92B}">
  <dimension ref="A1"/>
  <sheetViews>
    <sheetView workbookViewId="0">
      <selection activeCell="J10" sqref="J10"/>
    </sheetView>
  </sheetViews>
  <sheetFormatPr baseColWidth="10" defaultRowHeight="16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F2816-BB45-6E4A-82A3-06F988945424}">
  <dimension ref="A1"/>
  <sheetViews>
    <sheetView tabSelected="1" workbookViewId="0">
      <selection activeCell="H20" sqref="H20"/>
    </sheetView>
  </sheetViews>
  <sheetFormatPr baseColWidth="10" defaultRowHeight="16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Sheet3 (2)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WEERASINGHE P D L L</dc:creator>
  <cp:lastModifiedBy>WEERASINGHE P D L L</cp:lastModifiedBy>
  <dcterms:created xsi:type="dcterms:W3CDTF">2026-01-02T08:37:20Z</dcterms:created>
  <dcterms:modified xsi:type="dcterms:W3CDTF">2026-01-02T09:08:00Z</dcterms:modified>
</cp:coreProperties>
</file>