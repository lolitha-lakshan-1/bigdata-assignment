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litha/Documents/MSC/BigData/Assignment/Final2/Task_4/Flink Results/tiktok-partition-1/"/>
    </mc:Choice>
  </mc:AlternateContent>
  <xr:revisionPtr revIDLastSave="0" documentId="13_ncr:1_{621A992C-458D-D84D-BAA6-3BB1ED317B77}" xr6:coauthVersionLast="47" xr6:coauthVersionMax="47" xr10:uidLastSave="{00000000-0000-0000-0000-000000000000}"/>
  <bookViews>
    <workbookView xWindow="780" yWindow="1120" windowWidth="27640" windowHeight="15740" activeTab="5" xr2:uid="{964C6D07-B1F5-3C47-82F1-4D60C78D0E8A}"/>
  </bookViews>
  <sheets>
    <sheet name="Sheet1" sheetId="1" r:id="rId1"/>
    <sheet name="Sheet2" sheetId="2" r:id="rId2"/>
    <sheet name="Sheet4 (3)" sheetId="13" r:id="rId3"/>
    <sheet name="Sheet4" sheetId="11" r:id="rId4"/>
    <sheet name="Sheet4 (2)" sheetId="12" r:id="rId5"/>
    <sheet name="Sheet7" sheetId="14" r:id="rId6"/>
  </sheets>
  <calcPr calcId="191029"/>
  <pivotCaches>
    <pivotCache cacheId="5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F22" i="2"/>
  <c r="F23" i="2"/>
  <c r="E16" i="2"/>
  <c r="E17" i="2"/>
  <c r="F17" i="2" s="1"/>
  <c r="E18" i="2"/>
  <c r="F18" i="2" s="1"/>
  <c r="E19" i="2"/>
  <c r="F19" i="2" s="1"/>
  <c r="E20" i="2"/>
  <c r="F20" i="2" s="1"/>
  <c r="E21" i="2"/>
  <c r="E22" i="2"/>
  <c r="E23" i="2"/>
  <c r="E24" i="2"/>
  <c r="F24" i="2" s="1"/>
  <c r="E25" i="2"/>
  <c r="F25" i="2" s="1"/>
  <c r="E26" i="2"/>
  <c r="F26" i="2" s="1"/>
  <c r="F2" i="2"/>
  <c r="E2" i="2"/>
  <c r="E3" i="2"/>
  <c r="E4" i="2"/>
  <c r="E5" i="2"/>
  <c r="E6" i="2"/>
  <c r="E7" i="2"/>
  <c r="E8" i="2"/>
  <c r="F8" i="2" s="1"/>
  <c r="E9" i="2"/>
  <c r="F9" i="2" s="1"/>
  <c r="E10" i="2"/>
  <c r="E11" i="2"/>
  <c r="E12" i="2"/>
  <c r="F12" i="2" s="1"/>
  <c r="E13" i="2"/>
  <c r="F13" i="2" s="1"/>
  <c r="E14" i="2"/>
  <c r="F14" i="2" s="1"/>
  <c r="E15" i="2"/>
  <c r="F21" i="2" l="1"/>
  <c r="F7" i="2"/>
  <c r="F11" i="2"/>
  <c r="F5" i="2"/>
  <c r="F4" i="2"/>
  <c r="F3" i="2"/>
  <c r="F10" i="2"/>
  <c r="F6" i="2"/>
  <c r="F15" i="2"/>
</calcChain>
</file>

<file path=xl/sharedStrings.xml><?xml version="1.0" encoding="utf-8"?>
<sst xmlns="http://schemas.openxmlformats.org/spreadsheetml/2006/main" count="104" uniqueCount="36">
  <si>
    <t>timestamp</t>
  </si>
  <si>
    <t>cpu_perc</t>
  </si>
  <si>
    <t>mem_usage</t>
  </si>
  <si>
    <t>mem_perc</t>
  </si>
  <si>
    <t>Dataset</t>
  </si>
  <si>
    <t>TikTok</t>
  </si>
  <si>
    <t>Twitter</t>
  </si>
  <si>
    <t>805.9MiB / 5.787GiB</t>
  </si>
  <si>
    <t>805.7MiB / 5.787GiB</t>
  </si>
  <si>
    <t>805.8MiB / 5.787GiB</t>
  </si>
  <si>
    <t>805.6MiB / 5.787GiB</t>
  </si>
  <si>
    <t>806MiB / 5.787GiB</t>
  </si>
  <si>
    <t>815.6MiB / 5.787GiB</t>
  </si>
  <si>
    <t>797.9MiB / 5.787GiB</t>
  </si>
  <si>
    <t>798.4MiB / 5.787GiB</t>
  </si>
  <si>
    <t>798.2MiB / 5.787GiB</t>
  </si>
  <si>
    <t>798.3MiB / 5.787GiB</t>
  </si>
  <si>
    <t>798.5MiB / 5.787GiB</t>
  </si>
  <si>
    <t>Row Labels</t>
  </si>
  <si>
    <t>Grand Total</t>
  </si>
  <si>
    <t>Column Labels</t>
  </si>
  <si>
    <t>Sum of cpu_perc</t>
  </si>
  <si>
    <t>mem_used</t>
  </si>
  <si>
    <t>mem_delta</t>
  </si>
  <si>
    <t>Sum of mem_delta</t>
  </si>
  <si>
    <t>842.3MiB / 5.787GiB</t>
  </si>
  <si>
    <t>842.4MiB / 5.787GiB</t>
  </si>
  <si>
    <t>826MiB / 5.787GiB</t>
  </si>
  <si>
    <t>826.6MiB / 5.787GiB</t>
  </si>
  <si>
    <t>826.5MiB / 5.787GiB</t>
  </si>
  <si>
    <t>892.4MiB / 5.787GiB</t>
  </si>
  <si>
    <t>892.5MiB / 5.787GiB</t>
  </si>
  <si>
    <t>892.2MiB / 5.787GiB</t>
  </si>
  <si>
    <t>892.7MiB / 5.787GiB</t>
  </si>
  <si>
    <t>892.8MiB / 5.787GiB</t>
  </si>
  <si>
    <t>Sum of mem_used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</si>
</sst>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sz val="12"/>
      <color theme="1"/>
      <name val="Aptos Narrow"/>
      <scheme val="minor"/>
    </font>
    <font>
      <sz val="11"/>
      <color theme="1"/>
      <name val="Menlo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2" fontId="1" fillId="0" borderId="0" xfId="0" applyNumberFormat="1" applyFont="1"/>
    <xf numFmtId="10" fontId="0" fillId="0" borderId="0" xfId="0" applyNumberFormat="1"/>
    <xf numFmtId="0" fontId="2" fillId="0" borderId="0" xfId="0" applyFont="1"/>
    <xf numFmtId="10" fontId="2" fillId="0" borderId="0" xfId="0" applyNumberFormat="1" applyFont="1"/>
    <xf numFmtId="2" fontId="0" fillId="0" borderId="0" xfId="0" applyNumberFormat="1"/>
    <xf numFmtId="0" fontId="0" fillId="0" borderId="0" xfId="0" pivotButton="1"/>
    <xf numFmtId="1" fontId="3" fillId="0" borderId="0" xfId="0" applyNumberFormat="1" applyFont="1"/>
    <xf numFmtId="1" fontId="1" fillId="0" borderId="0" xfId="0" applyNumberFormat="1" applyFon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enl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[stats_tiktok copy.xlsx]Sheet4 (3)!PivotTable6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 Delta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'Sheet4 (3)'!$B$3:$B$4</c:f>
              <c:strCache>
                <c:ptCount val="1"/>
                <c:pt idx="0">
                  <c:v>TikTok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'Sheet4 (3)'!$A$5:$A$19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'Sheet4 (3)'!$B$5:$B$19</c:f>
              <c:numCache>
                <c:formatCode>General</c:formatCode>
                <c:ptCount val="14"/>
                <c:pt idx="0">
                  <c:v>0</c:v>
                </c:pt>
                <c:pt idx="1">
                  <c:v>0.10000000000002274</c:v>
                </c:pt>
                <c:pt idx="2">
                  <c:v>-16.399999999999977</c:v>
                </c:pt>
                <c:pt idx="3">
                  <c:v>0.60000000000002274</c:v>
                </c:pt>
                <c:pt idx="4">
                  <c:v>-0.10000000000002274</c:v>
                </c:pt>
                <c:pt idx="5">
                  <c:v>65.899999999999977</c:v>
                </c:pt>
                <c:pt idx="6">
                  <c:v>0.10000000000002274</c:v>
                </c:pt>
                <c:pt idx="7">
                  <c:v>0</c:v>
                </c:pt>
                <c:pt idx="8">
                  <c:v>-0.29999999999995453</c:v>
                </c:pt>
                <c:pt idx="9">
                  <c:v>0.5</c:v>
                </c:pt>
                <c:pt idx="10">
                  <c:v>9.9999999999909051E-2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14-F94D-9DF4-E2E8ADAB2578}"/>
            </c:ext>
          </c:extLst>
        </c:ser>
        <c:ser>
          <c:idx val="1"/>
          <c:order val="1"/>
          <c:tx>
            <c:strRef>
              <c:f>'Sheet4 (3)'!$C$3:$C$4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'Sheet4 (3)'!$A$5:$A$19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'Sheet4 (3)'!$C$5:$C$19</c:f>
              <c:numCache>
                <c:formatCode>General</c:formatCode>
                <c:ptCount val="14"/>
                <c:pt idx="0">
                  <c:v>0</c:v>
                </c:pt>
                <c:pt idx="1">
                  <c:v>-0.19999999999993179</c:v>
                </c:pt>
                <c:pt idx="2">
                  <c:v>9.9999999999909051E-2</c:v>
                </c:pt>
                <c:pt idx="3">
                  <c:v>0</c:v>
                </c:pt>
                <c:pt idx="4">
                  <c:v>-0.19999999999993179</c:v>
                </c:pt>
                <c:pt idx="5">
                  <c:v>0.39999999999997726</c:v>
                </c:pt>
                <c:pt idx="6">
                  <c:v>9.6000000000000227</c:v>
                </c:pt>
                <c:pt idx="7">
                  <c:v>-17.700000000000045</c:v>
                </c:pt>
                <c:pt idx="8">
                  <c:v>0</c:v>
                </c:pt>
                <c:pt idx="9">
                  <c:v>0.5</c:v>
                </c:pt>
                <c:pt idx="10">
                  <c:v>0</c:v>
                </c:pt>
                <c:pt idx="11">
                  <c:v>-0.19999999999993179</c:v>
                </c:pt>
                <c:pt idx="12">
                  <c:v>9.9999999999909051E-2</c:v>
                </c:pt>
                <c:pt idx="13">
                  <c:v>0.20000000000004547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14-F94D-9DF4-E2E8ADAB2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710463"/>
        <c:axId val="563585791"/>
      </c:lineChart>
      <c:catAx>
        <c:axId val="36171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585791"/>
        <c:crosses val="autoZero"/>
        <c:auto val="1"/>
        <c:lblAlgn val="ctr"/>
        <c:lblOffset val="100"/>
        <c:noMultiLvlLbl val="0"/>
      </c:catAx>
      <c:valAx>
        <c:axId val="5635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Mib</a:t>
                </a:r>
                <a:r>
                  <a:rPr lang="en-US" baseline="0"/>
                  <a:t> Delta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71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[stats_tiktok copy.xlsx]Sheet4!PivotTable6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TikTok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Sheet4!$B$5:$B$19</c:f>
              <c:numCache>
                <c:formatCode>General</c:formatCode>
                <c:ptCount val="14"/>
                <c:pt idx="0">
                  <c:v>842.3</c:v>
                </c:pt>
                <c:pt idx="1">
                  <c:v>842.4</c:v>
                </c:pt>
                <c:pt idx="2">
                  <c:v>826</c:v>
                </c:pt>
                <c:pt idx="3">
                  <c:v>826.6</c:v>
                </c:pt>
                <c:pt idx="4">
                  <c:v>826.5</c:v>
                </c:pt>
                <c:pt idx="5">
                  <c:v>892.4</c:v>
                </c:pt>
                <c:pt idx="6">
                  <c:v>892.5</c:v>
                </c:pt>
                <c:pt idx="7">
                  <c:v>892.5</c:v>
                </c:pt>
                <c:pt idx="8">
                  <c:v>892.2</c:v>
                </c:pt>
                <c:pt idx="9">
                  <c:v>892.7</c:v>
                </c:pt>
                <c:pt idx="10">
                  <c:v>892.8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C0-3C45-974E-CAC4EA1312DB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Sheet4!$C$5:$C$19</c:f>
              <c:numCache>
                <c:formatCode>General</c:formatCode>
                <c:ptCount val="14"/>
                <c:pt idx="0">
                  <c:v>805.9</c:v>
                </c:pt>
                <c:pt idx="1">
                  <c:v>805.7</c:v>
                </c:pt>
                <c:pt idx="2">
                  <c:v>805.8</c:v>
                </c:pt>
                <c:pt idx="3">
                  <c:v>805.8</c:v>
                </c:pt>
                <c:pt idx="4">
                  <c:v>805.6</c:v>
                </c:pt>
                <c:pt idx="5">
                  <c:v>806</c:v>
                </c:pt>
                <c:pt idx="6">
                  <c:v>815.6</c:v>
                </c:pt>
                <c:pt idx="7">
                  <c:v>797.9</c:v>
                </c:pt>
                <c:pt idx="8">
                  <c:v>797.9</c:v>
                </c:pt>
                <c:pt idx="9">
                  <c:v>798.4</c:v>
                </c:pt>
                <c:pt idx="10">
                  <c:v>798.4</c:v>
                </c:pt>
                <c:pt idx="11">
                  <c:v>798.2</c:v>
                </c:pt>
                <c:pt idx="12">
                  <c:v>798.3</c:v>
                </c:pt>
                <c:pt idx="13">
                  <c:v>798.5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C0-3C45-974E-CAC4EA131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710463"/>
        <c:axId val="563585791"/>
      </c:lineChart>
      <c:catAx>
        <c:axId val="36171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585791"/>
        <c:crosses val="autoZero"/>
        <c:auto val="1"/>
        <c:lblAlgn val="ctr"/>
        <c:lblOffset val="100"/>
        <c:noMultiLvlLbl val="0"/>
      </c:catAx>
      <c:valAx>
        <c:axId val="5635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MiB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71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[stats_tiktok copy.xlsx]Sheet4 (2)!PivotTable6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'Sheet4 (2)'!$B$3:$B$4</c:f>
              <c:strCache>
                <c:ptCount val="1"/>
                <c:pt idx="0">
                  <c:v>TikTok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'Sheet4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'Sheet4 (2)'!$B$5:$B$19</c:f>
              <c:numCache>
                <c:formatCode>0.00%</c:formatCode>
                <c:ptCount val="14"/>
                <c:pt idx="0">
                  <c:v>0.24729999999999999</c:v>
                </c:pt>
                <c:pt idx="1">
                  <c:v>3.78E-2</c:v>
                </c:pt>
                <c:pt idx="2">
                  <c:v>4.8000000000000001E-2</c:v>
                </c:pt>
                <c:pt idx="3">
                  <c:v>5.16E-2</c:v>
                </c:pt>
                <c:pt idx="4">
                  <c:v>5.4800000000000001E-2</c:v>
                </c:pt>
                <c:pt idx="5">
                  <c:v>0.56930000000000003</c:v>
                </c:pt>
                <c:pt idx="6">
                  <c:v>0.14249999999999999</c:v>
                </c:pt>
                <c:pt idx="7">
                  <c:v>4.02E-2</c:v>
                </c:pt>
                <c:pt idx="8">
                  <c:v>4.0300000000000002E-2</c:v>
                </c:pt>
                <c:pt idx="9">
                  <c:v>5.74E-2</c:v>
                </c:pt>
                <c:pt idx="10">
                  <c:v>5.6399999999999999E-2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FE-8C4F-ADFC-A3CE67F7B4EB}"/>
            </c:ext>
          </c:extLst>
        </c:ser>
        <c:ser>
          <c:idx val="1"/>
          <c:order val="1"/>
          <c:tx>
            <c:strRef>
              <c:f>'Sheet4 (2)'!$C$3:$C$4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'Sheet4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'Sheet4 (2)'!$C$5:$C$19</c:f>
              <c:numCache>
                <c:formatCode>0.00%</c:formatCode>
                <c:ptCount val="14"/>
                <c:pt idx="0">
                  <c:v>0.27579999999999999</c:v>
                </c:pt>
                <c:pt idx="1">
                  <c:v>3.27E-2</c:v>
                </c:pt>
                <c:pt idx="2">
                  <c:v>2.52E-2</c:v>
                </c:pt>
                <c:pt idx="3">
                  <c:v>5.9900000000000002E-2</c:v>
                </c:pt>
                <c:pt idx="4">
                  <c:v>0.1137</c:v>
                </c:pt>
                <c:pt idx="5">
                  <c:v>3.7999999999999999E-2</c:v>
                </c:pt>
                <c:pt idx="6">
                  <c:v>1.1523000000000001</c:v>
                </c:pt>
                <c:pt idx="7">
                  <c:v>2.7400000000000001E-2</c:v>
                </c:pt>
                <c:pt idx="8">
                  <c:v>3.1300000000000001E-2</c:v>
                </c:pt>
                <c:pt idx="9">
                  <c:v>2.4299999999999999E-2</c:v>
                </c:pt>
                <c:pt idx="10">
                  <c:v>3.9800000000000002E-2</c:v>
                </c:pt>
                <c:pt idx="11">
                  <c:v>4.8000000000000001E-2</c:v>
                </c:pt>
                <c:pt idx="12">
                  <c:v>3.6900000000000002E-2</c:v>
                </c:pt>
                <c:pt idx="13">
                  <c:v>2.8799999999999999E-2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FE-8C4F-ADFC-A3CE67F7B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710463"/>
        <c:axId val="563585791"/>
      </c:lineChart>
      <c:catAx>
        <c:axId val="36171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585791"/>
        <c:crosses val="autoZero"/>
        <c:auto val="1"/>
        <c:lblAlgn val="ctr"/>
        <c:lblOffset val="100"/>
        <c:noMultiLvlLbl val="0"/>
      </c:catAx>
      <c:valAx>
        <c:axId val="5635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71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[stats_tiktok copy.xlsx]Sheet4 (2)!PivotTable6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'Sheet4 (2)'!$B$3:$B$4</c:f>
              <c:strCache>
                <c:ptCount val="1"/>
                <c:pt idx="0">
                  <c:v>TikTok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'Sheet4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'Sheet4 (2)'!$B$5:$B$19</c:f>
              <c:numCache>
                <c:formatCode>0.00%</c:formatCode>
                <c:ptCount val="14"/>
                <c:pt idx="0">
                  <c:v>0.24729999999999999</c:v>
                </c:pt>
                <c:pt idx="1">
                  <c:v>3.78E-2</c:v>
                </c:pt>
                <c:pt idx="2">
                  <c:v>4.8000000000000001E-2</c:v>
                </c:pt>
                <c:pt idx="3">
                  <c:v>5.16E-2</c:v>
                </c:pt>
                <c:pt idx="4">
                  <c:v>5.4800000000000001E-2</c:v>
                </c:pt>
                <c:pt idx="5">
                  <c:v>0.56930000000000003</c:v>
                </c:pt>
                <c:pt idx="6">
                  <c:v>0.14249999999999999</c:v>
                </c:pt>
                <c:pt idx="7">
                  <c:v>4.02E-2</c:v>
                </c:pt>
                <c:pt idx="8">
                  <c:v>4.0300000000000002E-2</c:v>
                </c:pt>
                <c:pt idx="9">
                  <c:v>5.74E-2</c:v>
                </c:pt>
                <c:pt idx="10">
                  <c:v>5.6399999999999999E-2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50-6742-AE22-E56A9079AD90}"/>
            </c:ext>
          </c:extLst>
        </c:ser>
        <c:ser>
          <c:idx val="1"/>
          <c:order val="1"/>
          <c:tx>
            <c:strRef>
              <c:f>'Sheet4 (2)'!$C$3:$C$4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'Sheet4 (2)'!$A$5:$A$19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'Sheet4 (2)'!$C$5:$C$19</c:f>
              <c:numCache>
                <c:formatCode>0.00%</c:formatCode>
                <c:ptCount val="14"/>
                <c:pt idx="0">
                  <c:v>0.27579999999999999</c:v>
                </c:pt>
                <c:pt idx="1">
                  <c:v>3.27E-2</c:v>
                </c:pt>
                <c:pt idx="2">
                  <c:v>2.52E-2</c:v>
                </c:pt>
                <c:pt idx="3">
                  <c:v>5.9900000000000002E-2</c:v>
                </c:pt>
                <c:pt idx="4">
                  <c:v>0.1137</c:v>
                </c:pt>
                <c:pt idx="5">
                  <c:v>3.7999999999999999E-2</c:v>
                </c:pt>
                <c:pt idx="6">
                  <c:v>1.1523000000000001</c:v>
                </c:pt>
                <c:pt idx="7">
                  <c:v>2.7400000000000001E-2</c:v>
                </c:pt>
                <c:pt idx="8">
                  <c:v>3.1300000000000001E-2</c:v>
                </c:pt>
                <c:pt idx="9">
                  <c:v>2.4299999999999999E-2</c:v>
                </c:pt>
                <c:pt idx="10">
                  <c:v>3.9800000000000002E-2</c:v>
                </c:pt>
                <c:pt idx="11">
                  <c:v>4.8000000000000001E-2</c:v>
                </c:pt>
                <c:pt idx="12">
                  <c:v>3.6900000000000002E-2</c:v>
                </c:pt>
                <c:pt idx="13">
                  <c:v>2.8799999999999999E-2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50-6742-AE22-E56A9079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710463"/>
        <c:axId val="563585791"/>
      </c:lineChart>
      <c:catAx>
        <c:axId val="36171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585791"/>
        <c:crosses val="autoZero"/>
        <c:auto val="1"/>
        <c:lblAlgn val="ctr"/>
        <c:lblOffset val="100"/>
        <c:noMultiLvlLbl val="0"/>
      </c:catAx>
      <c:valAx>
        <c:axId val="5635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71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[stats_tiktok copy.xlsx]Sheet4!PivotTable6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TikTok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Sheet4!$B$5:$B$19</c:f>
              <c:numCache>
                <c:formatCode>General</c:formatCode>
                <c:ptCount val="14"/>
                <c:pt idx="0">
                  <c:v>842.3</c:v>
                </c:pt>
                <c:pt idx="1">
                  <c:v>842.4</c:v>
                </c:pt>
                <c:pt idx="2">
                  <c:v>826</c:v>
                </c:pt>
                <c:pt idx="3">
                  <c:v>826.6</c:v>
                </c:pt>
                <c:pt idx="4">
                  <c:v>826.5</c:v>
                </c:pt>
                <c:pt idx="5">
                  <c:v>892.4</c:v>
                </c:pt>
                <c:pt idx="6">
                  <c:v>892.5</c:v>
                </c:pt>
                <c:pt idx="7">
                  <c:v>892.5</c:v>
                </c:pt>
                <c:pt idx="8">
                  <c:v>892.2</c:v>
                </c:pt>
                <c:pt idx="9">
                  <c:v>892.7</c:v>
                </c:pt>
                <c:pt idx="10">
                  <c:v>892.8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73-6446-8482-6360BADB5FD1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Sheet4!$A$5:$A$19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strCache>
            </c:strRef>
          </c:cat>
          <c:val>
            <c:numRef>
              <c:f>Sheet4!$C$5:$C$19</c:f>
              <c:numCache>
                <c:formatCode>General</c:formatCode>
                <c:ptCount val="14"/>
                <c:pt idx="0">
                  <c:v>805.9</c:v>
                </c:pt>
                <c:pt idx="1">
                  <c:v>805.7</c:v>
                </c:pt>
                <c:pt idx="2">
                  <c:v>805.8</c:v>
                </c:pt>
                <c:pt idx="3">
                  <c:v>805.8</c:v>
                </c:pt>
                <c:pt idx="4">
                  <c:v>805.6</c:v>
                </c:pt>
                <c:pt idx="5">
                  <c:v>806</c:v>
                </c:pt>
                <c:pt idx="6">
                  <c:v>815.6</c:v>
                </c:pt>
                <c:pt idx="7">
                  <c:v>797.9</c:v>
                </c:pt>
                <c:pt idx="8">
                  <c:v>797.9</c:v>
                </c:pt>
                <c:pt idx="9">
                  <c:v>798.4</c:v>
                </c:pt>
                <c:pt idx="10">
                  <c:v>798.4</c:v>
                </c:pt>
                <c:pt idx="11">
                  <c:v>798.2</c:v>
                </c:pt>
                <c:pt idx="12">
                  <c:v>798.3</c:v>
                </c:pt>
                <c:pt idx="13">
                  <c:v>798.5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3-6446-8482-6360BADB5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710463"/>
        <c:axId val="563585791"/>
      </c:lineChart>
      <c:catAx>
        <c:axId val="36171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585791"/>
        <c:crosses val="autoZero"/>
        <c:auto val="1"/>
        <c:lblAlgn val="ctr"/>
        <c:lblOffset val="100"/>
        <c:noMultiLvlLbl val="0"/>
      </c:catAx>
      <c:valAx>
        <c:axId val="5635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Memory MiB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71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635000</xdr:colOff>
      <xdr:row>9</xdr:row>
      <xdr:rowOff>95250</xdr:rowOff>
    </xdr:from>
    <xdr:to>
      <xdr:col>10</xdr:col>
      <xdr:colOff>254000</xdr:colOff>
      <xdr:row>22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B845A0-59ED-1B40-9DA5-92BC1DD21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635000</xdr:colOff>
      <xdr:row>9</xdr:row>
      <xdr:rowOff>95250</xdr:rowOff>
    </xdr:from>
    <xdr:to>
      <xdr:col>10</xdr:col>
      <xdr:colOff>254000</xdr:colOff>
      <xdr:row>22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01A010-C5F1-6F3D-8CDA-8B91D1CD7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635000</xdr:colOff>
      <xdr:row>9</xdr:row>
      <xdr:rowOff>95250</xdr:rowOff>
    </xdr:from>
    <xdr:to>
      <xdr:col>10</xdr:col>
      <xdr:colOff>254000</xdr:colOff>
      <xdr:row>22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61F358-AF16-F44F-8A5C-0E2031747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812800</xdr:colOff>
      <xdr:row>1</xdr:row>
      <xdr:rowOff>190500</xdr:rowOff>
    </xdr:from>
    <xdr:to>
      <xdr:col>6</xdr:col>
      <xdr:colOff>368300</xdr:colOff>
      <xdr:row>27</xdr:row>
      <xdr:rowOff>50800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C730162E-20B9-2B20-EA85-A6910FEECF0A}"/>
            </a:ext>
          </a:extLst>
        </xdr:cNvPr>
        <xdr:cNvGrpSpPr/>
      </xdr:nvGrpSpPr>
      <xdr:grpSpPr>
        <a:xfrm>
          <a:off x="812800" y="393700"/>
          <a:ext cx="4508500" cy="5143500"/>
          <a:chOff x="812800" y="393700"/>
          <a:chExt cx="4508500" cy="51435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F93DA2A9-3D0C-E34C-8F57-52DB42857F2F}"/>
              </a:ext>
            </a:extLst>
          </xdr:cNvPr>
          <xdr:cNvGraphicFramePr>
            <a:graphicFrameLocks/>
          </xdr:cNvGraphicFramePr>
        </xdr:nvGraphicFramePr>
        <xdr:xfrm>
          <a:off x="812800" y="3035300"/>
          <a:ext cx="4508500" cy="2501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F026C9F5-1049-D74A-8704-1AA9BA380CF0}"/>
              </a:ext>
            </a:extLst>
          </xdr:cNvPr>
          <xdr:cNvGraphicFramePr>
            <a:graphicFrameLocks/>
          </xdr:cNvGraphicFramePr>
        </xdr:nvGraphicFramePr>
        <xdr:xfrm>
          <a:off x="812800" y="393700"/>
          <a:ext cx="4508500" cy="2641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litha Lakshan" refreshedDate="46024.439409143517" createdVersion="8" refreshedVersion="8" minRefreshableVersion="3" recordCount="25" xr:uid="{20BB3C00-6E03-F24E-9217-B265888280DE}">
  <cacheSource type="worksheet">
    <worksheetSource name="Table1"/>
  </cacheSource>
  <cacheFields count="6">
    <cacheField name="Dataset" numFmtId="0">
      <sharedItems count="2">
        <s v="Twitter"/>
        <s v="TikTok"/>
      </sharedItems>
    </cacheField>
    <cacheField name="timestamp" numFmtId="1">
      <sharedItems containsSemiMixedTypes="0" containsString="0" containsNumber="1" containsInteger="1" minValue="0" maxValue="13" count="1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cpu_perc" numFmtId="10">
      <sharedItems containsSemiMixedTypes="0" containsString="0" containsNumber="1" minValue="2.4299999999999999E-2" maxValue="1.1523000000000001"/>
    </cacheField>
    <cacheField name="mem_usage" numFmtId="0">
      <sharedItems/>
    </cacheField>
    <cacheField name="mem_used" numFmtId="0">
      <sharedItems containsSemiMixedTypes="0" containsString="0" containsNumber="1" minValue="797.9" maxValue="892.8"/>
    </cacheField>
    <cacheField name="mem_delta" numFmtId="0">
      <sharedItems containsSemiMixedTypes="0" containsString="0" containsNumber="1" minValue="-17.700000000000045" maxValue="65.8999999999999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n v="0.27579999999999999"/>
    <s v="805.9MiB / 5.787GiB"/>
    <n v="805.9"/>
    <n v="0"/>
  </r>
  <r>
    <x v="0"/>
    <x v="1"/>
    <n v="3.27E-2"/>
    <s v="805.7MiB / 5.787GiB"/>
    <n v="805.7"/>
    <n v="-0.19999999999993179"/>
  </r>
  <r>
    <x v="0"/>
    <x v="2"/>
    <n v="2.52E-2"/>
    <s v="805.8MiB / 5.787GiB"/>
    <n v="805.8"/>
    <n v="9.9999999999909051E-2"/>
  </r>
  <r>
    <x v="0"/>
    <x v="3"/>
    <n v="5.9900000000000002E-2"/>
    <s v="805.8MiB / 5.787GiB"/>
    <n v="805.8"/>
    <n v="0"/>
  </r>
  <r>
    <x v="0"/>
    <x v="4"/>
    <n v="0.1137"/>
    <s v="805.6MiB / 5.787GiB"/>
    <n v="805.6"/>
    <n v="-0.19999999999993179"/>
  </r>
  <r>
    <x v="0"/>
    <x v="5"/>
    <n v="3.7999999999999999E-2"/>
    <s v="806MiB / 5.787GiB"/>
    <n v="806"/>
    <n v="0.39999999999997726"/>
  </r>
  <r>
    <x v="0"/>
    <x v="6"/>
    <n v="1.1523000000000001"/>
    <s v="815.6MiB / 5.787GiB"/>
    <n v="815.6"/>
    <n v="9.6000000000000227"/>
  </r>
  <r>
    <x v="0"/>
    <x v="7"/>
    <n v="2.7400000000000001E-2"/>
    <s v="797.9MiB / 5.787GiB"/>
    <n v="797.9"/>
    <n v="-17.700000000000045"/>
  </r>
  <r>
    <x v="0"/>
    <x v="8"/>
    <n v="3.1300000000000001E-2"/>
    <s v="797.9MiB / 5.787GiB"/>
    <n v="797.9"/>
    <n v="0"/>
  </r>
  <r>
    <x v="0"/>
    <x v="9"/>
    <n v="2.4299999999999999E-2"/>
    <s v="798.4MiB / 5.787GiB"/>
    <n v="798.4"/>
    <n v="0.5"/>
  </r>
  <r>
    <x v="0"/>
    <x v="10"/>
    <n v="3.9800000000000002E-2"/>
    <s v="798.4MiB / 5.787GiB"/>
    <n v="798.4"/>
    <n v="0"/>
  </r>
  <r>
    <x v="0"/>
    <x v="11"/>
    <n v="4.8000000000000001E-2"/>
    <s v="798.2MiB / 5.787GiB"/>
    <n v="798.2"/>
    <n v="-0.19999999999993179"/>
  </r>
  <r>
    <x v="0"/>
    <x v="12"/>
    <n v="3.6900000000000002E-2"/>
    <s v="798.3MiB / 5.787GiB"/>
    <n v="798.3"/>
    <n v="9.9999999999909051E-2"/>
  </r>
  <r>
    <x v="0"/>
    <x v="13"/>
    <n v="2.8799999999999999E-2"/>
    <s v="798.5MiB / 5.787GiB"/>
    <n v="798.5"/>
    <n v="0.20000000000004547"/>
  </r>
  <r>
    <x v="1"/>
    <x v="0"/>
    <n v="0.24729999999999999"/>
    <s v="842.3MiB / 5.787GiB"/>
    <n v="842.3"/>
    <n v="0"/>
  </r>
  <r>
    <x v="1"/>
    <x v="1"/>
    <n v="3.78E-2"/>
    <s v="842.4MiB / 5.787GiB"/>
    <n v="842.4"/>
    <n v="0.10000000000002274"/>
  </r>
  <r>
    <x v="1"/>
    <x v="2"/>
    <n v="4.8000000000000001E-2"/>
    <s v="826MiB / 5.787GiB"/>
    <n v="826"/>
    <n v="-16.399999999999977"/>
  </r>
  <r>
    <x v="1"/>
    <x v="3"/>
    <n v="5.16E-2"/>
    <s v="826.6MiB / 5.787GiB"/>
    <n v="826.6"/>
    <n v="0.60000000000002274"/>
  </r>
  <r>
    <x v="1"/>
    <x v="4"/>
    <n v="5.4800000000000001E-2"/>
    <s v="826.5MiB / 5.787GiB"/>
    <n v="826.5"/>
    <n v="-0.10000000000002274"/>
  </r>
  <r>
    <x v="1"/>
    <x v="5"/>
    <n v="0.56930000000000003"/>
    <s v="892.4MiB / 5.787GiB"/>
    <n v="892.4"/>
    <n v="65.899999999999977"/>
  </r>
  <r>
    <x v="1"/>
    <x v="6"/>
    <n v="0.14249999999999999"/>
    <s v="892.5MiB / 5.787GiB"/>
    <n v="892.5"/>
    <n v="0.10000000000002274"/>
  </r>
  <r>
    <x v="1"/>
    <x v="7"/>
    <n v="4.02E-2"/>
    <s v="892.5MiB / 5.787GiB"/>
    <n v="892.5"/>
    <n v="0"/>
  </r>
  <r>
    <x v="1"/>
    <x v="8"/>
    <n v="4.0300000000000002E-2"/>
    <s v="892.2MiB / 5.787GiB"/>
    <n v="892.2"/>
    <n v="-0.29999999999995453"/>
  </r>
  <r>
    <x v="1"/>
    <x v="9"/>
    <n v="5.74E-2"/>
    <s v="892.7MiB / 5.787GiB"/>
    <n v="892.7"/>
    <n v="0.5"/>
  </r>
  <r>
    <x v="1"/>
    <x v="10"/>
    <n v="5.6399999999999999E-2"/>
    <s v="892.8MiB / 5.787GiB"/>
    <n v="892.8"/>
    <n v="9.999999999990905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3A431-5E07-014B-8058-5AFC78FB6EAC}" name="PivotTable6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19" firstHeaderRow="1" firstDataRow="2" firstDataCol="1"/>
  <pivotFields count="6">
    <pivotField axis="axisCol" showAll="0">
      <items count="3">
        <item x="1"/>
        <item x="0"/>
        <item t="default"/>
      </items>
    </pivotField>
    <pivotField axis="axisRow" numFmtI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0" showAll="0"/>
    <pivotField showAll="0"/>
    <pivotField showAll="0"/>
    <pivotField dataField="1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mem_delta" fld="5" baseField="0" baseItem="0"/>
  </dataFields>
  <chartFormats count="12">
    <chartFormat chart="0" format="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F1789-B0C7-8542-993A-CFC4B8E46000}" name="PivotTable6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D19" firstHeaderRow="1" firstDataRow="2" firstDataCol="1"/>
  <pivotFields count="6">
    <pivotField axis="axisCol" showAll="0">
      <items count="3">
        <item x="1"/>
        <item x="0"/>
        <item t="default"/>
      </items>
    </pivotField>
    <pivotField axis="axisRow" numFmtI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0" showAll="0"/>
    <pivotField showAll="0"/>
    <pivotField dataField="1"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mem_used" fld="4" baseField="0" baseItem="0"/>
  </dataFields>
  <chartFormats count="12">
    <chartFormat chart="0" format="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7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7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5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4186A-516A-544B-B786-D4FAE7507FBE}" name="PivotTable6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D19" firstHeaderRow="1" firstDataRow="2" firstDataCol="1"/>
  <pivotFields count="6">
    <pivotField axis="axisCol" showAll="0">
      <items count="3">
        <item x="1"/>
        <item x="0"/>
        <item t="default"/>
      </items>
    </pivotField>
    <pivotField axis="axisRow" numFmtI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0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pu_perc" fld="2" baseField="0" baseItem="0" numFmtId="10"/>
  </dataFields>
  <chartFormats count="12">
    <chartFormat chart="0" format="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EC7054-7C32-9648-8F5B-5F51641F24B7}" name="Table1" displayName="Table1" ref="A1:F26" totalsRowShown="0" headerRowDxfId="4">
  <autoFilter ref="A1:F26" xr:uid="{ECEC7054-7C32-9648-8F5B-5F51641F24B7}"/>
  <tableColumns count="6">
    <tableColumn id="1" xr3:uid="{3B895CED-98E4-8E4A-A707-303A429A63E6}" name="Dataset"/>
    <tableColumn id="2" xr3:uid="{F03E0351-35D6-8B4B-9A9D-AFC0CB6F12C9}" name="timestamp" dataDxfId="3"/>
    <tableColumn id="3" xr3:uid="{9A1806F8-D7AA-6D47-808B-FA5314145BBA}" name="cpu_perc" dataDxfId="2"/>
    <tableColumn id="4" xr3:uid="{2C8A6C50-3290-104C-B62E-770E9246DF30}" name="mem_usage"/>
    <tableColumn id="5" xr3:uid="{F108FBA7-CB80-BB48-92BA-DE238716C0D5}" name="mem_used" dataDxfId="1">
      <calculatedColumnFormula>VALUE(_xlfn.TEXTBEFORE(D2,"MiB"))</calculatedColumnFormula>
    </tableColumn>
    <tableColumn id="6" xr3:uid="{3C93F879-D9EA-A34F-A5CB-6BF5B0C0EA18}" name="mem_delta" dataDxfId="0">
      <calculatedColumnFormula>IF(A2&lt;&gt;A1,0,E2-E1)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1C77-ED1C-AA42-BA41-04508318930D}">
  <dimension ref="A1:E12"/>
  <sheetViews>
    <sheetView workbookViewId="0">
      <selection activeCell="A2" sqref="A2:XFD2"/>
    </sheetView>
  </sheetViews>
  <sheetFormatPr baseColWidth="10" defaultRowHeight="16" x14ac:dyDescent="0.2"/>
  <cols>
    <col min="2" max="2" width="52.1640625" customWidth="1"/>
  </cols>
  <sheetData>
    <row r="1" spans="1:5" x14ac:dyDescent="0.2">
      <c r="A1" t="s">
        <v>4</v>
      </c>
      <c r="B1" s="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5</v>
      </c>
      <c r="B2" s="2">
        <v>46024.436793981484</v>
      </c>
      <c r="C2" s="3">
        <v>0.24729999999999999</v>
      </c>
      <c r="D2" t="s">
        <v>25</v>
      </c>
      <c r="E2" s="3">
        <v>0.14219999999999999</v>
      </c>
    </row>
    <row r="3" spans="1:5" x14ac:dyDescent="0.2">
      <c r="A3" t="s">
        <v>5</v>
      </c>
      <c r="B3" s="2">
        <v>46024.436828703707</v>
      </c>
      <c r="C3" s="3">
        <v>3.78E-2</v>
      </c>
      <c r="D3" t="s">
        <v>26</v>
      </c>
      <c r="E3" s="3">
        <v>0.14219999999999999</v>
      </c>
    </row>
    <row r="4" spans="1:5" x14ac:dyDescent="0.2">
      <c r="A4" t="s">
        <v>5</v>
      </c>
      <c r="B4" s="2">
        <v>46024.436863425923</v>
      </c>
      <c r="C4" s="3">
        <v>4.8000000000000001E-2</v>
      </c>
      <c r="D4" t="s">
        <v>27</v>
      </c>
      <c r="E4" s="3">
        <v>0.1394</v>
      </c>
    </row>
    <row r="5" spans="1:5" x14ac:dyDescent="0.2">
      <c r="A5" t="s">
        <v>5</v>
      </c>
      <c r="B5" s="2">
        <v>46024.436886574076</v>
      </c>
      <c r="C5" s="3">
        <v>5.16E-2</v>
      </c>
      <c r="D5" t="s">
        <v>28</v>
      </c>
      <c r="E5" s="3">
        <v>0.13950000000000001</v>
      </c>
    </row>
    <row r="6" spans="1:5" x14ac:dyDescent="0.2">
      <c r="A6" t="s">
        <v>5</v>
      </c>
      <c r="B6" s="2">
        <v>46024.436921296299</v>
      </c>
      <c r="C6" s="3">
        <v>5.4800000000000001E-2</v>
      </c>
      <c r="D6" t="s">
        <v>29</v>
      </c>
      <c r="E6" s="3">
        <v>0.13950000000000001</v>
      </c>
    </row>
    <row r="7" spans="1:5" x14ac:dyDescent="0.2">
      <c r="A7" t="s">
        <v>5</v>
      </c>
      <c r="B7" s="2">
        <v>46024.436944444446</v>
      </c>
      <c r="C7" s="3">
        <v>0.56930000000000003</v>
      </c>
      <c r="D7" t="s">
        <v>30</v>
      </c>
      <c r="E7" s="3">
        <v>0.15060000000000001</v>
      </c>
    </row>
    <row r="8" spans="1:5" x14ac:dyDescent="0.2">
      <c r="A8" t="s">
        <v>5</v>
      </c>
      <c r="B8" s="2">
        <v>46024.436979166669</v>
      </c>
      <c r="C8" s="3">
        <v>0.14249999999999999</v>
      </c>
      <c r="D8" t="s">
        <v>31</v>
      </c>
      <c r="E8" s="3">
        <v>0.15060000000000001</v>
      </c>
    </row>
    <row r="9" spans="1:5" x14ac:dyDescent="0.2">
      <c r="A9" t="s">
        <v>5</v>
      </c>
      <c r="B9" s="2">
        <v>46024.437013888892</v>
      </c>
      <c r="C9" s="3">
        <v>4.02E-2</v>
      </c>
      <c r="D9" t="s">
        <v>31</v>
      </c>
      <c r="E9" s="3">
        <v>0.15060000000000001</v>
      </c>
    </row>
    <row r="10" spans="1:5" x14ac:dyDescent="0.2">
      <c r="A10" t="s">
        <v>5</v>
      </c>
      <c r="B10" s="2">
        <v>46024.437037037038</v>
      </c>
      <c r="C10" s="3">
        <v>4.0300000000000002E-2</v>
      </c>
      <c r="D10" t="s">
        <v>32</v>
      </c>
      <c r="E10" s="3">
        <v>0.15060000000000001</v>
      </c>
    </row>
    <row r="11" spans="1:5" x14ac:dyDescent="0.2">
      <c r="A11" t="s">
        <v>5</v>
      </c>
      <c r="B11" s="2">
        <v>46024.437071759261</v>
      </c>
      <c r="C11" s="3">
        <v>5.74E-2</v>
      </c>
      <c r="D11" t="s">
        <v>33</v>
      </c>
      <c r="E11" s="3">
        <v>0.1507</v>
      </c>
    </row>
    <row r="12" spans="1:5" x14ac:dyDescent="0.2">
      <c r="A12" t="s">
        <v>5</v>
      </c>
      <c r="B12" s="2">
        <v>46024.437094907407</v>
      </c>
      <c r="C12" s="3">
        <v>5.6399999999999999E-2</v>
      </c>
      <c r="D12" t="s">
        <v>34</v>
      </c>
      <c r="E12" s="3">
        <v>0.1507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E102-8EED-7E40-BA10-986EA7D83A6E}">
  <dimension ref="A1:F26"/>
  <sheetViews>
    <sheetView workbookViewId="0">
      <selection activeCell="F15" sqref="F15"/>
    </sheetView>
  </sheetViews>
  <sheetFormatPr baseColWidth="10" defaultRowHeight="16" x14ac:dyDescent="0.2"/>
  <cols>
    <col min="2" max="2" width="39.83203125" style="6" customWidth="1"/>
    <col min="3" max="3" width="11" customWidth="1"/>
    <col min="4" max="4" width="29" customWidth="1"/>
    <col min="5" max="5" width="10" customWidth="1"/>
  </cols>
  <sheetData>
    <row r="1" spans="1:6" x14ac:dyDescent="0.2">
      <c r="A1" s="4" t="s">
        <v>4</v>
      </c>
      <c r="B1" s="8" t="s">
        <v>0</v>
      </c>
      <c r="C1" s="4" t="s">
        <v>1</v>
      </c>
      <c r="D1" s="4" t="s">
        <v>2</v>
      </c>
      <c r="E1" t="s">
        <v>22</v>
      </c>
      <c r="F1" t="s">
        <v>23</v>
      </c>
    </row>
    <row r="2" spans="1:6" x14ac:dyDescent="0.2">
      <c r="A2" s="4" t="s">
        <v>6</v>
      </c>
      <c r="B2" s="8">
        <v>0</v>
      </c>
      <c r="C2" s="5">
        <v>0.27579999999999999</v>
      </c>
      <c r="D2" s="4" t="s">
        <v>7</v>
      </c>
      <c r="E2">
        <f t="shared" ref="E2:E14" si="0">VALUE(_xlfn.TEXTBEFORE(D2,"MiB"))</f>
        <v>805.9</v>
      </c>
      <c r="F2">
        <f t="shared" ref="F2:F14" si="1">IF(A2&lt;&gt;A1,0,E2-E1)</f>
        <v>0</v>
      </c>
    </row>
    <row r="3" spans="1:6" x14ac:dyDescent="0.2">
      <c r="A3" s="4" t="s">
        <v>6</v>
      </c>
      <c r="B3" s="8">
        <v>1</v>
      </c>
      <c r="C3" s="5">
        <v>3.27E-2</v>
      </c>
      <c r="D3" s="4" t="s">
        <v>8</v>
      </c>
      <c r="E3">
        <f t="shared" si="0"/>
        <v>805.7</v>
      </c>
      <c r="F3">
        <f t="shared" si="1"/>
        <v>-0.19999999999993179</v>
      </c>
    </row>
    <row r="4" spans="1:6" x14ac:dyDescent="0.2">
      <c r="A4" s="4" t="s">
        <v>6</v>
      </c>
      <c r="B4" s="8">
        <v>2</v>
      </c>
      <c r="C4" s="5">
        <v>2.52E-2</v>
      </c>
      <c r="D4" s="4" t="s">
        <v>9</v>
      </c>
      <c r="E4">
        <f t="shared" si="0"/>
        <v>805.8</v>
      </c>
      <c r="F4">
        <f t="shared" si="1"/>
        <v>9.9999999999909051E-2</v>
      </c>
    </row>
    <row r="5" spans="1:6" x14ac:dyDescent="0.2">
      <c r="A5" s="4" t="s">
        <v>6</v>
      </c>
      <c r="B5" s="8">
        <v>3</v>
      </c>
      <c r="C5" s="5">
        <v>5.9900000000000002E-2</v>
      </c>
      <c r="D5" s="4" t="s">
        <v>9</v>
      </c>
      <c r="E5">
        <f t="shared" si="0"/>
        <v>805.8</v>
      </c>
      <c r="F5">
        <f t="shared" si="1"/>
        <v>0</v>
      </c>
    </row>
    <row r="6" spans="1:6" x14ac:dyDescent="0.2">
      <c r="A6" s="4" t="s">
        <v>6</v>
      </c>
      <c r="B6" s="8">
        <v>4</v>
      </c>
      <c r="C6" s="5">
        <v>0.1137</v>
      </c>
      <c r="D6" s="4" t="s">
        <v>10</v>
      </c>
      <c r="E6">
        <f t="shared" si="0"/>
        <v>805.6</v>
      </c>
      <c r="F6">
        <f t="shared" si="1"/>
        <v>-0.19999999999993179</v>
      </c>
    </row>
    <row r="7" spans="1:6" x14ac:dyDescent="0.2">
      <c r="A7" s="4" t="s">
        <v>6</v>
      </c>
      <c r="B7" s="8">
        <v>5</v>
      </c>
      <c r="C7" s="5">
        <v>3.7999999999999999E-2</v>
      </c>
      <c r="D7" s="4" t="s">
        <v>11</v>
      </c>
      <c r="E7">
        <f t="shared" si="0"/>
        <v>806</v>
      </c>
      <c r="F7">
        <f t="shared" si="1"/>
        <v>0.39999999999997726</v>
      </c>
    </row>
    <row r="8" spans="1:6" x14ac:dyDescent="0.2">
      <c r="A8" s="4" t="s">
        <v>6</v>
      </c>
      <c r="B8" s="8">
        <v>6</v>
      </c>
      <c r="C8" s="5">
        <v>1.1523000000000001</v>
      </c>
      <c r="D8" s="4" t="s">
        <v>12</v>
      </c>
      <c r="E8">
        <f t="shared" si="0"/>
        <v>815.6</v>
      </c>
      <c r="F8">
        <f t="shared" si="1"/>
        <v>9.6000000000000227</v>
      </c>
    </row>
    <row r="9" spans="1:6" x14ac:dyDescent="0.2">
      <c r="A9" s="4" t="s">
        <v>6</v>
      </c>
      <c r="B9" s="8">
        <v>7</v>
      </c>
      <c r="C9" s="5">
        <v>2.7400000000000001E-2</v>
      </c>
      <c r="D9" s="4" t="s">
        <v>13</v>
      </c>
      <c r="E9">
        <f t="shared" si="0"/>
        <v>797.9</v>
      </c>
      <c r="F9">
        <f t="shared" si="1"/>
        <v>-17.700000000000045</v>
      </c>
    </row>
    <row r="10" spans="1:6" x14ac:dyDescent="0.2">
      <c r="A10" s="4" t="s">
        <v>6</v>
      </c>
      <c r="B10" s="8">
        <v>8</v>
      </c>
      <c r="C10" s="5">
        <v>3.1300000000000001E-2</v>
      </c>
      <c r="D10" s="4" t="s">
        <v>13</v>
      </c>
      <c r="E10">
        <f t="shared" si="0"/>
        <v>797.9</v>
      </c>
      <c r="F10">
        <f t="shared" si="1"/>
        <v>0</v>
      </c>
    </row>
    <row r="11" spans="1:6" x14ac:dyDescent="0.2">
      <c r="A11" s="4" t="s">
        <v>6</v>
      </c>
      <c r="B11" s="8">
        <v>9</v>
      </c>
      <c r="C11" s="5">
        <v>2.4299999999999999E-2</v>
      </c>
      <c r="D11" s="4" t="s">
        <v>14</v>
      </c>
      <c r="E11">
        <f t="shared" si="0"/>
        <v>798.4</v>
      </c>
      <c r="F11">
        <f t="shared" si="1"/>
        <v>0.5</v>
      </c>
    </row>
    <row r="12" spans="1:6" x14ac:dyDescent="0.2">
      <c r="A12" s="4" t="s">
        <v>6</v>
      </c>
      <c r="B12" s="8">
        <v>10</v>
      </c>
      <c r="C12" s="5">
        <v>3.9800000000000002E-2</v>
      </c>
      <c r="D12" s="4" t="s">
        <v>14</v>
      </c>
      <c r="E12">
        <f t="shared" si="0"/>
        <v>798.4</v>
      </c>
      <c r="F12">
        <f t="shared" si="1"/>
        <v>0</v>
      </c>
    </row>
    <row r="13" spans="1:6" x14ac:dyDescent="0.2">
      <c r="A13" s="4" t="s">
        <v>6</v>
      </c>
      <c r="B13" s="8">
        <v>11</v>
      </c>
      <c r="C13" s="5">
        <v>4.8000000000000001E-2</v>
      </c>
      <c r="D13" s="4" t="s">
        <v>15</v>
      </c>
      <c r="E13">
        <f t="shared" si="0"/>
        <v>798.2</v>
      </c>
      <c r="F13">
        <f t="shared" si="1"/>
        <v>-0.19999999999993179</v>
      </c>
    </row>
    <row r="14" spans="1:6" x14ac:dyDescent="0.2">
      <c r="A14" s="4" t="s">
        <v>6</v>
      </c>
      <c r="B14" s="8">
        <v>12</v>
      </c>
      <c r="C14" s="5">
        <v>3.6900000000000002E-2</v>
      </c>
      <c r="D14" s="4" t="s">
        <v>16</v>
      </c>
      <c r="E14">
        <f t="shared" si="0"/>
        <v>798.3</v>
      </c>
      <c r="F14">
        <f t="shared" si="1"/>
        <v>9.9999999999909051E-2</v>
      </c>
    </row>
    <row r="15" spans="1:6" x14ac:dyDescent="0.2">
      <c r="A15" s="4" t="s">
        <v>6</v>
      </c>
      <c r="B15" s="8">
        <v>13</v>
      </c>
      <c r="C15" s="5">
        <v>2.8799999999999999E-2</v>
      </c>
      <c r="D15" s="4" t="s">
        <v>17</v>
      </c>
      <c r="E15">
        <f>VALUE(_xlfn.TEXTBEFORE(D15,"MiB"))</f>
        <v>798.5</v>
      </c>
      <c r="F15">
        <f>IF(A15&lt;&gt;A14,0,E15-E14)</f>
        <v>0.20000000000004547</v>
      </c>
    </row>
    <row r="16" spans="1:6" x14ac:dyDescent="0.2">
      <c r="A16" t="s">
        <v>5</v>
      </c>
      <c r="B16" s="9">
        <v>0</v>
      </c>
      <c r="C16" s="3">
        <v>0.24729999999999999</v>
      </c>
      <c r="D16" t="s">
        <v>25</v>
      </c>
      <c r="E16">
        <f t="shared" ref="E16:E26" si="2">VALUE(_xlfn.TEXTBEFORE(D16,"MiB"))</f>
        <v>842.3</v>
      </c>
      <c r="F16">
        <f t="shared" ref="F16:F26" si="3">IF(A16&lt;&gt;A15,0,E16-E15)</f>
        <v>0</v>
      </c>
    </row>
    <row r="17" spans="1:6" x14ac:dyDescent="0.2">
      <c r="A17" t="s">
        <v>5</v>
      </c>
      <c r="B17" s="9">
        <v>1</v>
      </c>
      <c r="C17" s="3">
        <v>3.78E-2</v>
      </c>
      <c r="D17" t="s">
        <v>26</v>
      </c>
      <c r="E17">
        <f t="shared" si="2"/>
        <v>842.4</v>
      </c>
      <c r="F17">
        <f t="shared" si="3"/>
        <v>0.10000000000002274</v>
      </c>
    </row>
    <row r="18" spans="1:6" x14ac:dyDescent="0.2">
      <c r="A18" t="s">
        <v>5</v>
      </c>
      <c r="B18" s="9">
        <v>2</v>
      </c>
      <c r="C18" s="3">
        <v>4.8000000000000001E-2</v>
      </c>
      <c r="D18" t="s">
        <v>27</v>
      </c>
      <c r="E18">
        <f t="shared" si="2"/>
        <v>826</v>
      </c>
      <c r="F18">
        <f t="shared" si="3"/>
        <v>-16.399999999999977</v>
      </c>
    </row>
    <row r="19" spans="1:6" x14ac:dyDescent="0.2">
      <c r="A19" t="s">
        <v>5</v>
      </c>
      <c r="B19" s="9">
        <v>3</v>
      </c>
      <c r="C19" s="3">
        <v>5.16E-2</v>
      </c>
      <c r="D19" t="s">
        <v>28</v>
      </c>
      <c r="E19">
        <f t="shared" si="2"/>
        <v>826.6</v>
      </c>
      <c r="F19">
        <f t="shared" si="3"/>
        <v>0.60000000000002274</v>
      </c>
    </row>
    <row r="20" spans="1:6" x14ac:dyDescent="0.2">
      <c r="A20" t="s">
        <v>5</v>
      </c>
      <c r="B20" s="9">
        <v>4</v>
      </c>
      <c r="C20" s="3">
        <v>5.4800000000000001E-2</v>
      </c>
      <c r="D20" t="s">
        <v>29</v>
      </c>
      <c r="E20">
        <f t="shared" si="2"/>
        <v>826.5</v>
      </c>
      <c r="F20">
        <f t="shared" si="3"/>
        <v>-0.10000000000002274</v>
      </c>
    </row>
    <row r="21" spans="1:6" x14ac:dyDescent="0.2">
      <c r="A21" t="s">
        <v>5</v>
      </c>
      <c r="B21" s="9">
        <v>5</v>
      </c>
      <c r="C21" s="3">
        <v>0.56930000000000003</v>
      </c>
      <c r="D21" t="s">
        <v>30</v>
      </c>
      <c r="E21">
        <f t="shared" si="2"/>
        <v>892.4</v>
      </c>
      <c r="F21">
        <f t="shared" si="3"/>
        <v>65.899999999999977</v>
      </c>
    </row>
    <row r="22" spans="1:6" x14ac:dyDescent="0.2">
      <c r="A22" t="s">
        <v>5</v>
      </c>
      <c r="B22" s="9">
        <v>6</v>
      </c>
      <c r="C22" s="3">
        <v>0.14249999999999999</v>
      </c>
      <c r="D22" t="s">
        <v>31</v>
      </c>
      <c r="E22">
        <f t="shared" si="2"/>
        <v>892.5</v>
      </c>
      <c r="F22">
        <f t="shared" si="3"/>
        <v>0.10000000000002274</v>
      </c>
    </row>
    <row r="23" spans="1:6" x14ac:dyDescent="0.2">
      <c r="A23" t="s">
        <v>5</v>
      </c>
      <c r="B23" s="9">
        <v>7</v>
      </c>
      <c r="C23" s="3">
        <v>4.02E-2</v>
      </c>
      <c r="D23" t="s">
        <v>31</v>
      </c>
      <c r="E23">
        <f t="shared" si="2"/>
        <v>892.5</v>
      </c>
      <c r="F23">
        <f t="shared" si="3"/>
        <v>0</v>
      </c>
    </row>
    <row r="24" spans="1:6" x14ac:dyDescent="0.2">
      <c r="A24" t="s">
        <v>5</v>
      </c>
      <c r="B24" s="9">
        <v>8</v>
      </c>
      <c r="C24" s="3">
        <v>4.0300000000000002E-2</v>
      </c>
      <c r="D24" t="s">
        <v>32</v>
      </c>
      <c r="E24">
        <f t="shared" si="2"/>
        <v>892.2</v>
      </c>
      <c r="F24">
        <f t="shared" si="3"/>
        <v>-0.29999999999995453</v>
      </c>
    </row>
    <row r="25" spans="1:6" x14ac:dyDescent="0.2">
      <c r="A25" t="s">
        <v>5</v>
      </c>
      <c r="B25" s="9">
        <v>9</v>
      </c>
      <c r="C25" s="3">
        <v>5.74E-2</v>
      </c>
      <c r="D25" t="s">
        <v>33</v>
      </c>
      <c r="E25">
        <f t="shared" si="2"/>
        <v>892.7</v>
      </c>
      <c r="F25">
        <f t="shared" si="3"/>
        <v>0.5</v>
      </c>
    </row>
    <row r="26" spans="1:6" x14ac:dyDescent="0.2">
      <c r="A26" t="s">
        <v>5</v>
      </c>
      <c r="B26" s="9">
        <v>10</v>
      </c>
      <c r="C26" s="3">
        <v>5.6399999999999999E-2</v>
      </c>
      <c r="D26" t="s">
        <v>34</v>
      </c>
      <c r="E26">
        <f t="shared" si="2"/>
        <v>892.8</v>
      </c>
      <c r="F26">
        <f t="shared" si="3"/>
        <v>9.9999999999909051E-2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B933-B7B7-9541-96A5-B163589E556F}">
  <dimension ref="A3:D19"/>
  <sheetViews>
    <sheetView workbookViewId="0">
      <selection activeCell="G6" sqref="G6"/>
    </sheetView>
  </sheetViews>
  <sheetFormatPr baseColWidth="10" defaultRowHeight="16" x14ac:dyDescent="0.2"/>
  <cols>
    <col min="1" max="1" width="16.6640625" bestFit="1" customWidth="1"/>
    <col min="2" max="2" width="16" bestFit="1" customWidth="1"/>
    <col min="3" max="3" width="6.83203125" bestFit="1" customWidth="1"/>
    <col min="4" max="4" width="10.5" bestFit="1" customWidth="1"/>
  </cols>
  <sheetData>
    <row r="3" spans="1:4" x14ac:dyDescent="0.2">
      <c r="A3" t="s">
        <v>24</v>
      </c>
      <c r="B3" t="s">
        <v>20</v>
      </c>
    </row>
    <row r="4" spans="1:4" x14ac:dyDescent="0.2">
      <c r="A4" t="s">
        <v>18</v>
      </c>
      <c r="B4" t="s">
        <v>5</v>
      </c>
      <c r="C4" t="s">
        <v>6</v>
      </c>
      <c r="D4" t="s">
        <v>19</v>
      </c>
    </row>
    <row r="5" spans="1:4" x14ac:dyDescent="0.2">
      <c r="A5" s="10">
        <v>0</v>
      </c>
      <c r="B5">
        <v>0</v>
      </c>
      <c r="C5">
        <v>0</v>
      </c>
      <c r="D5">
        <v>0</v>
      </c>
    </row>
    <row r="6" spans="1:4" x14ac:dyDescent="0.2">
      <c r="A6" s="10">
        <v>1</v>
      </c>
      <c r="B6">
        <v>0.10000000000002274</v>
      </c>
      <c r="C6">
        <v>-0.19999999999993179</v>
      </c>
      <c r="D6">
        <v>-9.9999999999909051E-2</v>
      </c>
    </row>
    <row r="7" spans="1:4" x14ac:dyDescent="0.2">
      <c r="A7" s="10">
        <v>2</v>
      </c>
      <c r="B7">
        <v>-16.399999999999977</v>
      </c>
      <c r="C7">
        <v>9.9999999999909051E-2</v>
      </c>
      <c r="D7">
        <v>-16.300000000000068</v>
      </c>
    </row>
    <row r="8" spans="1:4" x14ac:dyDescent="0.2">
      <c r="A8" s="10">
        <v>3</v>
      </c>
      <c r="B8">
        <v>0.60000000000002274</v>
      </c>
      <c r="C8">
        <v>0</v>
      </c>
      <c r="D8">
        <v>0.60000000000002274</v>
      </c>
    </row>
    <row r="9" spans="1:4" x14ac:dyDescent="0.2">
      <c r="A9" s="10">
        <v>4</v>
      </c>
      <c r="B9">
        <v>-0.10000000000002274</v>
      </c>
      <c r="C9">
        <v>-0.19999999999993179</v>
      </c>
      <c r="D9">
        <v>-0.29999999999995453</v>
      </c>
    </row>
    <row r="10" spans="1:4" x14ac:dyDescent="0.2">
      <c r="A10" s="10">
        <v>5</v>
      </c>
      <c r="B10">
        <v>65.899999999999977</v>
      </c>
      <c r="C10">
        <v>0.39999999999997726</v>
      </c>
      <c r="D10">
        <v>66.299999999999955</v>
      </c>
    </row>
    <row r="11" spans="1:4" x14ac:dyDescent="0.2">
      <c r="A11" s="10">
        <v>6</v>
      </c>
      <c r="B11">
        <v>0.10000000000002274</v>
      </c>
      <c r="C11">
        <v>9.6000000000000227</v>
      </c>
      <c r="D11">
        <v>9.7000000000000455</v>
      </c>
    </row>
    <row r="12" spans="1:4" x14ac:dyDescent="0.2">
      <c r="A12" s="10">
        <v>7</v>
      </c>
      <c r="B12">
        <v>0</v>
      </c>
      <c r="C12">
        <v>-17.700000000000045</v>
      </c>
      <c r="D12">
        <v>-17.700000000000045</v>
      </c>
    </row>
    <row r="13" spans="1:4" x14ac:dyDescent="0.2">
      <c r="A13" s="10">
        <v>8</v>
      </c>
      <c r="B13">
        <v>-0.29999999999995453</v>
      </c>
      <c r="C13">
        <v>0</v>
      </c>
      <c r="D13">
        <v>-0.29999999999995453</v>
      </c>
    </row>
    <row r="14" spans="1:4" x14ac:dyDescent="0.2">
      <c r="A14" s="10">
        <v>9</v>
      </c>
      <c r="B14">
        <v>0.5</v>
      </c>
      <c r="C14">
        <v>0.5</v>
      </c>
      <c r="D14">
        <v>1</v>
      </c>
    </row>
    <row r="15" spans="1:4" x14ac:dyDescent="0.2">
      <c r="A15" s="10">
        <v>10</v>
      </c>
      <c r="B15">
        <v>9.9999999999909051E-2</v>
      </c>
      <c r="C15">
        <v>0</v>
      </c>
      <c r="D15">
        <v>9.9999999999909051E-2</v>
      </c>
    </row>
    <row r="16" spans="1:4" x14ac:dyDescent="0.2">
      <c r="A16" s="10">
        <v>11</v>
      </c>
      <c r="C16">
        <v>-0.19999999999993179</v>
      </c>
      <c r="D16">
        <v>-0.19999999999993179</v>
      </c>
    </row>
    <row r="17" spans="1:4" x14ac:dyDescent="0.2">
      <c r="A17" s="10">
        <v>12</v>
      </c>
      <c r="C17">
        <v>9.9999999999909051E-2</v>
      </c>
      <c r="D17">
        <v>9.9999999999909051E-2</v>
      </c>
    </row>
    <row r="18" spans="1:4" x14ac:dyDescent="0.2">
      <c r="A18" s="10">
        <v>13</v>
      </c>
      <c r="C18">
        <v>0.20000000000004547</v>
      </c>
      <c r="D18">
        <v>0.20000000000004547</v>
      </c>
    </row>
    <row r="19" spans="1:4" x14ac:dyDescent="0.2">
      <c r="A19" s="10" t="s">
        <v>19</v>
      </c>
      <c r="B19">
        <v>50.5</v>
      </c>
      <c r="C19">
        <v>-7.3999999999999773</v>
      </c>
      <c r="D19">
        <v>43.100000000000023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9790-78F0-F84A-8C56-85D0683243C1}">
  <dimension ref="A3:D19"/>
  <sheetViews>
    <sheetView workbookViewId="0">
      <selection activeCell="E28" sqref="E28"/>
    </sheetView>
  </sheetViews>
  <sheetFormatPr baseColWidth="10" defaultRowHeight="16" x14ac:dyDescent="0.2"/>
  <cols>
    <col min="1" max="1" width="16.5" bestFit="1" customWidth="1"/>
    <col min="2" max="2" width="16" bestFit="1" customWidth="1"/>
    <col min="3" max="3" width="6.83203125" bestFit="1" customWidth="1"/>
    <col min="4" max="4" width="10.5" bestFit="1" customWidth="1"/>
    <col min="5" max="5" width="16.5" bestFit="1" customWidth="1"/>
    <col min="6" max="6" width="22" bestFit="1" customWidth="1"/>
    <col min="7" max="7" width="20.83203125" bestFit="1" customWidth="1"/>
  </cols>
  <sheetData>
    <row r="3" spans="1:4" x14ac:dyDescent="0.2">
      <c r="A3" s="7" t="s">
        <v>35</v>
      </c>
      <c r="B3" s="7" t="s">
        <v>20</v>
      </c>
    </row>
    <row r="4" spans="1:4" x14ac:dyDescent="0.2">
      <c r="A4" s="7" t="s">
        <v>18</v>
      </c>
      <c r="B4" t="s">
        <v>5</v>
      </c>
      <c r="C4" t="s">
        <v>6</v>
      </c>
      <c r="D4" t="s">
        <v>19</v>
      </c>
    </row>
    <row r="5" spans="1:4" x14ac:dyDescent="0.2">
      <c r="A5" s="10">
        <v>0</v>
      </c>
      <c r="B5">
        <v>842.3</v>
      </c>
      <c r="C5">
        <v>805.9</v>
      </c>
      <c r="D5">
        <v>1648.1999999999998</v>
      </c>
    </row>
    <row r="6" spans="1:4" x14ac:dyDescent="0.2">
      <c r="A6" s="10">
        <v>1</v>
      </c>
      <c r="B6">
        <v>842.4</v>
      </c>
      <c r="C6">
        <v>805.7</v>
      </c>
      <c r="D6">
        <v>1648.1</v>
      </c>
    </row>
    <row r="7" spans="1:4" x14ac:dyDescent="0.2">
      <c r="A7" s="10">
        <v>2</v>
      </c>
      <c r="B7">
        <v>826</v>
      </c>
      <c r="C7">
        <v>805.8</v>
      </c>
      <c r="D7">
        <v>1631.8</v>
      </c>
    </row>
    <row r="8" spans="1:4" x14ac:dyDescent="0.2">
      <c r="A8" s="10">
        <v>3</v>
      </c>
      <c r="B8">
        <v>826.6</v>
      </c>
      <c r="C8">
        <v>805.8</v>
      </c>
      <c r="D8">
        <v>1632.4</v>
      </c>
    </row>
    <row r="9" spans="1:4" x14ac:dyDescent="0.2">
      <c r="A9" s="10">
        <v>4</v>
      </c>
      <c r="B9">
        <v>826.5</v>
      </c>
      <c r="C9">
        <v>805.6</v>
      </c>
      <c r="D9">
        <v>1632.1</v>
      </c>
    </row>
    <row r="10" spans="1:4" x14ac:dyDescent="0.2">
      <c r="A10" s="10">
        <v>5</v>
      </c>
      <c r="B10">
        <v>892.4</v>
      </c>
      <c r="C10">
        <v>806</v>
      </c>
      <c r="D10">
        <v>1698.4</v>
      </c>
    </row>
    <row r="11" spans="1:4" x14ac:dyDescent="0.2">
      <c r="A11" s="10">
        <v>6</v>
      </c>
      <c r="B11">
        <v>892.5</v>
      </c>
      <c r="C11">
        <v>815.6</v>
      </c>
      <c r="D11">
        <v>1708.1</v>
      </c>
    </row>
    <row r="12" spans="1:4" x14ac:dyDescent="0.2">
      <c r="A12" s="10">
        <v>7</v>
      </c>
      <c r="B12">
        <v>892.5</v>
      </c>
      <c r="C12">
        <v>797.9</v>
      </c>
      <c r="D12">
        <v>1690.4</v>
      </c>
    </row>
    <row r="13" spans="1:4" x14ac:dyDescent="0.2">
      <c r="A13" s="10">
        <v>8</v>
      </c>
      <c r="B13">
        <v>892.2</v>
      </c>
      <c r="C13">
        <v>797.9</v>
      </c>
      <c r="D13">
        <v>1690.1</v>
      </c>
    </row>
    <row r="14" spans="1:4" x14ac:dyDescent="0.2">
      <c r="A14" s="10">
        <v>9</v>
      </c>
      <c r="B14">
        <v>892.7</v>
      </c>
      <c r="C14">
        <v>798.4</v>
      </c>
      <c r="D14">
        <v>1691.1</v>
      </c>
    </row>
    <row r="15" spans="1:4" x14ac:dyDescent="0.2">
      <c r="A15" s="10">
        <v>10</v>
      </c>
      <c r="B15">
        <v>892.8</v>
      </c>
      <c r="C15">
        <v>798.4</v>
      </c>
      <c r="D15">
        <v>1691.1999999999998</v>
      </c>
    </row>
    <row r="16" spans="1:4" x14ac:dyDescent="0.2">
      <c r="A16" s="10">
        <v>11</v>
      </c>
      <c r="C16">
        <v>798.2</v>
      </c>
      <c r="D16">
        <v>798.2</v>
      </c>
    </row>
    <row r="17" spans="1:4" x14ac:dyDescent="0.2">
      <c r="A17" s="10">
        <v>12</v>
      </c>
      <c r="C17">
        <v>798.3</v>
      </c>
      <c r="D17">
        <v>798.3</v>
      </c>
    </row>
    <row r="18" spans="1:4" x14ac:dyDescent="0.2">
      <c r="A18" s="10">
        <v>13</v>
      </c>
      <c r="C18">
        <v>798.5</v>
      </c>
      <c r="D18">
        <v>798.5</v>
      </c>
    </row>
    <row r="19" spans="1:4" x14ac:dyDescent="0.2">
      <c r="A19" s="10" t="s">
        <v>19</v>
      </c>
      <c r="B19">
        <v>9518.8999999999978</v>
      </c>
      <c r="C19">
        <v>11237.999999999998</v>
      </c>
      <c r="D19">
        <v>20756.900000000001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E59F1-15BB-6D4A-B7F2-D4ED5029E791}">
  <dimension ref="A3:D19"/>
  <sheetViews>
    <sheetView workbookViewId="0">
      <selection activeCell="I26" sqref="I26"/>
    </sheetView>
  </sheetViews>
  <sheetFormatPr baseColWidth="10" defaultRowHeight="16" x14ac:dyDescent="0.2"/>
  <cols>
    <col min="1" max="1" width="14.6640625" bestFit="1" customWidth="1"/>
    <col min="2" max="2" width="16" bestFit="1" customWidth="1"/>
    <col min="3" max="3" width="8.1640625" bestFit="1" customWidth="1"/>
    <col min="4" max="4" width="10.5" bestFit="1" customWidth="1"/>
    <col min="5" max="5" width="14.6640625" bestFit="1" customWidth="1"/>
    <col min="6" max="6" width="21" bestFit="1" customWidth="1"/>
    <col min="7" max="7" width="19.1640625" bestFit="1" customWidth="1"/>
  </cols>
  <sheetData>
    <row r="3" spans="1:4" x14ac:dyDescent="0.2">
      <c r="A3" s="7" t="s">
        <v>21</v>
      </c>
      <c r="B3" s="7" t="s">
        <v>20</v>
      </c>
    </row>
    <row r="4" spans="1:4" x14ac:dyDescent="0.2">
      <c r="A4" s="7" t="s">
        <v>18</v>
      </c>
      <c r="B4" t="s">
        <v>5</v>
      </c>
      <c r="C4" t="s">
        <v>6</v>
      </c>
      <c r="D4" t="s">
        <v>19</v>
      </c>
    </row>
    <row r="5" spans="1:4" x14ac:dyDescent="0.2">
      <c r="A5" s="10">
        <v>0</v>
      </c>
      <c r="B5" s="3">
        <v>0.24729999999999999</v>
      </c>
      <c r="C5" s="3">
        <v>0.27579999999999999</v>
      </c>
      <c r="D5" s="3">
        <v>0.52310000000000001</v>
      </c>
    </row>
    <row r="6" spans="1:4" x14ac:dyDescent="0.2">
      <c r="A6" s="10">
        <v>1</v>
      </c>
      <c r="B6" s="3">
        <v>3.78E-2</v>
      </c>
      <c r="C6" s="3">
        <v>3.27E-2</v>
      </c>
      <c r="D6" s="3">
        <v>7.0500000000000007E-2</v>
      </c>
    </row>
    <row r="7" spans="1:4" x14ac:dyDescent="0.2">
      <c r="A7" s="10">
        <v>2</v>
      </c>
      <c r="B7" s="3">
        <v>4.8000000000000001E-2</v>
      </c>
      <c r="C7" s="3">
        <v>2.52E-2</v>
      </c>
      <c r="D7" s="3">
        <v>7.3200000000000001E-2</v>
      </c>
    </row>
    <row r="8" spans="1:4" x14ac:dyDescent="0.2">
      <c r="A8" s="10">
        <v>3</v>
      </c>
      <c r="B8" s="3">
        <v>5.16E-2</v>
      </c>
      <c r="C8" s="3">
        <v>5.9900000000000002E-2</v>
      </c>
      <c r="D8" s="3">
        <v>0.1115</v>
      </c>
    </row>
    <row r="9" spans="1:4" x14ac:dyDescent="0.2">
      <c r="A9" s="10">
        <v>4</v>
      </c>
      <c r="B9" s="3">
        <v>5.4800000000000001E-2</v>
      </c>
      <c r="C9" s="3">
        <v>0.1137</v>
      </c>
      <c r="D9" s="3">
        <v>0.16849999999999998</v>
      </c>
    </row>
    <row r="10" spans="1:4" x14ac:dyDescent="0.2">
      <c r="A10" s="10">
        <v>5</v>
      </c>
      <c r="B10" s="3">
        <v>0.56930000000000003</v>
      </c>
      <c r="C10" s="3">
        <v>3.7999999999999999E-2</v>
      </c>
      <c r="D10" s="3">
        <v>0.60730000000000006</v>
      </c>
    </row>
    <row r="11" spans="1:4" x14ac:dyDescent="0.2">
      <c r="A11" s="10">
        <v>6</v>
      </c>
      <c r="B11" s="3">
        <v>0.14249999999999999</v>
      </c>
      <c r="C11" s="3">
        <v>1.1523000000000001</v>
      </c>
      <c r="D11" s="3">
        <v>1.2948000000000002</v>
      </c>
    </row>
    <row r="12" spans="1:4" x14ac:dyDescent="0.2">
      <c r="A12" s="10">
        <v>7</v>
      </c>
      <c r="B12" s="3">
        <v>4.02E-2</v>
      </c>
      <c r="C12" s="3">
        <v>2.7400000000000001E-2</v>
      </c>
      <c r="D12" s="3">
        <v>6.7599999999999993E-2</v>
      </c>
    </row>
    <row r="13" spans="1:4" x14ac:dyDescent="0.2">
      <c r="A13" s="10">
        <v>8</v>
      </c>
      <c r="B13" s="3">
        <v>4.0300000000000002E-2</v>
      </c>
      <c r="C13" s="3">
        <v>3.1300000000000001E-2</v>
      </c>
      <c r="D13" s="3">
        <v>7.1599999999999997E-2</v>
      </c>
    </row>
    <row r="14" spans="1:4" x14ac:dyDescent="0.2">
      <c r="A14" s="10">
        <v>9</v>
      </c>
      <c r="B14" s="3">
        <v>5.74E-2</v>
      </c>
      <c r="C14" s="3">
        <v>2.4299999999999999E-2</v>
      </c>
      <c r="D14" s="3">
        <v>8.1699999999999995E-2</v>
      </c>
    </row>
    <row r="15" spans="1:4" x14ac:dyDescent="0.2">
      <c r="A15" s="10">
        <v>10</v>
      </c>
      <c r="B15" s="3">
        <v>5.6399999999999999E-2</v>
      </c>
      <c r="C15" s="3">
        <v>3.9800000000000002E-2</v>
      </c>
      <c r="D15" s="3">
        <v>9.6200000000000008E-2</v>
      </c>
    </row>
    <row r="16" spans="1:4" x14ac:dyDescent="0.2">
      <c r="A16" s="10">
        <v>11</v>
      </c>
      <c r="B16" s="3"/>
      <c r="C16" s="3">
        <v>4.8000000000000001E-2</v>
      </c>
      <c r="D16" s="3">
        <v>4.8000000000000001E-2</v>
      </c>
    </row>
    <row r="17" spans="1:4" x14ac:dyDescent="0.2">
      <c r="A17" s="10">
        <v>12</v>
      </c>
      <c r="B17" s="3"/>
      <c r="C17" s="3">
        <v>3.6900000000000002E-2</v>
      </c>
      <c r="D17" s="3">
        <v>3.6900000000000002E-2</v>
      </c>
    </row>
    <row r="18" spans="1:4" x14ac:dyDescent="0.2">
      <c r="A18" s="10">
        <v>13</v>
      </c>
      <c r="B18" s="3"/>
      <c r="C18" s="3">
        <v>2.8799999999999999E-2</v>
      </c>
      <c r="D18" s="3">
        <v>2.8799999999999999E-2</v>
      </c>
    </row>
    <row r="19" spans="1:4" x14ac:dyDescent="0.2">
      <c r="A19" s="10" t="s">
        <v>19</v>
      </c>
      <c r="B19" s="3">
        <v>1.3455999999999999</v>
      </c>
      <c r="C19" s="3">
        <v>1.9341000000000002</v>
      </c>
      <c r="D19" s="3">
        <v>3.2797000000000009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7B05-2668-ED47-A195-174238E3C117}">
  <dimension ref="A1"/>
  <sheetViews>
    <sheetView tabSelected="1" workbookViewId="0">
      <selection activeCell="L19" sqref="L1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Sheet4 (3)</vt:lpstr>
      <vt:lpstr>Sheet4</vt:lpstr>
      <vt:lpstr>Sheet4 (2)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WEERASINGHE P D L L</dc:creator>
  <cp:lastModifiedBy>WEERASINGHE P D L L</cp:lastModifiedBy>
  <dcterms:created xsi:type="dcterms:W3CDTF">2026-01-02T04:17:58Z</dcterms:created>
  <dcterms:modified xsi:type="dcterms:W3CDTF">2026-01-02T09:10:00Z</dcterms:modified>
</cp:coreProperties>
</file>